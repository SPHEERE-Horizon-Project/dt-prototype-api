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8089096742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c81728f2d564c83"/>
    <x:sheet xmlns:r="http://schemas.openxmlformats.org/officeDocument/2006/relationships" name="Nomenclature" sheetId="2" r:id="R68597374c93e43eb"/>
    <x:sheet xmlns:r="http://schemas.openxmlformats.org/officeDocument/2006/relationships" name="Settings_General" sheetId="3" r:id="Rb23f7703b85b41a8"/>
    <x:sheet xmlns:r="http://schemas.openxmlformats.org/officeDocument/2006/relationships" name="Settings_Mass" sheetId="4" r:id="R589c1530fb984e4b"/>
    <x:sheet xmlns:r="http://schemas.openxmlformats.org/officeDocument/2006/relationships" name="In_Cases" sheetId="5" r:id="Ref3c3c2acc2d4709"/>
    <x:sheet xmlns:r="http://schemas.openxmlformats.org/officeDocument/2006/relationships" name="In_Monthly" sheetId="6" r:id="Rd8e1ff29b91f4630"/>
    <x:sheet xmlns:r="http://schemas.openxmlformats.org/officeDocument/2006/relationships" name="Calc_Case" sheetId="7" r:id="R6986ecc2c15c47e7"/>
    <x:sheet xmlns:r="http://schemas.openxmlformats.org/officeDocument/2006/relationships" name="Calc_Monthly" sheetId="8" r:id="R9b55daa9697241fd"/>
    <x:sheet xmlns:r="http://schemas.openxmlformats.org/officeDocument/2006/relationships" name="Tested_Results" sheetId="9" r:id="R899bd2a0d5ef4718"/>
    <x:sheet xmlns:r="http://schemas.openxmlformats.org/officeDocument/2006/relationships" name="Check_Reproduction" sheetId="10" r:id="R4f58596951914335"/>
    <x:sheet xmlns:r="http://schemas.openxmlformats.org/officeDocument/2006/relationships" name="Out_Monthly" sheetId="11" r:id="R1d95d604ca894519"/>
    <x:sheet xmlns:r="http://schemas.openxmlformats.org/officeDocument/2006/relationships" name="Out_Annual" sheetId="12" r:id="Ref4fd304071d4ec4"/>
    <x:sheet xmlns:r="http://schemas.openxmlformats.org/officeDocument/2006/relationships" name="Comparison" sheetId="13" r:id="R5cb1e28a557547d4"/>
  </x:sheets>
</x:workbook>
</file>

<file path=xl/comments1.xml><?xml version="1.0" encoding="utf-8"?>
<x:comments xmlns:x="http://schemas.openxmlformats.org/spreadsheetml/2006/main">
  <x:authors>
    <x:author>tc={7ED90238-4719-B7F2-08BE-F7CC58A108E9}</x:author>
    <x:author>tc={32699C5B-0D57-9047-B9FA-E7BA767F1981}</x:author>
  </x:authors>
  <x:commentList>
    <x:comment ref="B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Air density used by MODEL_3.DEFAULTS and by the spreadsheet airflow conversion.</x:t>
        </x:r>
      </x:text>
    </x:comment>
    <x:comment ref="B6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Numerical reconciliation threshold only; it is not a scientific model-acceptance tolerance.</x:t>
        </x:r>
      </x:text>
    </x:comment>
  </x:commentList>
</x:comments>
</file>

<file path=xl/comments2.xml><?xml version="1.0" encoding="utf-8"?>
<x:comments xmlns:x="http://schemas.openxmlformats.org/spreadsheetml/2006/main">
  <x:authors>
    <x:author>tc={BFF8D81E-13C6-627E-1842-4E293569C22C}</x:author>
  </x:authors>
  <x:commentList>
    <x:comment ref="M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Equivalent recovery efficiency used only to preserve the external-air H_total boundary. AHU coil recovery is entered separately in column S.</x:t>
        </x:r>
      </x:text>
    </x:comment>
  </x:commentList>
</x:comments>
</file>

<file path=xl/comments3.xml><?xml version="1.0" encoding="utf-8"?>
<x:comments xmlns:x="http://schemas.openxmlformats.org/spreadsheetml/2006/main">
  <x:authors>
    <x:author>tc={FCF58EE9-1271-B3D2-256F-D7BDE461D43C}</x:author>
    <x:author>tc={C93A9DB9-6AD6-DAAA-7BAC-DDE1FDD1A7A2}</x:author>
    <x:author>tc={C09734ED-BBB3-C335-AE26-2981FC9533BE}</x:author>
  </x:authors>
  <x:commentList>
    <x:comment ref="H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Reference phi_sol term. It includes transparent/opaque solar gains and the reference opaque long-wave sky-exchange contribution; it is not a glazing-only solar gain.</x:t>
        </x:r>
      </x:text>
    </x:comment>
    <x:comment ref="J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1000 × (aggregated solar gain + aggregated internal gain) / (days × 24). This reconstructs the mapped monthly mean gain power used by Model 3.</x:t>
        </x:r>
      </x:text>
    </x:comment>
    <x:comment ref="K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Derived upstream from hourly setpoint intention and the declared season mask. EPW/hourly preprocessing is intentionally outside this workbook.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00"/>
    <x:numFmt numFmtId="201" formatCode="#,##0"/>
    <x:numFmt numFmtId="202" formatCode="#,##0.000"/>
    <x:numFmt numFmtId="203" formatCode="0"/>
    <x:numFmt numFmtId="204" formatCode="0.000"/>
    <x:numFmt numFmtId="205" formatCode="0.000000000"/>
    <x:numFmt numFmtId="206" formatCode="#,##0.0"/>
    <x:numFmt numFmtId="207" formatCode="0.0%"/>
  </x:numFmts>
  <x:fonts count="9">
    <x:font>
      <x:sz val="11"/>
      <x:name val="Carlito"/>
    </x:font>
    <x:font>
      <x:b/>
      <x:sz val="16"/>
      <x:color rgb="FF1F4E78"/>
      <x:name val="Carlito"/>
    </x:font>
    <x:font>
      <x:b/>
      <x:sz val="11"/>
      <x:color rgb="FF1F4E78"/>
      <x:name val="Carlito"/>
    </x:font>
    <x:font>
      <x:b/>
      <x:sz val="9"/>
      <x:name val="Carlito"/>
    </x:font>
    <x:font>
      <x:b/>
      <x:sz val="9"/>
      <x:color rgb="FF1F4E78"/>
      <x:name val="Carlito"/>
    </x:font>
    <x:font>
      <x:sz val="9"/>
      <x:name val="Carlito"/>
    </x:font>
    <x:font>
      <x:b/>
      <x:sz val="10"/>
      <x:color rgb="FFFFFFFF"/>
      <x:name val="Carlito"/>
    </x:font>
    <x:font>
      <x:sz val="9"/>
      <x:color rgb="FF222222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</x:fills>
  <x:borders count="6">
    <x:border/>
    <x:border>
      <x:bottom style="medium">
        <x:color rgb="FF17365D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/>
    <x:xf numFmtId="0" fontId="3" fillId="3" borderId="0" xfId="0" applyNumberFormat="1" applyFont="1" applyFill="1" applyBorder="1"/>
    <x:xf numFmtId="0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/>
    <x:xf numFmtId="0" fontId="3" fillId="3" borderId="3" xfId="0" applyNumberFormat="1" applyFont="1" applyFill="1" applyBorder="1"/>
    <x:xf numFmtId="0" fontId="3" fillId="2" borderId="3" xfId="0" applyNumberFormat="1" applyFont="1" applyFill="1" applyBorder="1"/>
    <x:xf numFmtId="0" fontId="3" fillId="0" borderId="4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5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horizont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0" borderId="0" xfId="0" applyNumberFormat="1" applyFont="1" applyFill="0" applyBorder="1"/>
    <x:xf numFmtId="0" fontId="7" borderId="0" xfId="0" applyNumberFormat="1" applyFont="1" applyFill="0" applyBorder="1"/>
    <x:xf numFmtId="0" fontId="7" borderId="2" xfId="0" applyNumberFormat="1" applyFont="1" applyFill="0" applyBorder="1"/>
    <x:xf numFmtId="0" fontId="7" borderId="3" xfId="0" applyNumberFormat="1" applyFont="1" applyFill="0" applyBorder="1"/>
    <x:xf numFmtId="0" fontId="7" borderId="2" xfId="0" applyNumberFormat="1" applyFont="1" applyFill="0" applyBorder="1" applyAlignment="1">
      <x:alignment vertical="center"/>
    </x:xf>
    <x:xf numFmtId="0" fontId="7" borderId="3" xfId="0" applyNumberFormat="1" applyFont="1" applyFill="0" applyBorder="1" applyAlignment="1">
      <x:alignment vertical="center"/>
    </x:xf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200" fontId="7" fillId="4" borderId="2" xfId="0" applyNumberFormat="1" applyFont="1" applyFill="1" applyBorder="1" applyAlignment="1">
      <x:alignment vertical="center"/>
    </x:xf>
    <x:xf numFmtId="200" fontId="7" fillId="4" borderId="3" xfId="0" applyNumberFormat="1" applyFont="1" applyFill="1" applyBorder="1" applyAlignment="1">
      <x:alignment vertical="center"/>
    </x:xf>
    <x:xf numFmtId="201" fontId="7" fillId="4" borderId="2" xfId="0" applyNumberFormat="1" applyFont="1" applyFill="1" applyBorder="1" applyAlignment="1">
      <x:alignment vertical="center"/>
    </x:xf>
    <x:xf numFmtId="201" fontId="7" fillId="4" borderId="3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202" fontId="7" fillId="5" borderId="2" xfId="0" applyNumberFormat="1" applyFont="1" applyFill="1" applyBorder="1" applyAlignment="1">
      <x:alignment vertical="center"/>
    </x:xf>
    <x:xf numFmtId="202" fontId="7" fillId="5" borderId="3" xfId="0" applyNumberFormat="1" applyFont="1" applyFill="1" applyBorder="1" applyAlignment="1">
      <x:alignment vertical="center"/>
    </x:xf>
    <x:xf numFmtId="203" fontId="7" fillId="5" borderId="2" xfId="0" applyNumberFormat="1" applyFont="1" applyFill="1" applyBorder="1" applyAlignment="1">
      <x:alignment vertical="center"/>
    </x:xf>
    <x:xf numFmtId="203" fontId="7" fillId="5" borderId="3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3" xfId="0" applyNumberFormat="1" applyFont="1" applyFill="1" applyBorder="1" applyAlignment="1">
      <x:alignment vertical="center"/>
    </x:xf>
    <x:xf numFmtId="202" fontId="7" fillId="2" borderId="2" xfId="0" applyNumberFormat="1" applyFont="1" applyFill="1" applyBorder="1" applyAlignment="1">
      <x:alignment vertical="center"/>
    </x:xf>
    <x:xf numFmtId="202" fontId="7" fillId="2" borderId="3" xfId="0" applyNumberFormat="1" applyFont="1" applyFill="1" applyBorder="1" applyAlignment="1">
      <x:alignment vertical="center"/>
    </x:xf>
    <x:xf numFmtId="204" fontId="7" fillId="5" borderId="2" xfId="0" applyNumberFormat="1" applyFont="1" applyFill="1" applyBorder="1" applyAlignment="1">
      <x:alignment vertical="center"/>
    </x:xf>
    <x:xf numFmtId="204" fontId="7" fillId="5" borderId="3" xfId="0" applyNumberFormat="1" applyFont="1" applyFill="1" applyBorder="1" applyAlignment="1">
      <x:alignment vertical="center"/>
    </x:xf>
    <x:xf numFmtId="202" fontId="7" borderId="2" xfId="0" applyNumberFormat="1" applyFont="1" applyFill="0" applyBorder="1" applyAlignment="1">
      <x:alignment vertical="center"/>
    </x:xf>
    <x:xf numFmtId="202" fontId="7" borderId="3" xfId="0" applyNumberFormat="1" applyFont="1" applyFill="0" applyBorder="1" applyAlignment="1">
      <x:alignment vertical="center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205" fontId="8" fillId="3" borderId="0" xfId="0" applyNumberFormat="1" applyFont="1" applyFill="1" applyBorder="1"/>
    <x:xf numFmtId="205" fontId="7" borderId="2" xfId="0" applyNumberFormat="1" applyFont="1" applyFill="0" applyBorder="1" applyAlignment="1">
      <x:alignment vertical="center"/>
    </x:xf>
    <x:xf numFmtId="205" fontId="7" borderId="3" xfId="0" applyNumberFormat="1" applyFont="1" applyFill="0" applyBorder="1" applyAlignment="1">
      <x:alignment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2" xfId="0" applyNumberFormat="1" applyFont="1" applyFill="1" applyBorder="1" applyAlignment="1">
      <x:alignment vertical="center"/>
    </x:xf>
    <x:xf numFmtId="0" fontId="7" fillId="3" borderId="3" xfId="0" applyNumberFormat="1" applyFont="1" applyFill="1" applyBorder="1" applyAlignment="1">
      <x:alignment vertical="center"/>
    </x:xf>
    <x:xf numFmtId="202" fontId="7" fillId="3" borderId="2" xfId="0" applyNumberFormat="1" applyFont="1" applyFill="1" applyBorder="1" applyAlignment="1">
      <x:alignment vertical="center"/>
    </x:xf>
    <x:xf numFmtId="202" fontId="7" fillId="3" borderId="3" xfId="0" applyNumberFormat="1" applyFont="1" applyFill="1" applyBorder="1" applyAlignment="1">
      <x:alignment vertical="center"/>
    </x:xf>
    <x:xf numFmtId="206" fontId="7" fillId="3" borderId="2" xfId="0" applyNumberFormat="1" applyFont="1" applyFill="1" applyBorder="1" applyAlignment="1">
      <x:alignment vertical="center"/>
    </x:xf>
    <x:xf numFmtId="206" fontId="7" fillId="3" borderId="3" xfId="0" applyNumberFormat="1" applyFont="1" applyFill="1" applyBorder="1" applyAlignment="1">
      <x:alignment vertical="center"/>
    </x:xf>
    <x:xf numFmtId="207" fontId="7" fillId="3" borderId="2" xfId="0" applyNumberFormat="1" applyFont="1" applyFill="1" applyBorder="1" applyAlignment="1">
      <x:alignment vertical="center"/>
    </x:xf>
    <x:xf numFmtId="207" fontId="7" fillId="3" borderId="3" xfId="0" applyNumberFormat="1" applyFont="1" applyFill="1" applyBorder="1" applyAlignment="1">
      <x:alignment vertical="center"/>
    </x:xf>
    <x:xf numFmtId="207" fontId="7" fillId="2" borderId="2" xfId="0" applyNumberFormat="1" applyFont="1" applyFill="1" applyBorder="1" applyAlignment="1">
      <x:alignment vertical="center"/>
    </x:xf>
    <x:xf numFmtId="207" fontId="7" fillId="2" borderId="3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14c3be81464d53" /><Relationship Type="http://schemas.openxmlformats.org/officeDocument/2006/relationships/theme" Target="/xl/theme/theme1.xml" Id="R1fb769d1f0314a55" /><Relationship Type="http://schemas.openxmlformats.org/officeDocument/2006/relationships/sharedStrings" Target="/xl/sharedStrings.xml" Id="Rb75a6812b3ed44df" /><Relationship Type="http://schemas.openxmlformats.org/officeDocument/2006/relationships/worksheet" Target="/xl/worksheets/sheet1.xml" Id="Rcc81728f2d564c83" /><Relationship Type="http://schemas.openxmlformats.org/officeDocument/2006/relationships/worksheet" Target="/xl/worksheets/sheet2.xml" Id="R68597374c93e43eb" /><Relationship Type="http://schemas.openxmlformats.org/officeDocument/2006/relationships/worksheet" Target="/xl/worksheets/sheet3.xml" Id="Rb23f7703b85b41a8" /><Relationship Type="http://schemas.openxmlformats.org/officeDocument/2006/relationships/worksheet" Target="/xl/worksheets/sheet4.xml" Id="R589c1530fb984e4b" /><Relationship Type="http://schemas.openxmlformats.org/officeDocument/2006/relationships/worksheet" Target="/xl/worksheets/sheet5.xml" Id="Ref3c3c2acc2d4709" /><Relationship Type="http://schemas.openxmlformats.org/officeDocument/2006/relationships/worksheet" Target="/xl/worksheets/sheet6.xml" Id="Rd8e1ff29b91f4630" /><Relationship Type="http://schemas.openxmlformats.org/officeDocument/2006/relationships/worksheet" Target="/xl/worksheets/sheet7.xml" Id="R6986ecc2c15c47e7" /><Relationship Type="http://schemas.openxmlformats.org/officeDocument/2006/relationships/worksheet" Target="/xl/worksheets/sheet8.xml" Id="R9b55daa9697241fd" /><Relationship Type="http://schemas.openxmlformats.org/officeDocument/2006/relationships/worksheet" Target="/xl/worksheets/sheet9.xml" Id="R899bd2a0d5ef4718" /><Relationship Type="http://schemas.openxmlformats.org/officeDocument/2006/relationships/worksheet" Target="/xl/worksheets/sheet10.xml" Id="R4f58596951914335" /><Relationship Type="http://schemas.openxmlformats.org/officeDocument/2006/relationships/worksheet" Target="/xl/worksheets/sheet11.xml" Id="R1d95d604ca894519" /><Relationship Type="http://schemas.openxmlformats.org/officeDocument/2006/relationships/worksheet" Target="/xl/worksheets/sheet12.xml" Id="Ref4fd304071d4ec4" /><Relationship Type="http://schemas.openxmlformats.org/officeDocument/2006/relationships/worksheet" Target="/xl/worksheets/sheet13.xml" Id="R5cb1e28a557547d4" /><Relationship Type="http://schemas.microsoft.com/office/2017/10/relationships/person" Target="/xl/persons/person.xml" Id="R210b844ace7a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df8f103ed747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difference from validated reference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heating difference</c:v>
          </c:tx>
          <c:cat>
            <c:strRef>
              <c:f>'Comparison'!$L$2:$L$14</c:f>
              <c:strCache>
                <c:ptCount val="0"/>
              </c:strCache>
            </c:strRef>
          </c:cat>
          <c:val>
            <c:numRef>
              <c:f>'Comparison'!$M$2:$M$14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cooling difference</c:v>
          </c:tx>
          <c:cat>
            <c:strRef>
              <c:f>'Comparison'!$L$2:$L$14</c:f>
              <c:strCache>
                <c:ptCount val="0"/>
              </c:strCache>
            </c:strRef>
          </c:cat>
          <c:val>
            <c:numRef>
              <c:f>'Comparison'!$N$2:$N$14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16</xdr:row>
      <xdr:rowOff>0</xdr:rowOff>
    </xdr:from>
    <xdr:to>
      <xdr:col>22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df8f103ed7476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BFE1193A-7AA6-49A8-82F3-09489B954CF0}"/>
</xltc:personList>
</file>

<file path=xl/tables/table1.xml><?xml version="1.0" encoding="utf-8"?>
<x:table xmlns:x="http://schemas.openxmlformats.org/spreadsheetml/2006/main" id="1" name="NomenclatureTable" displayName="NomenclatureTable" ref="A1:G33" headerRowCount="1" totalsRowCount="0" totalsRowShown="0">
  <x:autoFilter ref="A1:G33"/>
  <x:tableColumns count="7">
    <x:tableColumn id="1" name="block"/>
    <x:tableColumn id="2" name="symbol"/>
    <x:tableColumn id="3" name="workbook_name"/>
    <x:tableColumn id="4" name="meaning"/>
    <x:tableColumn id="5" name="unit"/>
    <x:tableColumn id="6" name="type"/>
    <x:tableColumn id="7" name="Python anchor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ettingsGeneralTable" displayName="SettingsGeneralTable" ref="A1:D8" headerRowCount="1" totalsRowCount="0" totalsRowShown="0">
  <x:autoFilter ref="A1:D8"/>
  <x:tableColumns count="4">
    <x:tableColumn id="1" name="name"/>
    <x:tableColumn id="2" name="value"/>
    <x:tableColumn id="3" name="unit"/>
    <x:tableColumn id="4" name="source / purpose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ettingsMassTable" displayName="SettingsMassTable" ref="A1:C6" headerRowCount="1" totalsRowCount="0" totalsRowShown="0">
  <x:autoFilter ref="A1:C6"/>
  <x:tableColumns count="3">
    <x:tableColumn id="1" name="mass_class"/>
    <x:tableColumn id="2" name="specific_capacity_J_m2K"/>
    <x:tableColumn id="3" name="source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InputCasesTable" displayName="InputCasesTable" ref="A1:V14" headerRowCount="1" totalsRowCount="0" totalsRowShown="0">
  <x:autoFilter ref="A1:V14"/>
  <x:tableColumns count="22">
    <x:tableColumn id="1" name="case_id"/>
    <x:tableColumn id="2" name="building_id"/>
    <x:tableColumn id="3" name="building_name"/>
    <x:tableColumn id="4" name="zone_id"/>
    <x:tableColumn id="5" name="case_scope"/>
    <x:tableColumn id="6" name="A_f_m2"/>
    <x:tableColumn id="7" name="V_m3"/>
    <x:tableColumn id="8" name="H_tr_opaque_W_K"/>
    <x:tableColumn id="9" name="H_tr_windows_W_K"/>
    <x:tableColumn id="10" name="H_ground_W_K"/>
    <x:tableColumn id="11" name="q_ve_ahu_m3_h"/>
    <x:tableColumn id="12" name="q_direct_m3_h"/>
    <x:tableColumn id="13" name="eta_HR_effective"/>
    <x:tableColumn id="14" name="mass_class"/>
    <x:tableColumn id="15" name="theta_H_C"/>
    <x:tableColumn id="16" name="theta_C_C"/>
    <x:tableColumn id="17" name="cooling_enabled"/>
    <x:tableColumn id="18" name="ahu_enabled"/>
    <x:tableColumn id="19" name="eta_ahu_sensible"/>
    <x:tableColumn id="20" name="ahu_outdoor_ratio"/>
    <x:tableColumn id="21" name="T_supply_H_C"/>
    <x:tableColumn id="22" name="T_supply_C_C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InputMonthlyTable" displayName="InputMonthlyTable" ref="A1:L157" headerRowCount="1" totalsRowCount="0" totalsRowShown="0">
  <x:autoFilter ref="A1:L157"/>
  <x:tableColumns count="12">
    <x:tableColumn id="1" name="case_id"/>
    <x:tableColumn id="2" name="building_id"/>
    <x:tableColumn id="3" name="building_name"/>
    <x:tableColumn id="4" name="zone_id"/>
    <x:tableColumn id="5" name="period_id"/>
    <x:tableColumn id="6" name="days"/>
    <x:tableColumn id="7" name="outdoor_temp_C"/>
    <x:tableColumn id="8" name="aggregated_solar_gain_kWh"/>
    <x:tableColumn id="9" name="aggregated_internal_gain_kWh"/>
    <x:tableColumn id="10" name="mapped_gain_power_W"/>
    <x:tableColumn id="11" name="heating_operation_fraction"/>
    <x:tableColumn id="12" name="cooling_operation_fraction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CalcCaseTable" displayName="CalcCaseTable" ref="A1:N14" headerRowCount="1" totalsRowCount="0" totalsRowShown="0">
  <x:autoFilter ref="A1:N14"/>
  <x:tableColumns count="14">
    <x:tableColumn id="1" name="case_id"/>
    <x:tableColumn id="2" name="building_id"/>
    <x:tableColumn id="3" name="building_name"/>
    <x:tableColumn id="4" name="zone_id"/>
    <x:tableColumn id="5" name="H_transmission_W_K"/>
    <x:tableColumn id="6" name="H_ground_W_K"/>
    <x:tableColumn id="7" name="H_infiltration_W_K"/>
    <x:tableColumn id="8" name="H_ventilation_raw_W_K"/>
    <x:tableColumn id="9" name="H_ventilation_effective_W_K"/>
    <x:tableColumn id="10" name="H_total_W_K"/>
    <x:tableColumn id="11" name="specific_capacity_J_m2K"/>
    <x:tableColumn id="12" name="thermal_capacity_J_K"/>
    <x:tableColumn id="13" name="time_constant_h"/>
    <x:tableColumn id="14" name="utilisation_exponent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CalcMonthlyTable" displayName="CalcMonthlyTable" ref="A1:AF157" headerRowCount="1" totalsRowCount="0" totalsRowShown="0">
  <x:autoFilter ref="A1:AF157"/>
  <x:tableColumns count="32">
    <x:tableColumn id="1" name="case_id"/>
    <x:tableColumn id="2" name="building_id"/>
    <x:tableColumn id="3" name="building_name"/>
    <x:tableColumn id="4" name="zone_id"/>
    <x:tableColumn id="5" name="period_id"/>
    <x:tableColumn id="6" name="days"/>
    <x:tableColumn id="7" name="hours"/>
    <x:tableColumn id="8" name="outdoor_temp_C"/>
    <x:tableColumn id="9" name="heating_fraction"/>
    <x:tableColumn id="10" name="cooling_fraction"/>
    <x:tableColumn id="11" name="total_gain_kWh"/>
    <x:tableColumn id="12" name="H_direct_W_K"/>
    <x:tableColumn id="13" name="H_vent_raw_W_K"/>
    <x:tableColumn id="14" name="heating_heat_transfer_kWh"/>
    <x:tableColumn id="15" name="gamma_heating"/>
    <x:tableColumn id="16" name="eta_heating"/>
    <x:tableColumn id="17" name="zone_sensible_heating_kWh"/>
    <x:tableColumn id="18" name="cooling_heat_transfer_kWh"/>
    <x:tableColumn id="19" name="gamma_cooling"/>
    <x:tableColumn id="20" name="eta_cooling"/>
    <x:tableColumn id="21" name="zone_sensible_cooling_kWh"/>
    <x:tableColumn id="22" name="neutral_fraction"/>
    <x:tableColumn id="23" name="T_mixed_heating_C"/>
    <x:tableColumn id="24" name="T_mixed_cooling_C"/>
    <x:tableColumn id="25" name="T_mixed_neutral_C"/>
    <x:tableColumn id="26" name="coil_heating_segment_kWh"/>
    <x:tableColumn id="27" name="coil_cooling_segment_kWh"/>
    <x:tableColumn id="28" name="coil_neutral_segment_kWh"/>
    <x:tableColumn id="29" name="ahu_sensible_heating_kWh"/>
    <x:tableColumn id="30" name="ahu_sensible_cooling_kWh"/>
    <x:tableColumn id="31" name="useful_heating_kWh"/>
    <x:tableColumn id="32" name="useful_cooling_kWh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TestedResultsTable" displayName="TestedResultsTable" ref="A1:T157" headerRowCount="1" totalsRowCount="0" totalsRowShown="0">
  <x:autoFilter ref="A1:T157"/>
  <x:tableColumns count="20">
    <x:tableColumn id="1" name="case_id"/>
    <x:tableColumn id="2" name="building_id"/>
    <x:tableColumn id="3" name="building_name"/>
    <x:tableColumn id="4" name="zone_id"/>
    <x:tableColumn id="5" name="period_id"/>
    <x:tableColumn id="6" name="python_zone_heating_kWh"/>
    <x:tableColumn id="7" name="python_ahu_heating_kWh"/>
    <x:tableColumn id="8" name="python_useful_heating_kWh"/>
    <x:tableColumn id="9" name="python_zone_cooling_kWh"/>
    <x:tableColumn id="10" name="python_ahu_cooling_kWh"/>
    <x:tableColumn id="11" name="python_useful_cooling_kWh"/>
    <x:tableColumn id="12" name="reference_zone_heating_kWh"/>
    <x:tableColumn id="13" name="reference_ahu_heating_kWh"/>
    <x:tableColumn id="14" name="reference_useful_heating_kWh"/>
    <x:tableColumn id="15" name="reference_zone_cooling_kWh"/>
    <x:tableColumn id="16" name="reference_ahu_cooling_kWh"/>
    <x:tableColumn id="17" name="reference_useful_cooling_kWh"/>
    <x:tableColumn id="18" name="reference_solar_gain_kWh"/>
    <x:tableColumn id="19" name="reference_internal_gain_kWh"/>
    <x:tableColumn id="20" name="reference_total_gain_kWh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ReproductionCheckTable" displayName="ReproductionCheckTable" ref="A10:J166" headerRowCount="1" totalsRowCount="0" totalsRowShown="0">
  <x:autoFilter ref="A10:J166"/>
  <x:tableColumns count="10">
    <x:tableColumn id="1" name="case_id"/>
    <x:tableColumn id="2" name="period_id"/>
    <x:tableColumn id="3" name="delta_total_gain_kWh"/>
    <x:tableColumn id="4" name="delta_zone_H_kWh"/>
    <x:tableColumn id="5" name="delta_AHU_H_kWh"/>
    <x:tableColumn id="6" name="delta_total_H_kWh"/>
    <x:tableColumn id="7" name="delta_zone_C_kWh"/>
    <x:tableColumn id="8" name="delta_AHU_C_kWh"/>
    <x:tableColumn id="9" name="delta_total_C_kWh"/>
    <x:tableColumn id="10" name="status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OutMonthlyTable" displayName="OutMonthlyTable" ref="A1:O157" headerRowCount="1" totalsRowCount="0" totalsRowShown="0">
  <x:autoFilter ref="A1:O157"/>
  <x:tableColumns count="15">
    <x:tableColumn id="1" name="case_id"/>
    <x:tableColumn id="2" name="building_id"/>
    <x:tableColumn id="3" name="building_name"/>
    <x:tableColumn id="4" name="zone_id"/>
    <x:tableColumn id="5" name="period_id"/>
    <x:tableColumn id="6" name="outdoor_temp_C"/>
    <x:tableColumn id="7" name="H_total_W_K"/>
    <x:tableColumn id="8" name="time_constant_h"/>
    <x:tableColumn id="9" name="total_gain_kWh"/>
    <x:tableColumn id="10" name="zone_heating_kWh"/>
    <x:tableColumn id="11" name="AHU_heating_kWh"/>
    <x:tableColumn id="12" name="useful_heating_kWh"/>
    <x:tableColumn id="13" name="zone_cooling_kWh"/>
    <x:tableColumn id="14" name="AHU_cooling_kWh"/>
    <x:tableColumn id="15" name="useful_cooling_kWh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OutAnnualTable" displayName="OutAnnualTable" ref="A1:J14" headerRowCount="1" totalsRowCount="0" totalsRowShown="0">
  <x:autoFilter ref="A1:J14"/>
  <x:tableColumns count="10">
    <x:tableColumn id="1" name="case_id"/>
    <x:tableColumn id="2" name="building_id"/>
    <x:tableColumn id="3" name="building_name"/>
    <x:tableColumn id="4" name="zone_id"/>
    <x:tableColumn id="5" name="case_scope"/>
    <x:tableColumn id="6" name="A_f_m2"/>
    <x:tableColumn id="7" name="useful_heating_kWh"/>
    <x:tableColumn id="8" name="useful_cooling_kWh"/>
    <x:tableColumn id="9" name="heating_kWh_m2"/>
    <x:tableColumn id="10" name="cooling_kWh_m2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AnnualComparisonTable" displayName="AnnualComparisonTable" ref="A1:J14" headerRowCount="1" totalsRowCount="0" totalsRowShown="0">
  <x:autoFilter ref="A1:J14"/>
  <x:tableColumns count="10">
    <x:tableColumn id="1" name="case"/>
    <x:tableColumn id="2" name="semi_stationary_heating_kWh"/>
    <x:tableColumn id="3" name="spreadsheet_heating_kWh"/>
    <x:tableColumn id="4" name="heating_difference_kWh"/>
    <x:tableColumn id="5" name="heating_difference_pct"/>
    <x:tableColumn id="6" name="semi_stationary_cooling_kWh"/>
    <x:tableColumn id="7" name="spreadsheet_cooling_kWh"/>
    <x:tableColumn id="8" name="cooling_difference_kWh"/>
    <x:tableColumn id="9" name="cooling_difference_pct"/>
    <x:tableColumn id="10" name="interpreta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2" dT="2026-08-11T07:44:54.401" personId="{BFE1193A-7AA6-49A8-82F3-09489B954CF0}" id="{7ED90238-4719-B7F2-08BE-F7CC58A108E9}">
    <xltc:text>Air density used by MODEL_3.DEFAULTS and by the spreadsheet airflow conversion.</xltc:text>
  </xltc:threadedComment>
  <xltc:threadedComment ref="B6" dT="2026-08-11T07:44:54.405" personId="{BFE1193A-7AA6-49A8-82F3-09489B954CF0}" id="{32699C5B-0D57-9047-B9FA-E7BA767F1981}">
    <xltc:text>Numerical reconciliation threshold only; it is not a scientific model-acceptance tolerance.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M1" dT="2026-08-11T07:44:54.431" personId="{BFE1193A-7AA6-49A8-82F3-09489B954CF0}" id="{BFF8D81E-13C6-627E-1842-4E293569C22C}">
    <xltc:text>Equivalent recovery efficiency used only to preserve the external-air H_total boundary. AHU coil recovery is entered separately in column 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H1" dT="2026-08-11T07:44:54.519" personId="{BFE1193A-7AA6-49A8-82F3-09489B954CF0}" id="{FCF58EE9-1271-B3D2-256F-D7BDE461D43C}">
    <xltc:text>Reference phi_sol term. It includes transparent/opaque solar gains and the reference opaque long-wave sky-exchange contribution; it is not a glazing-only solar gain.</xltc:text>
  </xltc:threadedComment>
  <xltc:threadedComment ref="J1" dT="2026-08-11T07:44:54.52" personId="{BFE1193A-7AA6-49A8-82F3-09489B954CF0}" id="{C93A9DB9-6AD6-DAAA-7BAC-DDE1FDD1A7A2}">
    <xltc:text>Formula: 1000 × (aggregated solar gain + aggregated internal gain) / (days × 24). This reconstructs the mapped monthly mean gain power used by Model 3.</xltc:text>
  </xltc:threadedComment>
  <xltc:threadedComment ref="K1" dT="2026-08-11T07:44:54.52" personId="{BFE1193A-7AA6-49A8-82F3-09489B954CF0}" id="{C09734ED-BBB3-C335-AE26-2981FC9533BE}">
    <xltc:text>Derived upstream from hourly setpoint intention and the declared season mask. EPW/hourly preprocessing is intentionally outside this workbook.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b5af148bb045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62880a206644923" /><Relationship Type="http://schemas.openxmlformats.org/officeDocument/2006/relationships/vmlDrawing" Target="/xl/drawings/vmldrawing.vml" Id="R43d656aa95624a76" /><Relationship Type="http://schemas.microsoft.com/office/2017/10/relationships/threadedComment" Target="/xl/threadedcomments/threadedcomment.xml" Id="Rb774cf4697c7497d" /><Relationship Type="http://schemas.openxmlformats.org/officeDocument/2006/relationships/table" Target="/xl/tables/table2.xml" Id="Rf8cea8f13feb42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9cf677f8c042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46d91f041fa74a90" /><Relationship Type="http://schemas.openxmlformats.org/officeDocument/2006/relationships/vmlDrawing" Target="/xl/drawings/vmldrawing2.vml" Id="R6ce9503b3dec4617" /><Relationship Type="http://schemas.microsoft.com/office/2017/10/relationships/threadedComment" Target="/xl/threadedcomments/threadedcomment2.xml" Id="R5355f2b115f1421a" /><Relationship Type="http://schemas.openxmlformats.org/officeDocument/2006/relationships/table" Target="/xl/tables/table4.xml" Id="R91922214af1348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831a1f0cee1e4a2b" /><Relationship Type="http://schemas.openxmlformats.org/officeDocument/2006/relationships/vmlDrawing" Target="/xl/drawings/vmldrawing3.vml" Id="R48eea1fb7bcd44ab" /><Relationship Type="http://schemas.microsoft.com/office/2017/10/relationships/threadedComment" Target="/xl/threadedcomments/threadedcomment3.xml" Id="Rff5a6a5bbe9f4cdf" /><Relationship Type="http://schemas.openxmlformats.org/officeDocument/2006/relationships/table" Target="/xl/tables/table5.xml" Id="Rfe5f65808a9947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b2c60b903f42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613879ae2d4e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9f6c216177437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236bd428ed544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b6a51c2920c4f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4fa729c2d8444f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bc8804e5dc5740b5" /><Relationship Type="http://schemas.openxmlformats.org/officeDocument/2006/relationships/table" Target="/xl/tables/table12.xml" Id="Rc80467f2a2ad4e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 ht="25" customHeight="1">
      <x:c r="A1" s="2" t="str">
        <x:v>DT-Prototype — Simplified monthly energy model</x:v>
      </x:c>
      <x:c r="B1" s="2"/>
    </x:row>
    <x:row r="3" ht="22" customHeight="1">
      <x:c r="A3" s="17" t="str">
        <x:v>Purpose</x:v>
      </x:c>
      <x:c r="B3" s="18" t="str">
        <x:v>Formula-only spreadsheet companion to the tested INTEGRATION seasonal_ahu comparison mode. It reproduces monthly useful sensible heating and cooling for 13 supplied building/zone cases.</x:v>
      </x:c>
    </x:row>
    <x:row r="4" ht="22" customHeight="1">
      <x:c r="A4" s="19" t="str">
        <x:v>Scientific reference</x:v>
      </x:c>
      <x:c r="B4" s="20" t="str">
        <x:v>Validated ISO 13790-style semi-stationary implementation; agreement is cross-model verification, not empirical validation.</x:v>
      </x:c>
    </x:row>
    <x:row r="5" ht="22" customHeight="1">
      <x:c r="A5" s="19" t="str">
        <x:v>Weather boundary</x:v>
      </x:c>
      <x:c r="B5" s="20" t="str">
        <x:v>EPW preprocessing is excluded. In_Monthly accepts already aggregated days, outdoor temperature, separate reference solar/internal gains and heating/cooling availability fractions.</x:v>
      </x:c>
    </x:row>
    <x:row r="6" ht="22" customHeight="1">
      <x:c r="A6" s="19" t="str">
        <x:v>Source run</x:v>
      </x:c>
      <x:c r="B6" s="20" t="str">
        <x:v>20260810_stage4_seasonal_ahu_comparison_002</x:v>
      </x:c>
    </x:row>
    <x:row r="7" ht="22" customHeight="1">
      <x:c r="A7" s="19" t="str">
        <x:v>Model 3 module SHA-256</x:v>
      </x:c>
      <x:c r="B7" s="20" t="str">
        <x:v>d0d4add1770f3e21cb9ae178f4ce8d206554a2ec9da1b63c8e50b55373e26f9c</x:v>
      </x:c>
    </x:row>
    <x:row r="8" ht="22" customHeight="1">
      <x:c r="A8" s="21" t="str">
        <x:v>Platform</x:v>
      </x:c>
      <x:c r="B8" s="22" t="str">
        <x:v>Formulas only; no VBA or macros. Long-format sheets are designed for transparent audit and import.</x:v>
      </x:c>
    </x:row>
    <x:row r="9" ht="22" customHeight="1">
      <x:c r="A9" s="23"/>
      <x:c r="B9" s="20"/>
    </x:row>
    <x:row r="10" ht="22" customHeight="1">
      <x:c r="A10" s="24" t="str">
        <x:v>COLOUR LEGEND</x:v>
      </x:c>
      <x:c r="B10" s="20"/>
    </x:row>
    <x:row r="11" ht="22" customHeight="1">
      <x:c r="A11" s="25" t="str">
        <x:v>amber</x:v>
      </x:c>
      <x:c r="B11" s="20" t="str">
        <x:v>editable/model input (In_* sheets)</x:v>
      </x:c>
    </x:row>
    <x:row r="12" ht="22" customHeight="1">
      <x:c r="A12" s="19" t="str">
        <x:v>blue</x:v>
      </x:c>
      <x:c r="B12" s="20" t="str">
        <x:v>editable setting / lookup value (Settings_* sheets)</x:v>
      </x:c>
    </x:row>
    <x:row r="13" ht="22" customHeight="1">
      <x:c r="A13" s="19" t="str">
        <x:v>green</x:v>
      </x:c>
      <x:c r="B13" s="20" t="str">
        <x:v>output (Out_* and Comparison sheets)</x:v>
      </x:c>
    </x:row>
    <x:row r="14" ht="22" customHeight="1">
      <x:c r="A14" s="21" t="str">
        <x:v>no fill</x:v>
      </x:c>
      <x:c r="B14" s="22" t="str">
        <x:v>computed intermediate — do not overwrite</x:v>
      </x:c>
    </x:row>
    <x:row r="15" ht="22" customHeight="1">
      <x:c r="A15" s="19"/>
      <x:c r="B15" s="20"/>
    </x:row>
    <x:row r="16" ht="22" customHeight="1">
      <x:c r="A16" s="19" t="str">
        <x:v>SHEET INDEX</x:v>
      </x:c>
      <x:c r="B16" s="20"/>
    </x:row>
    <x:row r="17" ht="22" customHeight="1">
      <x:c r="A17" s="19" t="str">
        <x:v>Nomenclature</x:v>
      </x:c>
      <x:c r="B17" s="20" t="str">
        <x:v>Symbols, units, meanings and Python implementation anchors.</x:v>
      </x:c>
    </x:row>
    <x:row r="18" ht="22" customHeight="1">
      <x:c r="A18" s="19" t="str">
        <x:v>Settings_General</x:v>
      </x:c>
      <x:c r="B18" s="20" t="str">
        <x:v>Physical constants and numerical tolerance.</x:v>
      </x:c>
    </x:row>
    <x:row r="19" ht="22" customHeight="1">
      <x:c r="A19" s="19" t="str">
        <x:v>Settings_Mass</x:v>
      </x:c>
      <x:c r="B19" s="20" t="str">
        <x:v>Model 3 mass-class lookup.</x:v>
      </x:c>
    </x:row>
    <x:row r="20" ht="22" customHeight="1">
      <x:c r="A20" s="19" t="str">
        <x:v>In_Cases</x:v>
      </x:c>
      <x:c r="B20" s="20" t="str">
        <x:v>One row per building aggregate or individual zone; mapped static inputs.</x:v>
      </x:c>
    </x:row>
    <x:row r="21" ht="22" customHeight="1">
      <x:c r="A21" s="19" t="str">
        <x:v>In_Monthly</x:v>
      </x:c>
      <x:c r="B21" s="20" t="str">
        <x:v>One row per case × month; monthly weather, separate solar/internal gains, formula-derived mapped gain power and operating inputs.</x:v>
      </x:c>
    </x:row>
    <x:row r="22" ht="22" customHeight="1">
      <x:c r="A22" s="19" t="str">
        <x:v>Calc_Case</x:v>
      </x:c>
      <x:c r="B22" s="20" t="str">
        <x:v>Heat-transfer coefficients, thermal capacity, time constant and utilisation exponent.</x:v>
      </x:c>
    </x:row>
    <x:row r="23" ht="22" customHeight="1">
      <x:c r="A23" s="19" t="str">
        <x:v>Calc_Monthly</x:v>
      </x:c>
      <x:c r="B23" s="20" t="str">
        <x:v>Seasonal zone balance, independent AHU coil calculation and total useful sensible demand.</x:v>
      </x:c>
    </x:row>
    <x:row r="24" ht="22" customHeight="1">
      <x:c r="A24" s="19" t="str">
        <x:v>Tested_Results</x:v>
      </x:c>
      <x:c r="B24" s="20" t="str">
        <x:v>Immutable Python and validated-reference monthly fixtures from the completed run.</x:v>
      </x:c>
    </x:row>
    <x:row r="25" ht="22" customHeight="1">
      <x:c r="A25" s="19" t="str">
        <x:v>Check_Reproduction</x:v>
      </x:c>
      <x:c r="B25" s="20" t="str">
        <x:v>Cell-by-cell spreadsheet-versus-Python reconciliation.</x:v>
      </x:c>
    </x:row>
    <x:row r="26" ht="22" customHeight="1">
      <x:c r="A26" s="19" t="str">
        <x:v>Out_Monthly</x:v>
      </x:c>
      <x:c r="B26" s="20" t="str">
        <x:v>Compact monthly spreadsheet results.</x:v>
      </x:c>
    </x:row>
    <x:row r="27" ht="22" customHeight="1">
      <x:c r="A27" s="19" t="str">
        <x:v>Out_Annual</x:v>
      </x:c>
      <x:c r="B27" s="20" t="str">
        <x:v>Annual spreadsheet totals and specific results.</x:v>
      </x:c>
    </x:row>
    <x:row r="28" ht="22" customHeight="1">
      <x:c r="A28" s="21" t="str">
        <x:v>Comparison</x:v>
      </x:c>
      <x:c r="B28" s="22" t="str">
        <x:v>Annual semi-stationary versus spreadsheet comparison and chart.</x:v>
      </x:c>
    </x:row>
    <x:row r="29" ht="22" customHeight="1">
      <x:c r="A29" s="19"/>
      <x:c r="B29" s="20"/>
    </x:row>
    <x:row r="30" ht="22" customHeight="1">
      <x:c r="A30" s="19" t="str">
        <x:v>EDITING RULES</x:v>
      </x:c>
      <x:c r="B30" s="20"/>
    </x:row>
    <x:row r="31" ht="22" customHeight="1">
      <x:c r="A31" s="19" t="str">
        <x:v>1</x:v>
      </x:c>
      <x:c r="B31" s="20" t="str">
        <x:v>Replace amber input cells only. Keep identifiers and the 12 monthly rows per case unique.</x:v>
      </x:c>
    </x:row>
    <x:row r="32" ht="22" customHeight="1">
      <x:c r="A32" s="19" t="str">
        <x:v>2</x:v>
      </x:c>
      <x:c r="B32" s="20" t="str">
        <x:v>Heating and cooling operation fractions must each be in [0,1] and must not overlap.</x:v>
      </x:c>
    </x:row>
    <x:row r="33" ht="22" customHeight="1">
      <x:c r="A33" s="19" t="str">
        <x:v>3</x:v>
      </x:c>
      <x:c r="B33" s="20" t="str">
        <x:v>For no-AHU cases set ahu_enabled=0 and q_ve_ahu_m3_h=0; direct airflow remains in q_direct_m3_h.</x:v>
      </x:c>
    </x:row>
    <x:row r="34" ht="22" customHeight="1">
      <x:c r="A34" s="21" t="str">
        <x:v>4</x:v>
      </x:c>
      <x:c r="B34" s="22" t="str">
        <x:v>After edits, Check_Reproduction will no longer match the supplied golden run unless Tested_Results is intentionally replaced by a new traceable run.</x:v>
      </x:c>
    </x:row>
    <x:row r="35" ht="22" customHeight="1">
      <x:c r="A35" s="19"/>
      <x:c r="B35" s="20"/>
    </x:row>
    <x:row r="36" ht="22" customHeight="1">
      <x:c r="A36" s="19" t="str">
        <x:v>LIMITATIONS</x:v>
      </x:c>
      <x:c r="B36" s="20"/>
    </x:row>
    <x:row r="37" ht="22" customHeight="1">
      <x:c r="A37" s="19" t="str">
        <x:v>Aggregate two-zone cases</x:v>
      </x:c>
      <x:c r="B37" s="20" t="str">
        <x:v>Upper and lower reference zones are independently solved but the comparison calculation collapses them to one Model 3 zone. Individual-zone rows are scientifically preferable.</x:v>
      </x:c>
    </x:row>
    <x:row r="38" ht="22" customHeight="1">
      <x:c r="A38" s="19" t="str">
        <x:v>Remaining approximations</x:v>
      </x:c>
      <x:c r="B38" s="20" t="str">
        <x:v>Annual-mean airflow, monthly-mean AHU weather, constant active setpoints, nearest mass class and prescribed reference gains.</x:v>
      </x:c>
    </x:row>
    <x:row r="39" ht="22" customHeight="1">
      <x:c r="A39" s="26" t="str">
        <x:v>Not included</x:v>
      </x:c>
      <x:c r="B39" s="27" t="str">
        <x:v>EPW processing, system/carrier conversion, DHW, PV, solar thermal, primary energy, carbon, measured-data calibration and 5P regression.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34" hidden="0" customWidth="1"/>
    <x:col min="4" max="4" width="52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0" customHeight="1">
      <x:c r="A1" s="33" t="str">
        <x:v>block</x:v>
      </x:c>
      <x:c r="B1" s="33" t="str">
        <x:v>symbol</x:v>
      </x:c>
      <x:c r="C1" s="33" t="str">
        <x:v>workbook_name</x:v>
      </x:c>
      <x:c r="D1" s="33" t="str">
        <x:v>meaning</x:v>
      </x:c>
      <x:c r="E1" s="33" t="str">
        <x:v>unit</x:v>
      </x:c>
      <x:c r="F1" s="33" t="str">
        <x:v>type</x:v>
      </x:c>
      <x:c r="G1" s="33" t="str">
        <x:v>Python anchor</x:v>
      </x:c>
    </x:row>
    <x:row r="2">
      <x:c r="A2" s="38" t="str">
        <x:v>Index</x:v>
      </x:c>
      <x:c r="B2" s="38" t="str">
        <x:v>b</x:v>
      </x:c>
      <x:c r="C2" s="38" t="str">
        <x:v>building_id</x:v>
      </x:c>
      <x:c r="D2" s="38" t="str">
        <x:v>Stable building identifier</x:v>
      </x:c>
      <x:c r="E2" s="38" t="str">
        <x:v>-</x:v>
      </x:c>
      <x:c r="F2" s="38" t="str">
        <x:v>input</x:v>
      </x:c>
      <x:c r="G2" s="38" t="str">
        <x:v>schemas.py / mapping</x:v>
      </x:c>
    </x:row>
    <x:row r="3">
      <x:c r="A3" s="39" t="str">
        <x:v>Index</x:v>
      </x:c>
      <x:c r="B3" s="39" t="str">
        <x:v>z</x:v>
      </x:c>
      <x:c r="C3" s="39" t="str">
        <x:v>zone_id</x:v>
      </x:c>
      <x:c r="D3" s="39" t="str">
        <x:v>aggregate, upper or lower calculation case</x:v>
      </x:c>
      <x:c r="E3" s="39" t="str">
        <x:v>-</x:v>
      </x:c>
      <x:c r="F3" s="39" t="str">
        <x:v>input</x:v>
      </x:c>
      <x:c r="G3" s="39" t="str">
        <x:v>MonthlyPhysicsRecord.zone_id</x:v>
      </x:c>
    </x:row>
    <x:row r="4">
      <x:c r="A4" s="39" t="str">
        <x:v>Time</x:v>
      </x:c>
      <x:c r="B4" s="39" t="str">
        <x:v>d_m</x:v>
      </x:c>
      <x:c r="C4" s="39" t="str">
        <x:v>days</x:v>
      </x:c>
      <x:c r="D4" s="39" t="str">
        <x:v>Days in month</x:v>
      </x:c>
      <x:c r="E4" s="39" t="str">
        <x:v>d</x:v>
      </x:c>
      <x:c r="F4" s="39" t="str">
        <x:v>input</x:v>
      </x:c>
      <x:c r="G4" s="39" t="str">
        <x:v>timeseries.csv</x:v>
      </x:c>
    </x:row>
    <x:row r="5">
      <x:c r="A5" s="39" t="str">
        <x:v>Time</x:v>
      </x:c>
      <x:c r="B5" s="39" t="str">
        <x:v>t_m</x:v>
      </x:c>
      <x:c r="C5" s="39" t="str">
        <x:v>hours</x:v>
      </x:c>
      <x:c r="D5" s="39" t="str">
        <x:v>Hours in month = 24 days</x:v>
      </x:c>
      <x:c r="E5" s="39" t="str">
        <x:v>h</x:v>
      </x:c>
      <x:c r="F5" s="39" t="str">
        <x:v>computed</x:v>
      </x:c>
      <x:c r="G5" s="39" t="str">
        <x:v>model3.monthly_demand</x:v>
      </x:c>
    </x:row>
    <x:row r="6">
      <x:c r="A6" s="39" t="str">
        <x:v>Climate</x:v>
      </x:c>
      <x:c r="B6" s="39" t="str">
        <x:v>theta_e</x:v>
      </x:c>
      <x:c r="C6" s="39" t="str">
        <x:v>outdoor_temp_C</x:v>
      </x:c>
      <x:c r="D6" s="39" t="str">
        <x:v>Monthly mean outdoor temperature</x:v>
      </x:c>
      <x:c r="E6" s="39" t="str">
        <x:v>degC</x:v>
      </x:c>
      <x:c r="F6" s="39" t="str">
        <x:v>input</x:v>
      </x:c>
      <x:c r="G6" s="39" t="str">
        <x:v>weather adapter</x:v>
      </x:c>
    </x:row>
    <x:row r="7">
      <x:c r="A7" s="39" t="str">
        <x:v>Schedule</x:v>
      </x:c>
      <x:c r="B7" s="39" t="str">
        <x:v>f_H</x:v>
      </x:c>
      <x:c r="C7" s="39" t="str">
        <x:v>heating_operation_fraction</x:v>
      </x:c>
      <x:c r="D7" s="39" t="str">
        <x:v>Monthly heating availability fraction</x:v>
      </x:c>
      <x:c r="E7" s="39" t="str">
        <x:v>0..1</x:v>
      </x:c>
      <x:c r="F7" s="39" t="str">
        <x:v>input</x:v>
      </x:c>
      <x:c r="G7" s="39" t="str">
        <x:v>_monthly_operation_fractions</x:v>
      </x:c>
    </x:row>
    <x:row r="8">
      <x:c r="A8" s="39" t="str">
        <x:v>Schedule</x:v>
      </x:c>
      <x:c r="B8" s="39" t="str">
        <x:v>f_C</x:v>
      </x:c>
      <x:c r="C8" s="39" t="str">
        <x:v>cooling_operation_fraction</x:v>
      </x:c>
      <x:c r="D8" s="39" t="str">
        <x:v>Monthly cooling availability fraction</x:v>
      </x:c>
      <x:c r="E8" s="39" t="str">
        <x:v>0..1</x:v>
      </x:c>
      <x:c r="F8" s="39" t="str">
        <x:v>input</x:v>
      </x:c>
      <x:c r="G8" s="39" t="str">
        <x:v>_monthly_operation_fractions</x:v>
      </x:c>
    </x:row>
    <x:row r="9">
      <x:c r="A9" s="39" t="str">
        <x:v>Envelope</x:v>
      </x:c>
      <x:c r="B9" s="39" t="str">
        <x:v>H_tr</x:v>
      </x:c>
      <x:c r="C9" s="39" t="str">
        <x:v>H_transmission_W_K</x:v>
      </x:c>
      <x:c r="D9" s="39" t="str">
        <x:v>Non-ground transmission coefficient</x:v>
      </x:c>
      <x:c r="E9" s="39" t="str">
        <x:v>W/K</x:v>
      </x:c>
      <x:c r="F9" s="39" t="str">
        <x:v>computed</x:v>
      </x:c>
      <x:c r="G9" s="39" t="str">
        <x:v>building_coefficients</x:v>
      </x:c>
    </x:row>
    <x:row r="10">
      <x:c r="A10" s="39" t="str">
        <x:v>Ground</x:v>
      </x:c>
      <x:c r="B10" s="39" t="str">
        <x:v>H_g</x:v>
      </x:c>
      <x:c r="C10" s="39" t="str">
        <x:v>H_ground_W_K</x:v>
      </x:c>
      <x:c r="D10" s="39" t="str">
        <x:v>Reference 0.7-U ground coefficient</x:v>
      </x:c>
      <x:c r="E10" s="39" t="str">
        <x:v>W/K</x:v>
      </x:c>
      <x:c r="F10" s="39" t="str">
        <x:v>input</x:v>
      </x:c>
      <x:c r="G10" s="39" t="str">
        <x:v>reference_to_model3.py</x:v>
      </x:c>
    </x:row>
    <x:row r="11">
      <x:c r="A11" s="39" t="str">
        <x:v>Air</x:v>
      </x:c>
      <x:c r="B11" s="39" t="str">
        <x:v>q_inf</x:v>
      </x:c>
      <x:c r="C11" s="39" t="str">
        <x:v>q_direct_m3_h</x:v>
      </x:c>
      <x:c r="D11" s="39" t="str">
        <x:v>Infiltration plus direct outdoor ventilation</x:v>
      </x:c>
      <x:c r="E11" s="39" t="str">
        <x:v>m3/h</x:v>
      </x:c>
      <x:c r="F11" s="39" t="str">
        <x:v>input</x:v>
      </x:c>
      <x:c r="G11" s="39" t="str">
        <x:v>_enhanced_airflow_mapping</x:v>
      </x:c>
    </x:row>
    <x:row r="12">
      <x:c r="A12" s="39" t="str">
        <x:v>Air</x:v>
      </x:c>
      <x:c r="B12" s="39" t="str">
        <x:v>q_ve</x:v>
      </x:c>
      <x:c r="C12" s="39" t="str">
        <x:v>q_ve_ahu_m3_h</x:v>
      </x:c>
      <x:c r="D12" s="39" t="str">
        <x:v>AHU mechanical airflow</x:v>
      </x:c>
      <x:c r="E12" s="39" t="str">
        <x:v>m3/h</x:v>
      </x:c>
      <x:c r="F12" s="39" t="str">
        <x:v>input</x:v>
      </x:c>
      <x:c r="G12" s="39" t="str">
        <x:v>_enhanced_airflow_mapping</x:v>
      </x:c>
    </x:row>
    <x:row r="13">
      <x:c r="A13" s="39" t="str">
        <x:v>Air</x:v>
      </x:c>
      <x:c r="B13" s="39" t="str">
        <x:v>eta_HR</x:v>
      </x:c>
      <x:c r="C13" s="39" t="str">
        <x:v>eta_HR_effective</x:v>
      </x:c>
      <x:c r="D13" s="39" t="str">
        <x:v>Equivalent external-air recovery efficiency</x:v>
      </x:c>
      <x:c r="E13" s="39" t="str">
        <x:v>-</x:v>
      </x:c>
      <x:c r="F13" s="39" t="str">
        <x:v>input</x:v>
      </x:c>
      <x:c r="G13" s="39" t="str">
        <x:v>building_coefficients</x:v>
      </x:c>
    </x:row>
    <x:row r="14">
      <x:c r="A14" s="39" t="str">
        <x:v>Air</x:v>
      </x:c>
      <x:c r="B14" s="39" t="str">
        <x:v>H_inf</x:v>
      </x:c>
      <x:c r="C14" s="39" t="str">
        <x:v>H_infiltration_W_K</x:v>
      </x:c>
      <x:c r="D14" s="39" t="str">
        <x:v>Direct-air heat-transfer coefficient</x:v>
      </x:c>
      <x:c r="E14" s="39" t="str">
        <x:v>W/K</x:v>
      </x:c>
      <x:c r="F14" s="39" t="str">
        <x:v>computed</x:v>
      </x:c>
      <x:c r="G14" s="39" t="str">
        <x:v>building_coefficients</x:v>
      </x:c>
    </x:row>
    <x:row r="15">
      <x:c r="A15" s="39" t="str">
        <x:v>Air</x:v>
      </x:c>
      <x:c r="B15" s="39" t="str">
        <x:v>H_ve,raw</x:v>
      </x:c>
      <x:c r="C15" s="39" t="str">
        <x:v>H_ventilation_raw_W_K</x:v>
      </x:c>
      <x:c r="D15" s="39" t="str">
        <x:v>Raw AHU airflow heat capacity rate</x:v>
      </x:c>
      <x:c r="E15" s="39" t="str">
        <x:v>W/K</x:v>
      </x:c>
      <x:c r="F15" s="39" t="str">
        <x:v>computed</x:v>
      </x:c>
      <x:c r="G15" s="39" t="str">
        <x:v>building_coefficients</x:v>
      </x:c>
    </x:row>
    <x:row r="16">
      <x:c r="A16" s="39" t="str">
        <x:v>Air</x:v>
      </x:c>
      <x:c r="B16" s="39" t="str">
        <x:v>H_ve,ext</x:v>
      </x:c>
      <x:c r="C16" s="39" t="str">
        <x:v>H_ventilation_effective_W_K</x:v>
      </x:c>
      <x:c r="D16" s="39" t="str">
        <x:v>Effective external-air coefficient</x:v>
      </x:c>
      <x:c r="E16" s="39" t="str">
        <x:v>W/K</x:v>
      </x:c>
      <x:c r="F16" s="39" t="str">
        <x:v>computed</x:v>
      </x:c>
      <x:c r="G16" s="39" t="str">
        <x:v>building_coefficients</x:v>
      </x:c>
    </x:row>
    <x:row r="17">
      <x:c r="A17" s="39" t="str">
        <x:v>Dynamics</x:v>
      </x:c>
      <x:c r="B17" s="39" t="str">
        <x:v>C_m</x:v>
      </x:c>
      <x:c r="C17" s="39" t="str">
        <x:v>thermal_capacity_J_K</x:v>
      </x:c>
      <x:c r="D17" s="39" t="str">
        <x:v>Mass-class capacity times floor area</x:v>
      </x:c>
      <x:c r="E17" s="39" t="str">
        <x:v>J/K</x:v>
      </x:c>
      <x:c r="F17" s="39" t="str">
        <x:v>computed</x:v>
      </x:c>
      <x:c r="G17" s="39" t="str">
        <x:v>building_coefficients</x:v>
      </x:c>
    </x:row>
    <x:row r="18">
      <x:c r="A18" s="39" t="str">
        <x:v>Dynamics</x:v>
      </x:c>
      <x:c r="B18" s="39" t="str">
        <x:v>tau</x:v>
      </x:c>
      <x:c r="C18" s="39" t="str">
        <x:v>time_constant_h</x:v>
      </x:c>
      <x:c r="D18" s="39" t="str">
        <x:v>C_m / (3600 H_total)</x:v>
      </x:c>
      <x:c r="E18" s="39" t="str">
        <x:v>h</x:v>
      </x:c>
      <x:c r="F18" s="39" t="str">
        <x:v>computed</x:v>
      </x:c>
      <x:c r="G18" s="39" t="str">
        <x:v>building_coefficients</x:v>
      </x:c>
    </x:row>
    <x:row r="19">
      <x:c r="A19" s="39" t="str">
        <x:v>Dynamics</x:v>
      </x:c>
      <x:c r="B19" s="39" t="str">
        <x:v>a</x:v>
      </x:c>
      <x:c r="C19" s="39" t="str">
        <x:v>utilisation_exponent</x:v>
      </x:c>
      <x:c r="D19" s="39" t="str">
        <x:v>a0 + tau/tau0</x:v>
      </x:c>
      <x:c r="E19" s="39" t="str">
        <x:v>-</x:v>
      </x:c>
      <x:c r="F19" s="39" t="str">
        <x:v>computed</x:v>
      </x:c>
      <x:c r="G19" s="39" t="str">
        <x:v>building_coefficients</x:v>
      </x:c>
    </x:row>
    <x:row r="20">
      <x:c r="A20" s="39" t="str">
        <x:v>Gains</x:v>
      </x:c>
      <x:c r="B20" s="39" t="str">
        <x:v>Q_sol</x:v>
      </x:c>
      <x:c r="C20" s="39" t="str">
        <x:v>aggregated_solar_gain_kWh</x:v>
      </x:c>
      <x:c r="D20" s="39" t="str">
        <x:v>Reference phi_sol term; includes opaque long-wave sky exchange</x:v>
      </x:c>
      <x:c r="E20" s="39" t="str">
        <x:v>kWh</x:v>
      </x:c>
      <x:c r="F20" s="39" t="str">
        <x:v>input</x:v>
      </x:c>
      <x:c r="G20" s="39" t="str">
        <x:v>SemiStationaryEngine._record</x:v>
      </x:c>
    </x:row>
    <x:row r="21">
      <x:c r="A21" s="39" t="str">
        <x:v>Gains</x:v>
      </x:c>
      <x:c r="B21" s="39" t="str">
        <x:v>Q_int</x:v>
      </x:c>
      <x:c r="C21" s="39" t="str">
        <x:v>aggregated_internal_gain_kWh</x:v>
      </x:c>
      <x:c r="D21" s="39" t="str">
        <x:v>Aggregated reference internal gains</x:v>
      </x:c>
      <x:c r="E21" s="39" t="str">
        <x:v>kWh</x:v>
      </x:c>
      <x:c r="F21" s="39" t="str">
        <x:v>input</x:v>
      </x:c>
      <x:c r="G21" s="39" t="str">
        <x:v>SemiStationaryEngine._record</x:v>
      </x:c>
    </x:row>
    <x:row r="22">
      <x:c r="A22" s="39" t="str">
        <x:v>Gains</x:v>
      </x:c>
      <x:c r="B22" s="39" t="str">
        <x:v>P_gn</x:v>
      </x:c>
      <x:c r="C22" s="39" t="str">
        <x:v>mapped_gain_power_W</x:v>
      </x:c>
      <x:c r="D22" s="39" t="str">
        <x:v>1000 (Q_sol + Q_int) / monthly hours</x:v>
      </x:c>
      <x:c r="E22" s="39" t="str">
        <x:v>W</x:v>
      </x:c>
      <x:c r="F22" s="39" t="str">
        <x:v>computed</x:v>
      </x:c>
      <x:c r="G22" s="39" t="str">
        <x:v>reference_to_model3.py</x:v>
      </x:c>
    </x:row>
    <x:row r="23">
      <x:c r="A23" s="39" t="str">
        <x:v>Gains</x:v>
      </x:c>
      <x:c r="B23" s="39" t="str">
        <x:v>Q_gn</x:v>
      </x:c>
      <x:c r="C23" s="39" t="str">
        <x:v>total_gain_kWh</x:v>
      </x:c>
      <x:c r="D23" s="39" t="str">
        <x:v>Q_sol + Q_int reconstructed in the monthly calculation</x:v>
      </x:c>
      <x:c r="E23" s="39" t="str">
        <x:v>kWh</x:v>
      </x:c>
      <x:c r="F23" s="39" t="str">
        <x:v>computed</x:v>
      </x:c>
      <x:c r="G23" s="39" t="str">
        <x:v>monthly_demand</x:v>
      </x:c>
    </x:row>
    <x:row r="24">
      <x:c r="A24" s="39" t="str">
        <x:v>Heating</x:v>
      </x:c>
      <x:c r="B24" s="39" t="str">
        <x:v>Q_H,ht</x:v>
      </x:c>
      <x:c r="C24" s="39" t="str">
        <x:v>heating_heat_transfer_kWh</x:v>
      </x:c>
      <x:c r="D24" s="39" t="str">
        <x:v>Zone-side heating heat transfer</x:v>
      </x:c>
      <x:c r="E24" s="39" t="str">
        <x:v>kWh</x:v>
      </x:c>
      <x:c r="F24" s="39" t="str">
        <x:v>computed</x:v>
      </x:c>
      <x:c r="G24" s="39" t="str">
        <x:v>monthly_demand</x:v>
      </x:c>
    </x:row>
    <x:row r="25">
      <x:c r="A25" s="39" t="str">
        <x:v>Heating</x:v>
      </x:c>
      <x:c r="B25" s="39" t="str">
        <x:v>gamma_H</x:v>
      </x:c>
      <x:c r="C25" s="39" t="str">
        <x:v>gamma_heating</x:v>
      </x:c>
      <x:c r="D25" s="39" t="str">
        <x:v>Q_gain / Q_H,ht</x:v>
      </x:c>
      <x:c r="E25" s="39" t="str">
        <x:v>-</x:v>
      </x:c>
      <x:c r="F25" s="39" t="str">
        <x:v>computed</x:v>
      </x:c>
      <x:c r="G25" s="39" t="str">
        <x:v>monthly_demand</x:v>
      </x:c>
    </x:row>
    <x:row r="26">
      <x:c r="A26" s="39" t="str">
        <x:v>Heating</x:v>
      </x:c>
      <x:c r="B26" s="39" t="str">
        <x:v>eta_H</x:v>
      </x:c>
      <x:c r="C26" s="39" t="str">
        <x:v>utilisation_factor_heating</x:v>
      </x:c>
      <x:c r="D26" s="39" t="str">
        <x:v>Gain-utilisation factor</x:v>
      </x:c>
      <x:c r="E26" s="39" t="str">
        <x:v>-</x:v>
      </x:c>
      <x:c r="F26" s="39" t="str">
        <x:v>computed</x:v>
      </x:c>
      <x:c r="G26" s="39" t="str">
        <x:v>utilisation_factor_heating</x:v>
      </x:c>
    </x:row>
    <x:row r="27">
      <x:c r="A27" s="39" t="str">
        <x:v>Cooling</x:v>
      </x:c>
      <x:c r="B27" s="39" t="str">
        <x:v>Q_C,ht</x:v>
      </x:c>
      <x:c r="C27" s="39" t="str">
        <x:v>cooling_heat_transfer_kWh</x:v>
      </x:c>
      <x:c r="D27" s="39" t="str">
        <x:v>Zone-side cooling heat transfer</x:v>
      </x:c>
      <x:c r="E27" s="39" t="str">
        <x:v>kWh</x:v>
      </x:c>
      <x:c r="F27" s="39" t="str">
        <x:v>computed</x:v>
      </x:c>
      <x:c r="G27" s="39" t="str">
        <x:v>monthly_demand</x:v>
      </x:c>
    </x:row>
    <x:row r="28">
      <x:c r="A28" s="39" t="str">
        <x:v>Cooling</x:v>
      </x:c>
      <x:c r="B28" s="39" t="str">
        <x:v>gamma_C</x:v>
      </x:c>
      <x:c r="C28" s="39" t="str">
        <x:v>gamma_cooling</x:v>
      </x:c>
      <x:c r="D28" s="39" t="str">
        <x:v>Q_gain / Q_C,ht in seasonal_ahu mode</x:v>
      </x:c>
      <x:c r="E28" s="39" t="str">
        <x:v>-</x:v>
      </x:c>
      <x:c r="F28" s="39" t="str">
        <x:v>computed</x:v>
      </x:c>
      <x:c r="G28" s="39" t="str">
        <x:v>monthly_demand</x:v>
      </x:c>
    </x:row>
    <x:row r="29">
      <x:c r="A29" s="39" t="str">
        <x:v>Cooling</x:v>
      </x:c>
      <x:c r="B29" s="39" t="str">
        <x:v>eta_C</x:v>
      </x:c>
      <x:c r="C29" s="39" t="str">
        <x:v>utilisation_factor_cooling</x:v>
      </x:c>
      <x:c r="D29" s="39" t="str">
        <x:v>Loss-utilisation factor</x:v>
      </x:c>
      <x:c r="E29" s="39" t="str">
        <x:v>-</x:v>
      </x:c>
      <x:c r="F29" s="39" t="str">
        <x:v>computed</x:v>
      </x:c>
      <x:c r="G29" s="39" t="str">
        <x:v>utilisation_factor_cooling</x:v>
      </x:c>
    </x:row>
    <x:row r="30">
      <x:c r="A30" s="39" t="str">
        <x:v>AHU</x:v>
      </x:c>
      <x:c r="B30" s="39" t="str">
        <x:v>Q_AHU,H</x:v>
      </x:c>
      <x:c r="C30" s="39" t="str">
        <x:v>ahu_sensible_heating_kWh</x:v>
      </x:c>
      <x:c r="D30" s="39" t="str">
        <x:v>Positive AHU coil load</x:v>
      </x:c>
      <x:c r="E30" s="39" t="str">
        <x:v>kWh</x:v>
      </x:c>
      <x:c r="F30" s="39" t="str">
        <x:v>computed</x:v>
      </x:c>
      <x:c r="G30" s="39" t="str">
        <x:v>_ahu_sensible_demand</x:v>
      </x:c>
    </x:row>
    <x:row r="31">
      <x:c r="A31" s="39" t="str">
        <x:v>AHU</x:v>
      </x:c>
      <x:c r="B31" s="39" t="str">
        <x:v>Q_AHU,C</x:v>
      </x:c>
      <x:c r="C31" s="39" t="str">
        <x:v>ahu_sensible_cooling_kWh</x:v>
      </x:c>
      <x:c r="D31" s="39" t="str">
        <x:v>Magnitude of negative AHU coil load</x:v>
      </x:c>
      <x:c r="E31" s="39" t="str">
        <x:v>kWh</x:v>
      </x:c>
      <x:c r="F31" s="39" t="str">
        <x:v>computed</x:v>
      </x:c>
      <x:c r="G31" s="39" t="str">
        <x:v>_ahu_sensible_demand</x:v>
      </x:c>
    </x:row>
    <x:row r="32">
      <x:c r="A32" s="39" t="str">
        <x:v>Demand</x:v>
      </x:c>
      <x:c r="B32" s="39" t="str">
        <x:v>Q_H,use</x:v>
      </x:c>
      <x:c r="C32" s="39" t="str">
        <x:v>useful_heating_kWh</x:v>
      </x:c>
      <x:c r="D32" s="39" t="str">
        <x:v>Zone heating plus AHU heating</x:v>
      </x:c>
      <x:c r="E32" s="39" t="str">
        <x:v>kWh</x:v>
      </x:c>
      <x:c r="F32" s="39" t="str">
        <x:v>output</x:v>
      </x:c>
      <x:c r="G32" s="39" t="str">
        <x:v>monthly_demand</x:v>
      </x:c>
    </x:row>
    <x:row r="33">
      <x:c r="A33" s="39" t="str">
        <x:v>Demand</x:v>
      </x:c>
      <x:c r="B33" s="39" t="str">
        <x:v>Q_C,use</x:v>
      </x:c>
      <x:c r="C33" s="39" t="str">
        <x:v>useful_cooling_kWh</x:v>
      </x:c>
      <x:c r="D33" s="39" t="str">
        <x:v>Zone cooling plus AHU cooling</x:v>
      </x:c>
      <x:c r="E33" s="39" t="str">
        <x:v>kWh</x:v>
      </x:c>
      <x:c r="F33" s="39" t="str">
        <x:v>output</x:v>
      </x:c>
      <x:c r="G33" s="39" t="str">
        <x:v>monthly_demand</x:v>
      </x:c>
    </x:row>
  </x:sheetData>
  <x:pageMargins left="0.7" right="0.7" top="0.75" bottom="0.75" header="0.3" footer="0.3"/>
  <x:tableParts count="1">
    <x:tablePart xmlns:r="http://schemas.openxmlformats.org/officeDocument/2006/relationships" r:id="Rb0b5af148bb045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18" hidden="0" customWidth="1"/>
    <x:col min="4" max="4" width="50" hidden="0" customWidth="1"/>
  </x:cols>
  <x:sheetData>
    <x:row r="1" ht="30" customHeight="1">
      <x:c r="A1" s="33" t="str">
        <x:v>name</x:v>
      </x:c>
      <x:c r="B1" s="33" t="str">
        <x:v>value</x:v>
      </x:c>
      <x:c r="C1" s="33" t="str">
        <x:v>unit</x:v>
      </x:c>
      <x:c r="D1" s="33" t="str">
        <x:v>source / purpose</x:v>
      </x:c>
    </x:row>
    <x:row r="2">
      <x:c r="A2" s="43" t="str">
        <x:v>rho_air</x:v>
      </x:c>
      <x:c r="B2" s="45" t="n">
        <x:v>1.2</x:v>
      </x:c>
      <x:c r="C2" s="43" t="str">
        <x:v>kg/m3</x:v>
      </x:c>
      <x:c r="D2" s="43" t="str">
        <x:v>MODEL_3.DEFAULTS['rho_air']</x:v>
      </x:c>
    </x:row>
    <x:row r="3">
      <x:c r="A3" s="44" t="str">
        <x:v>cp_air</x:v>
      </x:c>
      <x:c r="B3" s="46" t="n">
        <x:v>1005</x:v>
      </x:c>
      <x:c r="C3" s="44" t="str">
        <x:v>J/(kg K)</x:v>
      </x:c>
      <x:c r="D3" s="44" t="str">
        <x:v>MODEL_3.DEFAULTS['cp_air']</x:v>
      </x:c>
    </x:row>
    <x:row r="4">
      <x:c r="A4" s="44" t="str">
        <x:v>a0</x:v>
      </x:c>
      <x:c r="B4" s="46" t="n">
        <x:v>1</x:v>
      </x:c>
      <x:c r="C4" s="44" t="str">
        <x:v>-</x:v>
      </x:c>
      <x:c r="D4" s="44" t="str">
        <x:v>MODEL_3.DEFAULTS['a0']</x:v>
      </x:c>
    </x:row>
    <x:row r="5">
      <x:c r="A5" s="44" t="str">
        <x:v>tau0_h</x:v>
      </x:c>
      <x:c r="B5" s="46" t="n">
        <x:v>15</x:v>
      </x:c>
      <x:c r="C5" s="44" t="str">
        <x:v>h</x:v>
      </x:c>
      <x:c r="D5" s="44" t="str">
        <x:v>MODEL_3.DEFAULTS['tau0_h']</x:v>
      </x:c>
    </x:row>
    <x:row r="6">
      <x:c r="A6" s="44" t="str">
        <x:v>reproduction_tolerance_kWh</x:v>
      </x:c>
      <x:c r="B6" s="46" t="n">
        <x:v>0.000001</x:v>
      </x:c>
      <x:c r="C6" s="44" t="str">
        <x:v>kWh</x:v>
      </x:c>
      <x:c r="D6" s="44" t="str">
        <x:v>Workbook-versus-Python PASS threshold</x:v>
      </x:c>
    </x:row>
    <x:row r="7">
      <x:c r="A7" s="44" t="str">
        <x:v>source_run_id</x:v>
      </x:c>
      <x:c r="B7" s="44" t="str">
        <x:v>20260810_stage4_seasonal_ahu_comparison_002</x:v>
      </x:c>
      <x:c r="C7" s="44" t="str">
        <x:v>-</x:v>
      </x:c>
      <x:c r="D7" s="44" t="str">
        <x:v>Immutable comparison fixture</x:v>
      </x:c>
    </x:row>
    <x:row r="8">
      <x:c r="A8" s="44" t="str">
        <x:v>comparison_mode</x:v>
      </x:c>
      <x:c r="B8" s="44" t="str">
        <x:v>seasonal_ahu</x:v>
      </x:c>
      <x:c r="C8" s="44" t="str">
        <x:v>-</x:v>
      </x:c>
      <x:c r="D8" s="44" t="str">
        <x:v>Opt-in seasonal/AHU path</x:v>
      </x:c>
    </x:row>
  </x:sheetData>
  <x:pageMargins left="0.7" right="0.7" top="0.75" bottom="0.75" header="0.3" footer="0.3"/>
  <x:legacyDrawing xmlns:r="http://schemas.openxmlformats.org/officeDocument/2006/relationships" r:id="R43d656aa95624a76"/>
  <x:tableParts count="1">
    <x:tablePart xmlns:r="http://schemas.openxmlformats.org/officeDocument/2006/relationships" r:id="Rf8cea8f13feb42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2" hidden="0" customWidth="1"/>
  </x:cols>
  <x:sheetData>
    <x:row r="1" ht="30" customHeight="1">
      <x:c r="A1" s="33" t="str">
        <x:v>mass_class</x:v>
      </x:c>
      <x:c r="B1" s="33" t="str">
        <x:v>specific_capacity_J_m2K</x:v>
      </x:c>
      <x:c r="C1" s="33" t="str">
        <x:v>source</x:v>
      </x:c>
    </x:row>
    <x:row r="2">
      <x:c r="A2" s="43" t="str">
        <x:v>very_light</x:v>
      </x:c>
      <x:c r="B2" s="47" t="n">
        <x:v>80000</x:v>
      </x:c>
      <x:c r="C2" s="43" t="str">
        <x:v>MODEL_3.MASS_CAPACITY</x:v>
      </x:c>
    </x:row>
    <x:row r="3">
      <x:c r="A3" s="44" t="str">
        <x:v>light</x:v>
      </x:c>
      <x:c r="B3" s="48" t="n">
        <x:v>110000</x:v>
      </x:c>
      <x:c r="C3" s="44" t="str">
        <x:v>MODEL_3.MASS_CAPACITY</x:v>
      </x:c>
    </x:row>
    <x:row r="4">
      <x:c r="A4" s="44" t="str">
        <x:v>medium</x:v>
      </x:c>
      <x:c r="B4" s="48" t="n">
        <x:v>165000</x:v>
      </x:c>
      <x:c r="C4" s="44" t="str">
        <x:v>MODEL_3.MASS_CAPACITY</x:v>
      </x:c>
    </x:row>
    <x:row r="5">
      <x:c r="A5" s="44" t="str">
        <x:v>heavy</x:v>
      </x:c>
      <x:c r="B5" s="48" t="n">
        <x:v>260000</x:v>
      </x:c>
      <x:c r="C5" s="44" t="str">
        <x:v>MODEL_3.MASS_CAPACITY</x:v>
      </x:c>
    </x:row>
    <x:row r="6">
      <x:c r="A6" s="44" t="str">
        <x:v>very_heavy</x:v>
      </x:c>
      <x:c r="B6" s="48" t="n">
        <x:v>370000</x:v>
      </x:c>
      <x:c r="C6" s="44" t="str">
        <x:v>MODEL_3.MASS_CAPACITY</x:v>
      </x:c>
    </x:row>
  </x:sheetData>
  <x:pageMargins left="0.7" right="0.7" top="0.75" bottom="0.75" header="0.3" footer="0.3"/>
  <x:tableParts count="1">
    <x:tablePart xmlns:r="http://schemas.openxmlformats.org/officeDocument/2006/relationships" r:id="R4d9cf677f8c042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case_scope</x:v>
      </x:c>
      <x:c r="F1" s="33" t="str">
        <x:v>A_f_m2</x:v>
      </x:c>
      <x:c r="G1" s="33" t="str">
        <x:v>V_m3</x:v>
      </x:c>
      <x:c r="H1" s="33" t="str">
        <x:v>H_tr_opaque_W_K</x:v>
      </x:c>
      <x:c r="I1" s="33" t="str">
        <x:v>H_tr_windows_W_K</x:v>
      </x:c>
      <x:c r="J1" s="33" t="str">
        <x:v>H_ground_W_K</x:v>
      </x:c>
      <x:c r="K1" s="33" t="str">
        <x:v>q_ve_ahu_m3_h</x:v>
      </x:c>
      <x:c r="L1" s="33" t="str">
        <x:v>q_direct_m3_h</x:v>
      </x:c>
      <x:c r="M1" s="33" t="str">
        <x:v>eta_HR_effective</x:v>
      </x:c>
      <x:c r="N1" s="33" t="str">
        <x:v>mass_class</x:v>
      </x:c>
      <x:c r="O1" s="33" t="str">
        <x:v>theta_H_C</x:v>
      </x:c>
      <x:c r="P1" s="33" t="str">
        <x:v>theta_C_C</x:v>
      </x:c>
      <x:c r="Q1" s="33" t="str">
        <x:v>cooling_enabled</x:v>
      </x:c>
      <x:c r="R1" s="33" t="str">
        <x:v>ahu_enabled</x:v>
      </x:c>
      <x:c r="S1" s="33" t="str">
        <x:v>eta_ahu_sensible</x:v>
      </x:c>
      <x:c r="T1" s="33" t="str">
        <x:v>ahu_outdoor_ratio</x:v>
      </x:c>
      <x:c r="U1" s="33" t="str">
        <x:v>T_supply_H_C</x:v>
      </x:c>
      <x:c r="V1" s="33" t="str">
        <x:v>T_supply_C_C</x:v>
      </x:c>
    </x:row>
    <x:row r="2">
      <x:c r="A2" s="52" t="str">
        <x:v>1|aggregate</x:v>
      </x:c>
      <x:c r="B2" s="52" t="str">
        <x:v>1</x:v>
      </x:c>
      <x:c r="C2" s="52" t="str">
        <x:v>Test building 1</x:v>
      </x:c>
      <x:c r="D2" s="52" t="str">
        <x:v>aggregate</x:v>
      </x:c>
      <x:c r="E2" s="52" t="str">
        <x:v>building_aggregate</x:v>
      </x:c>
      <x:c r="F2" s="54" t="n">
        <x:v>2980.3251953125</x:v>
      </x:c>
      <x:c r="G2" s="54" t="n">
        <x:v>11176.219482421875</x:v>
      </x:c>
      <x:c r="H2" s="54" t="n">
        <x:v>2289.113771596989</x:v>
      </x:c>
      <x:c r="I2" s="54" t="n">
        <x:v>0</x:v>
      </x:c>
      <x:c r="J2" s="54" t="n">
        <x:v>1061.0091761211447</x:v>
      </x:c>
      <x:c r="K2" s="54" t="n">
        <x:v>13888.911475195313</x:v>
      </x:c>
      <x:c r="L2" s="54" t="n">
        <x:v>3352.8658447265625</x:v>
      </x:c>
      <x:c r="M2" s="54" t="n">
        <x:v>0.6</x:v>
      </x:c>
      <x:c r="N2" s="54" t="str">
        <x:v>medium</x:v>
      </x:c>
      <x:c r="O2" s="54" t="n">
        <x:v>20.5</x:v>
      </x:c>
      <x:c r="P2" s="54" t="n">
        <x:v>26</x:v>
      </x:c>
      <x:c r="Q2" s="56" t="n">
        <x:v>1</x:v>
      </x:c>
      <x:c r="R2" s="56" t="n">
        <x:v>1</x:v>
      </x:c>
      <x:c r="S2" s="54" t="n">
        <x:v>0.5999999999999999</x:v>
      </x:c>
      <x:c r="T2" s="54" t="n">
        <x:v>1</x:v>
      </x:c>
      <x:c r="U2" s="54" t="n">
        <x:v>21.999999999999996</x:v>
      </x:c>
      <x:c r="V2" s="54" t="n">
        <x:v>22.999999999999996</x:v>
      </x:c>
    </x:row>
    <x:row r="3">
      <x:c r="A3" s="53" t="str">
        <x:v>1|lower</x:v>
      </x:c>
      <x:c r="B3" s="53" t="str">
        <x:v>1</x:v>
      </x:c>
      <x:c r="C3" s="53" t="str">
        <x:v>Test building 1</x:v>
      </x:c>
      <x:c r="D3" s="53" t="str">
        <x:v>lower</x:v>
      </x:c>
      <x:c r="E3" s="53" t="str">
        <x:v>individual_zone:lower</x:v>
      </x:c>
      <x:c r="F3" s="55" t="n">
        <x:v>745.081298828125</x:v>
      </x:c>
      <x:c r="G3" s="55" t="n">
        <x:v>2794.0548706054688</x:v>
      </x:c>
      <x:c r="H3" s="55" t="n">
        <x:v>420.4889251881284</x:v>
      </x:c>
      <x:c r="I3" s="55" t="n">
        <x:v>0</x:v>
      </x:c>
      <x:c r="J3" s="55" t="n">
        <x:v>1061.0091761211447</x:v>
      </x:c>
      <x:c r="K3" s="55" t="n">
        <x:v>7451.409053320312</x:v>
      </x:c>
      <x:c r="L3" s="55" t="n">
        <x:v>838.2164611816404</x:v>
      </x:c>
      <x:c r="M3" s="55" t="n">
        <x:v>0.6</x:v>
      </x:c>
      <x:c r="N3" s="55" t="str">
        <x:v>heavy</x:v>
      </x:c>
      <x:c r="O3" s="55" t="n">
        <x:v>22</x:v>
      </x:c>
      <x:c r="P3" s="55" t="n">
        <x:v>26</x:v>
      </x:c>
      <x:c r="Q3" s="57" t="n">
        <x:v>1</x:v>
      </x:c>
      <x:c r="R3" s="57" t="n">
        <x:v>1</x:v>
      </x:c>
      <x:c r="S3" s="55" t="n">
        <x:v>0.6</x:v>
      </x:c>
      <x:c r="T3" s="55" t="n">
        <x:v>1</x:v>
      </x:c>
      <x:c r="U3" s="55" t="n">
        <x:v>22</x:v>
      </x:c>
      <x:c r="V3" s="55" t="n">
        <x:v>23</x:v>
      </x:c>
    </x:row>
    <x:row r="4">
      <x:c r="A4" s="53" t="str">
        <x:v>1|upper</x:v>
      </x:c>
      <x:c r="B4" s="53" t="str">
        <x:v>1</x:v>
      </x:c>
      <x:c r="C4" s="53" t="str">
        <x:v>Test building 1</x:v>
      </x:c>
      <x:c r="D4" s="53" t="str">
        <x:v>upper</x:v>
      </x:c>
      <x:c r="E4" s="53" t="str">
        <x:v>individual_zone:upper</x:v>
      </x:c>
      <x:c r="F4" s="55" t="n">
        <x:v>2235.243896484375</x:v>
      </x:c>
      <x:c r="G4" s="55" t="n">
        <x:v>8382.164611816406</x:v>
      </x:c>
      <x:c r="H4" s="55" t="n">
        <x:v>1868.6248464088608</x:v>
      </x:c>
      <x:c r="I4" s="55" t="n">
        <x:v>0</x:v>
      </x:c>
      <x:c r="J4" s="55" t="n">
        <x:v>0</x:v>
      </x:c>
      <x:c r="K4" s="55" t="n">
        <x:v>6437.502421875</x:v>
      </x:c>
      <x:c r="L4" s="55" t="n">
        <x:v>2514.649383544922</x:v>
      </x:c>
      <x:c r="M4" s="55" t="n">
        <x:v>0.5999999999999999</x:v>
      </x:c>
      <x:c r="N4" s="55" t="str">
        <x:v>medium</x:v>
      </x:c>
      <x:c r="O4" s="55" t="n">
        <x:v>20</x:v>
      </x:c>
      <x:c r="P4" s="55" t="n">
        <x:v>26</x:v>
      </x:c>
      <x:c r="Q4" s="57" t="n">
        <x:v>1</x:v>
      </x:c>
      <x:c r="R4" s="57" t="n">
        <x:v>1</x:v>
      </x:c>
      <x:c r="S4" s="55" t="n">
        <x:v>0.6</x:v>
      </x:c>
      <x:c r="T4" s="55" t="n">
        <x:v>1</x:v>
      </x:c>
      <x:c r="U4" s="55" t="n">
        <x:v>22</x:v>
      </x:c>
      <x:c r="V4" s="55" t="n">
        <x:v>23</x:v>
      </x:c>
    </x:row>
    <x:row r="5">
      <x:c r="A5" s="53" t="str">
        <x:v>18|aggregate</x:v>
      </x:c>
      <x:c r="B5" s="53" t="str">
        <x:v>18</x:v>
      </x:c>
      <x:c r="C5" s="53" t="str">
        <x:v>Test building 2</x:v>
      </x:c>
      <x:c r="D5" s="53" t="str">
        <x:v>aggregate</x:v>
      </x:c>
      <x:c r="E5" s="53" t="str">
        <x:v>building_aggregate</x:v>
      </x:c>
      <x:c r="F5" s="55" t="n">
        <x:v>920.057373046875</x:v>
      </x:c>
      <x:c r="G5" s="55" t="n">
        <x:v>2453.486328125</x:v>
      </x:c>
      <x:c r="H5" s="55" t="n">
        <x:v>1403.4632532651005</x:v>
      </x:c>
      <x:c r="I5" s="55" t="n">
        <x:v>0</x:v>
      </x:c>
      <x:c r="J5" s="55" t="n">
        <x:v>436.72608474449464</x:v>
      </x:c>
      <x:c r="K5" s="55" t="n">
        <x:v>3067.103258789063</x:v>
      </x:c>
      <x:c r="L5" s="55" t="n">
        <x:v>1881.0061848958335</x:v>
      </x:c>
      <x:c r="M5" s="55" t="n">
        <x:v>0.6000000000000001</x:v>
      </x:c>
      <x:c r="N5" s="55" t="str">
        <x:v>heavy</x:v>
      </x:c>
      <x:c r="O5" s="55" t="n">
        <x:v>20.666666666666668</x:v>
      </x:c>
      <x:c r="P5" s="55" t="n">
        <x:v>26</x:v>
      </x:c>
      <x:c r="Q5" s="57" t="n">
        <x:v>1</x:v>
      </x:c>
      <x:c r="R5" s="57" t="n">
        <x:v>1</x:v>
      </x:c>
      <x:c r="S5" s="55" t="n">
        <x:v>0.6</x:v>
      </x:c>
      <x:c r="T5" s="55" t="n">
        <x:v>1</x:v>
      </x:c>
      <x:c r="U5" s="55" t="n">
        <x:v>22</x:v>
      </x:c>
      <x:c r="V5" s="55" t="n">
        <x:v>23</x:v>
      </x:c>
    </x:row>
    <x:row r="6">
      <x:c r="A6" s="53" t="str">
        <x:v>18|lower</x:v>
      </x:c>
      <x:c r="B6" s="53" t="str">
        <x:v>18</x:v>
      </x:c>
      <x:c r="C6" s="53" t="str">
        <x:v>Test building 2</x:v>
      </x:c>
      <x:c r="D6" s="53" t="str">
        <x:v>lower</x:v>
      </x:c>
      <x:c r="E6" s="53" t="str">
        <x:v>individual_zone:lower</x:v>
      </x:c>
      <x:c r="F6" s="55" t="n">
        <x:v>306.685791015625</x:v>
      </x:c>
      <x:c r="G6" s="55" t="n">
        <x:v>817.8287760416667</x:v>
      </x:c>
      <x:c r="H6" s="55" t="n">
        <x:v>384.5161915993431</x:v>
      </x:c>
      <x:c r="I6" s="55" t="n">
        <x:v>0</x:v>
      </x:c>
      <x:c r="J6" s="55" t="n">
        <x:v>436.72608474449464</x:v>
      </x:c>
      <x:c r="K6" s="55" t="n">
        <x:v>3067.103258789063</x:v>
      </x:c>
      <x:c r="L6" s="55" t="n">
        <x:v>245.34863281250003</x:v>
      </x:c>
      <x:c r="M6" s="55" t="n">
        <x:v>0.6000000000000001</x:v>
      </x:c>
      <x:c r="N6" s="55" t="str">
        <x:v>heavy</x:v>
      </x:c>
      <x:c r="O6" s="55" t="n">
        <x:v>22</x:v>
      </x:c>
      <x:c r="P6" s="55" t="n">
        <x:v>26</x:v>
      </x:c>
      <x:c r="Q6" s="57" t="n">
        <x:v>1</x:v>
      </x:c>
      <x:c r="R6" s="57" t="n">
        <x:v>1</x:v>
      </x:c>
      <x:c r="S6" s="55" t="n">
        <x:v>0.6</x:v>
      </x:c>
      <x:c r="T6" s="55" t="n">
        <x:v>1</x:v>
      </x:c>
      <x:c r="U6" s="55" t="n">
        <x:v>22</x:v>
      </x:c>
      <x:c r="V6" s="55" t="n">
        <x:v>23</x:v>
      </x:c>
    </x:row>
    <x:row r="7">
      <x:c r="A7" s="53" t="str">
        <x:v>18|upper</x:v>
      </x:c>
      <x:c r="B7" s="53" t="str">
        <x:v>18</x:v>
      </x:c>
      <x:c r="C7" s="53" t="str">
        <x:v>Test building 2</x:v>
      </x:c>
      <x:c r="D7" s="53" t="str">
        <x:v>upper</x:v>
      </x:c>
      <x:c r="E7" s="53" t="str">
        <x:v>individual_zone:upper</x:v>
      </x:c>
      <x:c r="F7" s="55" t="n">
        <x:v>613.37158203125</x:v>
      </x:c>
      <x:c r="G7" s="55" t="n">
        <x:v>1635.6575520833335</x:v>
      </x:c>
      <x:c r="H7" s="55" t="n">
        <x:v>1018.9470616657575</x:v>
      </x:c>
      <x:c r="I7" s="55" t="n">
        <x:v>0</x:v>
      </x:c>
      <x:c r="J7" s="55" t="n">
        <x:v>0</x:v>
      </x:c>
      <x:c r="K7" s="55" t="n">
        <x:v>0</x:v>
      </x:c>
      <x:c r="L7" s="55" t="n">
        <x:v>1635.6575520833335</x:v>
      </x:c>
      <x:c r="M7" s="55" t="n">
        <x:v>0</x:v>
      </x:c>
      <x:c r="N7" s="55" t="str">
        <x:v>medium</x:v>
      </x:c>
      <x:c r="O7" s="55" t="n">
        <x:v>20</x:v>
      </x:c>
      <x:c r="P7" s="55" t="n">
        <x:v>26</x:v>
      </x:c>
      <x:c r="Q7" s="57" t="n">
        <x:v>1</x:v>
      </x:c>
      <x:c r="R7" s="57" t="n">
        <x:v>0</x:v>
      </x:c>
      <x:c r="S7" s="55" t="n">
        <x:v>0</x:v>
      </x:c>
      <x:c r="T7" s="55" t="n">
        <x:v>1</x:v>
      </x:c>
      <x:c r="U7" s="55" t="n">
        <x:v>0</x:v>
      </x:c>
      <x:c r="V7" s="55" t="n">
        <x:v>0</x:v>
      </x:c>
    </x:row>
    <x:row r="8">
      <x:c r="A8" s="53" t="str">
        <x:v>19|aggregate</x:v>
      </x:c>
      <x:c r="B8" s="53" t="str">
        <x:v>19</x:v>
      </x:c>
      <x:c r="C8" s="53" t="str">
        <x:v>Test building 3</x:v>
      </x:c>
      <x:c r="D8" s="53" t="str">
        <x:v>aggregate</x:v>
      </x:c>
      <x:c r="E8" s="53" t="str">
        <x:v>building_aggregate</x:v>
      </x:c>
      <x:c r="F8" s="55" t="n">
        <x:v>1556.1015625</x:v>
      </x:c>
      <x:c r="G8" s="55" t="n">
        <x:v>10892.7109375</x:v>
      </x:c>
      <x:c r="H8" s="55" t="n">
        <x:v>1658.590091425961</x:v>
      </x:c>
      <x:c r="I8" s="55" t="n">
        <x:v>0</x:v>
      </x:c>
      <x:c r="J8" s="55" t="n">
        <x:v>553.9791561624645</x:v>
      </x:c>
      <x:c r="K8" s="55" t="n">
        <x:v>3890.5651265625006</x:v>
      </x:c>
      <x:c r="L8" s="55" t="n">
        <x:v>8986.486523437501</x:v>
      </x:c>
      <x:c r="M8" s="55" t="n">
        <x:v>0.6</x:v>
      </x:c>
      <x:c r="N8" s="55" t="str">
        <x:v>medium</x:v>
      </x:c>
      <x:c r="O8" s="55" t="n">
        <x:v>20.5</x:v>
      </x:c>
      <x:c r="P8" s="55" t="n">
        <x:v>26</x:v>
      </x:c>
      <x:c r="Q8" s="57" t="n">
        <x:v>1</x:v>
      </x:c>
      <x:c r="R8" s="57" t="n">
        <x:v>1</x:v>
      </x:c>
      <x:c r="S8" s="55" t="n">
        <x:v>0.6</x:v>
      </x:c>
      <x:c r="T8" s="55" t="n">
        <x:v>1</x:v>
      </x:c>
      <x:c r="U8" s="55" t="n">
        <x:v>22</x:v>
      </x:c>
      <x:c r="V8" s="55" t="n">
        <x:v>23</x:v>
      </x:c>
    </x:row>
    <x:row r="9">
      <x:c r="A9" s="53" t="str">
        <x:v>19|lower</x:v>
      </x:c>
      <x:c r="B9" s="53" t="str">
        <x:v>19</x:v>
      </x:c>
      <x:c r="C9" s="53" t="str">
        <x:v>Test building 3</x:v>
      </x:c>
      <x:c r="D9" s="53" t="str">
        <x:v>lower</x:v>
      </x:c>
      <x:c r="E9" s="53" t="str">
        <x:v>individual_zone:lower</x:v>
      </x:c>
      <x:c r="F9" s="55" t="n">
        <x:v>389.025390625</x:v>
      </x:c>
      <x:c r="G9" s="55" t="n">
        <x:v>2723.177734375</x:v>
      </x:c>
      <x:c r="H9" s="55" t="n">
        <x:v>335.3944581060757</x:v>
      </x:c>
      <x:c r="I9" s="55" t="n">
        <x:v>0</x:v>
      </x:c>
      <x:c r="J9" s="55" t="n">
        <x:v>553.9791561624645</x:v>
      </x:c>
      <x:c r="K9" s="55" t="n">
        <x:v>3890.5651265625006</x:v>
      </x:c>
      <x:c r="L9" s="55" t="n">
        <x:v>816.9533203125001</x:v>
      </x:c>
      <x:c r="M9" s="55" t="n">
        <x:v>0.6</x:v>
      </x:c>
      <x:c r="N9" s="55" t="str">
        <x:v>heavy</x:v>
      </x:c>
      <x:c r="O9" s="55" t="n">
        <x:v>22</x:v>
      </x:c>
      <x:c r="P9" s="55" t="n">
        <x:v>26</x:v>
      </x:c>
      <x:c r="Q9" s="57" t="n">
        <x:v>1</x:v>
      </x:c>
      <x:c r="R9" s="57" t="n">
        <x:v>1</x:v>
      </x:c>
      <x:c r="S9" s="55" t="n">
        <x:v>0.6</x:v>
      </x:c>
      <x:c r="T9" s="55" t="n">
        <x:v>1</x:v>
      </x:c>
      <x:c r="U9" s="55" t="n">
        <x:v>22</x:v>
      </x:c>
      <x:c r="V9" s="55" t="n">
        <x:v>23</x:v>
      </x:c>
    </x:row>
    <x:row r="10">
      <x:c r="A10" s="53" t="str">
        <x:v>19|upper</x:v>
      </x:c>
      <x:c r="B10" s="53" t="str">
        <x:v>19</x:v>
      </x:c>
      <x:c r="C10" s="53" t="str">
        <x:v>Test building 3</x:v>
      </x:c>
      <x:c r="D10" s="53" t="str">
        <x:v>upper</x:v>
      </x:c>
      <x:c r="E10" s="53" t="str">
        <x:v>individual_zone:upper</x:v>
      </x:c>
      <x:c r="F10" s="55" t="n">
        <x:v>1167.076171875</x:v>
      </x:c>
      <x:c r="G10" s="55" t="n">
        <x:v>8169.533203125</x:v>
      </x:c>
      <x:c r="H10" s="55" t="n">
        <x:v>1323.1956333198852</x:v>
      </x:c>
      <x:c r="I10" s="55" t="n">
        <x:v>0</x:v>
      </x:c>
      <x:c r="J10" s="55" t="n">
        <x:v>0</x:v>
      </x:c>
      <x:c r="K10" s="55" t="n">
        <x:v>0</x:v>
      </x:c>
      <x:c r="L10" s="55" t="n">
        <x:v>8169.533203125002</x:v>
      </x:c>
      <x:c r="M10" s="55" t="n">
        <x:v>0</x:v>
      </x:c>
      <x:c r="N10" s="55" t="str">
        <x:v>medium</x:v>
      </x:c>
      <x:c r="O10" s="55" t="n">
        <x:v>20</x:v>
      </x:c>
      <x:c r="P10" s="55" t="n">
        <x:v>26</x:v>
      </x:c>
      <x:c r="Q10" s="57" t="n">
        <x:v>1</x:v>
      </x:c>
      <x:c r="R10" s="57" t="n">
        <x:v>0</x:v>
      </x:c>
      <x:c r="S10" s="55" t="n">
        <x:v>0</x:v>
      </x:c>
      <x:c r="T10" s="55" t="n">
        <x:v>1</x:v>
      </x:c>
      <x:c r="U10" s="55" t="n">
        <x:v>0</x:v>
      </x:c>
      <x:c r="V10" s="55" t="n">
        <x:v>0</x:v>
      </x:c>
    </x:row>
    <x:row r="11">
      <x:c r="A11" s="53" t="str">
        <x:v>20|aggregate</x:v>
      </x:c>
      <x:c r="B11" s="53" t="str">
        <x:v>20</x:v>
      </x:c>
      <x:c r="C11" s="53" t="str">
        <x:v>Test building 4</x:v>
      </x:c>
      <x:c r="D11" s="53" t="str">
        <x:v>aggregate</x:v>
      </x:c>
      <x:c r="E11" s="53" t="str">
        <x:v>building_aggregate</x:v>
      </x:c>
      <x:c r="F11" s="55" t="n">
        <x:v>13459.392578125</x:v>
      </x:c>
      <x:c r="G11" s="55" t="n">
        <x:v>48453.81328125</x:v>
      </x:c>
      <x:c r="H11" s="55" t="n">
        <x:v>7513.213057430282</x:v>
      </x:c>
      <x:c r="I11" s="55" t="n">
        <x:v>0</x:v>
      </x:c>
      <x:c r="J11" s="55" t="n">
        <x:v>2395.802151535024</x:v>
      </x:c>
      <x:c r="K11" s="55" t="n">
        <x:v>33917.669296875</x:v>
      </x:c>
      <x:c r="L11" s="55" t="n">
        <x:v>18775.852646484374</x:v>
      </x:c>
      <x:c r="M11" s="55" t="n">
        <x:v>0.6</x:v>
      </x:c>
      <x:c r="N11" s="55" t="str">
        <x:v>medium</x:v>
      </x:c>
      <x:c r="O11" s="55" t="n">
        <x:v>20</x:v>
      </x:c>
      <x:c r="P11" s="55" t="n">
        <x:v>26</x:v>
      </x:c>
      <x:c r="Q11" s="57" t="n">
        <x:v>1</x:v>
      </x:c>
      <x:c r="R11" s="57" t="n">
        <x:v>1</x:v>
      </x:c>
      <x:c r="S11" s="55" t="n">
        <x:v>0.6</x:v>
      </x:c>
      <x:c r="T11" s="55" t="n">
        <x:v>1</x:v>
      </x:c>
      <x:c r="U11" s="55" t="n">
        <x:v>22</x:v>
      </x:c>
      <x:c r="V11" s="55" t="n">
        <x:v>23</x:v>
      </x:c>
    </x:row>
    <x:row r="12">
      <x:c r="A12" s="53" t="str">
        <x:v>20|lower</x:v>
      </x:c>
      <x:c r="B12" s="53" t="str">
        <x:v>20</x:v>
      </x:c>
      <x:c r="C12" s="53" t="str">
        <x:v>Test building 4</x:v>
      </x:c>
      <x:c r="D12" s="53" t="str">
        <x:v>lower</x:v>
      </x:c>
      <x:c r="E12" s="53" t="str">
        <x:v>individual_zone:lower</x:v>
      </x:c>
      <x:c r="F12" s="55" t="n">
        <x:v>1682.424072265625</x:v>
      </x:c>
      <x:c r="G12" s="55" t="n">
        <x:v>6056.72666015625</x:v>
      </x:c>
      <x:c r="H12" s="55" t="n">
        <x:v>767.7781599708314</x:v>
      </x:c>
      <x:c r="I12" s="55" t="n">
        <x:v>0</x:v>
      </x:c>
      <x:c r="J12" s="55" t="n">
        <x:v>2395.802151535024</x:v>
      </x:c>
      <x:c r="K12" s="55" t="n">
        <x:v>0</x:v>
      </x:c>
      <x:c r="L12" s="55" t="n">
        <x:v>6056.726660156252</x:v>
      </x:c>
      <x:c r="M12" s="55" t="n">
        <x:v>0</x:v>
      </x:c>
      <x:c r="N12" s="55" t="str">
        <x:v>heavy</x:v>
      </x:c>
      <x:c r="O12" s="55" t="n">
        <x:v>20</x:v>
      </x:c>
      <x:c r="P12" s="55" t="n">
        <x:v>26</x:v>
      </x:c>
      <x:c r="Q12" s="57" t="n">
        <x:v>1</x:v>
      </x:c>
      <x:c r="R12" s="57" t="n">
        <x:v>0</x:v>
      </x:c>
      <x:c r="S12" s="55" t="n">
        <x:v>0</x:v>
      </x:c>
      <x:c r="T12" s="55" t="n">
        <x:v>1</x:v>
      </x:c>
      <x:c r="U12" s="55" t="n">
        <x:v>0</x:v>
      </x:c>
      <x:c r="V12" s="55" t="n">
        <x:v>0</x:v>
      </x:c>
    </x:row>
    <x:row r="13">
      <x:c r="A13" s="53" t="str">
        <x:v>20|upper</x:v>
      </x:c>
      <x:c r="B13" s="53" t="str">
        <x:v>20</x:v>
      </x:c>
      <x:c r="C13" s="53" t="str">
        <x:v>Test building 4</x:v>
      </x:c>
      <x:c r="D13" s="53" t="str">
        <x:v>upper</x:v>
      </x:c>
      <x:c r="E13" s="53" t="str">
        <x:v>individual_zone:upper</x:v>
      </x:c>
      <x:c r="F13" s="55" t="n">
        <x:v>11776.968505859375</x:v>
      </x:c>
      <x:c r="G13" s="55" t="n">
        <x:v>42397.086621093746</x:v>
      </x:c>
      <x:c r="H13" s="55" t="n">
        <x:v>6745.43489745945</x:v>
      </x:c>
      <x:c r="I13" s="55" t="n">
        <x:v>0</x:v>
      </x:c>
      <x:c r="J13" s="55" t="n">
        <x:v>0</x:v>
      </x:c>
      <x:c r="K13" s="55" t="n">
        <x:v>33917.669296875</x:v>
      </x:c>
      <x:c r="L13" s="55" t="n">
        <x:v>12719.125986328123</x:v>
      </x:c>
      <x:c r="M13" s="55" t="n">
        <x:v>0.6</x:v>
      </x:c>
      <x:c r="N13" s="55" t="str">
        <x:v>medium</x:v>
      </x:c>
      <x:c r="O13" s="55" t="n">
        <x:v>20</x:v>
      </x:c>
      <x:c r="P13" s="55" t="n">
        <x:v>26</x:v>
      </x:c>
      <x:c r="Q13" s="57" t="n">
        <x:v>1</x:v>
      </x:c>
      <x:c r="R13" s="57" t="n">
        <x:v>1</x:v>
      </x:c>
      <x:c r="S13" s="55" t="n">
        <x:v>0.6</x:v>
      </x:c>
      <x:c r="T13" s="55" t="n">
        <x:v>1</x:v>
      </x:c>
      <x:c r="U13" s="55" t="n">
        <x:v>22</x:v>
      </x:c>
      <x:c r="V13" s="55" t="n">
        <x:v>23</x:v>
      </x:c>
    </x:row>
    <x:row r="14">
      <x:c r="A14" s="53" t="str">
        <x:v>21|aggregate</x:v>
      </x:c>
      <x:c r="B14" s="53" t="str">
        <x:v>21</x:v>
      </x:c>
      <x:c r="C14" s="53" t="str">
        <x:v>Test building 5</x:v>
      </x:c>
      <x:c r="D14" s="53" t="str">
        <x:v>aggregate</x:v>
      </x:c>
      <x:c r="E14" s="53" t="str">
        <x:v>building_aggregate</x:v>
      </x:c>
      <x:c r="F14" s="55" t="n">
        <x:v>43748.3408203125</x:v>
      </x:c>
      <x:c r="G14" s="55" t="n">
        <x:v>91871.51572265624</x:v>
      </x:c>
      <x:c r="H14" s="55" t="n">
        <x:v>21607.52930411789</x:v>
      </x:c>
      <x:c r="I14" s="55" t="n">
        <x:v>0</x:v>
      </x:c>
      <x:c r="J14" s="55" t="n">
        <x:v>5191.535376008943</x:v>
      </x:c>
      <x:c r="K14" s="55" t="n">
        <x:v>125995.22156250001</x:v>
      </x:c>
      <x:c r="L14" s="55" t="n">
        <x:v>27561.45471679686</x:v>
      </x:c>
      <x:c r="M14" s="55" t="n">
        <x:v>0.6</x:v>
      </x:c>
      <x:c r="N14" s="55" t="str">
        <x:v>medium</x:v>
      </x:c>
      <x:c r="O14" s="55" t="n">
        <x:v>20</x:v>
      </x:c>
      <x:c r="P14" s="55" t="n">
        <x:v>26</x:v>
      </x:c>
      <x:c r="Q14" s="57" t="n">
        <x:v>1</x:v>
      </x:c>
      <x:c r="R14" s="57" t="n">
        <x:v>1</x:v>
      </x:c>
      <x:c r="S14" s="55" t="n">
        <x:v>0.6</x:v>
      </x:c>
      <x:c r="T14" s="55" t="n">
        <x:v>1</x:v>
      </x:c>
      <x:c r="U14" s="55" t="n">
        <x:v>22</x:v>
      </x:c>
      <x:c r="V14" s="55" t="n">
        <x:v>23</x:v>
      </x:c>
    </x:row>
  </x:sheetData>
  <x:pageMargins left="0.7" right="0.7" top="0.75" bottom="0.75" header="0.3" footer="0.3"/>
  <x:legacyDrawing xmlns:r="http://schemas.openxmlformats.org/officeDocument/2006/relationships" r:id="R6ce9503b3dec4617"/>
  <x:tableParts count="1">
    <x:tablePart xmlns:r="http://schemas.openxmlformats.org/officeDocument/2006/relationships" r:id="R91922214af1348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20" hidden="0" customWidth="1"/>
    <x:col min="5" max="5" width="20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period_id</x:v>
      </x:c>
      <x:c r="F1" s="33" t="str">
        <x:v>days</x:v>
      </x:c>
      <x:c r="G1" s="33" t="str">
        <x:v>outdoor_temp_C</x:v>
      </x:c>
      <x:c r="H1" s="33" t="str">
        <x:v>aggregated_solar_gain_kWh</x:v>
      </x:c>
      <x:c r="I1" s="33" t="str">
        <x:v>aggregated_internal_gain_kWh</x:v>
      </x:c>
      <x:c r="J1" s="33" t="str">
        <x:v>mapped_gain_power_W</x:v>
      </x:c>
      <x:c r="K1" s="33" t="str">
        <x:v>heating_operation_fraction</x:v>
      </x:c>
      <x:c r="L1" s="33" t="str">
        <x:v>cooling_operation_fraction</x:v>
      </x:c>
    </x:row>
    <x:row r="2">
      <x:c r="A2" s="52" t="str">
        <x:v>1|aggregate</x:v>
      </x:c>
      <x:c r="B2" s="52" t="str">
        <x:v>1</x:v>
      </x:c>
      <x:c r="C2" s="52" t="str">
        <x:v>Test building 1</x:v>
      </x:c>
      <x:c r="D2" s="52" t="str">
        <x:v>aggregate</x:v>
      </x:c>
      <x:c r="E2" s="52" t="str">
        <x:v>2023-01</x:v>
      </x:c>
      <x:c r="F2" s="56" t="n">
        <x:v>31</x:v>
      </x:c>
      <x:c r="G2" s="54" t="n">
        <x:v>2.638440860215054</x:v>
      </x:c>
      <x:c r="H2" s="54" t="n">
        <x:v>1744.9269716351127</x:v>
      </x:c>
      <x:c r="I2" s="54" t="n">
        <x:v>18186.234327438375</x:v>
      </x:c>
      <x:c r="J2" s="60" t="n">
        <x:f>IF(F2&lt;=0,"",(H2+I2)*1000/(F2*24))</x:f>
        <x:v>26789.195294453613</x:v>
      </x:c>
      <x:c r="K2" s="62" t="n">
        <x:v>1</x:v>
      </x:c>
      <x:c r="L2" s="62" t="n">
        <x:v>0</x:v>
      </x:c>
    </x:row>
    <x:row r="3">
      <x:c r="A3" s="53" t="str">
        <x:v>1|aggregate</x:v>
      </x:c>
      <x:c r="B3" s="53" t="str">
        <x:v>1</x:v>
      </x:c>
      <x:c r="C3" s="53" t="str">
        <x:v>Test building 1</x:v>
      </x:c>
      <x:c r="D3" s="53" t="str">
        <x:v>aggregate</x:v>
      </x:c>
      <x:c r="E3" s="53" t="str">
        <x:v>2023-02</x:v>
      </x:c>
      <x:c r="F3" s="57" t="n">
        <x:v>28</x:v>
      </x:c>
      <x:c r="G3" s="55" t="n">
        <x:v>3.8903273809523813</x:v>
      </x:c>
      <x:c r="H3" s="55" t="n">
        <x:v>2575.0207944375175</x:v>
      </x:c>
      <x:c r="I3" s="55" t="n">
        <x:v>16442.094079255472</x:v>
      </x:c>
      <x:c r="J3" s="61" t="n">
        <x:f>IF(F3&lt;=0,"",(H3+I3)*1000/(F3*24))</x:f>
        <x:v>28299.278085852664</x:v>
      </x:c>
      <x:c r="K3" s="63" t="n">
        <x:v>1</x:v>
      </x:c>
      <x:c r="L3" s="63" t="n">
        <x:v>0</x:v>
      </x:c>
    </x:row>
    <x:row r="4">
      <x:c r="A4" s="53" t="str">
        <x:v>1|aggregate</x:v>
      </x:c>
      <x:c r="B4" s="53" t="str">
        <x:v>1</x:v>
      </x:c>
      <x:c r="C4" s="53" t="str">
        <x:v>Test building 1</x:v>
      </x:c>
      <x:c r="D4" s="53" t="str">
        <x:v>aggregate</x:v>
      </x:c>
      <x:c r="E4" s="53" t="str">
        <x:v>2023-03</x:v>
      </x:c>
      <x:c r="F4" s="57" t="n">
        <x:v>31</x:v>
      </x:c>
      <x:c r="G4" s="55" t="n">
        <x:v>7.746908602150539</x:v>
      </x:c>
      <x:c r="H4" s="55" t="n">
        <x:v>7191.128421270204</x:v>
      </x:c>
      <x:c r="I4" s="55" t="n">
        <x:v>18225.309967139165</x:v>
      </x:c>
      <x:c r="J4" s="61" t="n">
        <x:f>IF(F4&lt;=0,"",(H4+I4)*1000/(F4*24))</x:f>
        <x:v>34161.879554313666</x:v>
      </x:c>
      <x:c r="K4" s="63" t="n">
        <x:v>1</x:v>
      </x:c>
      <x:c r="L4" s="63" t="n">
        <x:v>0</x:v>
      </x:c>
    </x:row>
    <x:row r="5">
      <x:c r="A5" s="53" t="str">
        <x:v>1|aggregate</x:v>
      </x:c>
      <x:c r="B5" s="53" t="str">
        <x:v>1</x:v>
      </x:c>
      <x:c r="C5" s="53" t="str">
        <x:v>Test building 1</x:v>
      </x:c>
      <x:c r="D5" s="53" t="str">
        <x:v>aggregate</x:v>
      </x:c>
      <x:c r="E5" s="53" t="str">
        <x:v>2023-04</x:v>
      </x:c>
      <x:c r="F5" s="57" t="n">
        <x:v>30</x:v>
      </x:c>
      <x:c r="G5" s="55" t="n">
        <x:v>12.03041666666667</x:v>
      </x:c>
      <x:c r="H5" s="55" t="n">
        <x:v>9963.785634913944</x:v>
      </x:c>
      <x:c r="I5" s="55" t="n">
        <x:v>17580.591119263183</x:v>
      </x:c>
      <x:c r="J5" s="61" t="n">
        <x:f>IF(F5&lt;=0,"",(H5+I5)*1000/(F5*24))</x:f>
        <x:v>38256.07882524601</x:v>
      </x:c>
      <x:c r="K5" s="63" t="n">
        <x:v>1</x:v>
      </x:c>
      <x:c r="L5" s="63" t="n">
        <x:v>0</x:v>
      </x:c>
    </x:row>
    <x:row r="6">
      <x:c r="A6" s="53" t="str">
        <x:v>1|aggregate</x:v>
      </x:c>
      <x:c r="B6" s="53" t="str">
        <x:v>1</x:v>
      </x:c>
      <x:c r="C6" s="53" t="str">
        <x:v>Test building 1</x:v>
      </x:c>
      <x:c r="D6" s="53" t="str">
        <x:v>aggregate</x:v>
      </x:c>
      <x:c r="E6" s="53" t="str">
        <x:v>2023-05</x:v>
      </x:c>
      <x:c r="F6" s="57" t="n">
        <x:v>31</x:v>
      </x:c>
      <x:c r="G6" s="55" t="n">
        <x:v>17.244086021505375</x:v>
      </x:c>
      <x:c r="H6" s="55" t="n">
        <x:v>13619.76054674131</x:v>
      </x:c>
      <x:c r="I6" s="55" t="n">
        <x:v>18225.309967139165</x:v>
      </x:c>
      <x:c r="J6" s="61" t="n">
        <x:f>IF(F6&lt;=0,"",(H6+I6)*1000/(F6*24))</x:f>
        <x:v>42802.51413155978</x:v>
      </x:c>
      <x:c r="K6" s="63" t="n">
        <x:v>0</x:v>
      </x:c>
      <x:c r="L6" s="63" t="n">
        <x:v>0</x:v>
      </x:c>
    </x:row>
    <x:row r="7">
      <x:c r="A7" s="53" t="str">
        <x:v>1|aggregate</x:v>
      </x:c>
      <x:c r="B7" s="53" t="str">
        <x:v>1</x:v>
      </x:c>
      <x:c r="C7" s="53" t="str">
        <x:v>Test building 1</x:v>
      </x:c>
      <x:c r="D7" s="53" t="str">
        <x:v>aggregate</x:v>
      </x:c>
      <x:c r="E7" s="53" t="str">
        <x:v>2023-06</x:v>
      </x:c>
      <x:c r="F7" s="57" t="n">
        <x:v>30</x:v>
      </x:c>
      <x:c r="G7" s="55" t="n">
        <x:v>20.758194444444445</x:v>
      </x:c>
      <x:c r="H7" s="55" t="n">
        <x:v>14128.127595969814</x:v>
      </x:c>
      <x:c r="I7" s="55" t="n">
        <x:v>17630.90467117793</x:v>
      </x:c>
      <x:c r="J7" s="61" t="n">
        <x:f>IF(F7&lt;=0,"",(H7+I7)*1000/(F7*24))</x:f>
        <x:v>44109.767037705205</x:v>
      </x:c>
      <x:c r="K7" s="63" t="n">
        <x:v>0</x:v>
      </x:c>
      <x:c r="L7" s="63" t="n">
        <x:v>1</x:v>
      </x:c>
    </x:row>
    <x:row r="8">
      <x:c r="A8" s="53" t="str">
        <x:v>1|aggregate</x:v>
      </x:c>
      <x:c r="B8" s="53" t="str">
        <x:v>1</x:v>
      </x:c>
      <x:c r="C8" s="53" t="str">
        <x:v>Test building 1</x:v>
      </x:c>
      <x:c r="D8" s="53" t="str">
        <x:v>aggregate</x:v>
      </x:c>
      <x:c r="E8" s="53" t="str">
        <x:v>2023-07</x:v>
      </x:c>
      <x:c r="F8" s="57" t="n">
        <x:v>31</x:v>
      </x:c>
      <x:c r="G8" s="55" t="n">
        <x:v>23.824193548387097</x:v>
      </x:c>
      <x:c r="H8" s="55" t="n">
        <x:v>15271.22422044602</x:v>
      </x:c>
      <x:c r="I8" s="55" t="n">
        <x:v>18174.996415224414</x:v>
      </x:c>
      <x:c r="J8" s="61" t="n">
        <x:f>IF(F8&lt;=0,"",(H8+I8)*1000/(F8*24))</x:f>
        <x:v>44954.5976285893</x:v>
      </x:c>
      <x:c r="K8" s="63" t="n">
        <x:v>0</x:v>
      </x:c>
      <x:c r="L8" s="63" t="n">
        <x:v>1</x:v>
      </x:c>
    </x:row>
    <x:row r="9">
      <x:c r="A9" s="53" t="str">
        <x:v>1|aggregate</x:v>
      </x:c>
      <x:c r="B9" s="53" t="str">
        <x:v>1</x:v>
      </x:c>
      <x:c r="C9" s="53" t="str">
        <x:v>Test building 1</x:v>
      </x:c>
      <x:c r="D9" s="53" t="str">
        <x:v>aggregate</x:v>
      </x:c>
      <x:c r="E9" s="53" t="str">
        <x:v>2023-08</x:v>
      </x:c>
      <x:c r="F9" s="57" t="n">
        <x:v>31</x:v>
      </x:c>
      <x:c r="G9" s="55" t="n">
        <x:v>22.74717741935484</x:v>
      </x:c>
      <x:c r="H9" s="55" t="n">
        <x:v>12970.540393591704</x:v>
      </x:c>
      <x:c r="I9" s="55" t="n">
        <x:v>18225.309967139165</x:v>
      </x:c>
      <x:c r="J9" s="61" t="n">
        <x:f>IF(F9&lt;=0,"",(H9+I9)*1000/(F9*24))</x:f>
        <x:v>41929.90639883181</x:v>
      </x:c>
      <x:c r="K9" s="63" t="n">
        <x:v>0</x:v>
      </x:c>
      <x:c r="L9" s="63" t="n">
        <x:v>1</x:v>
      </x:c>
    </x:row>
    <x:row r="10">
      <x:c r="A10" s="53" t="str">
        <x:v>1|aggregate</x:v>
      </x:c>
      <x:c r="B10" s="53" t="str">
        <x:v>1</x:v>
      </x:c>
      <x:c r="C10" s="53" t="str">
        <x:v>Test building 1</x:v>
      </x:c>
      <x:c r="D10" s="53" t="str">
        <x:v>aggregate</x:v>
      </x:c>
      <x:c r="E10" s="53" t="str">
        <x:v>2023-09</x:v>
      </x:c>
      <x:c r="F10" s="57" t="n">
        <x:v>30</x:v>
      </x:c>
      <x:c r="G10" s="55" t="n">
        <x:v>19.61638888888889</x:v>
      </x:c>
      <x:c r="H10" s="55" t="n">
        <x:v>9251.9558844884</x:v>
      </x:c>
      <x:c r="I10" s="55" t="n">
        <x:v>17619.666758963966</x:v>
      </x:c>
      <x:c r="J10" s="61" t="n">
        <x:f>IF(F10&lt;=0,"",(H10+I10)*1000/(F10*24))</x:f>
        <x:v>37321.69811590606</x:v>
      </x:c>
      <x:c r="K10" s="63" t="n">
        <x:v>0</x:v>
      </x:c>
      <x:c r="L10" s="63" t="n">
        <x:v>1</x:v>
      </x:c>
    </x:row>
    <x:row r="11">
      <x:c r="A11" s="53" t="str">
        <x:v>1|aggregate</x:v>
      </x:c>
      <x:c r="B11" s="53" t="str">
        <x:v>1</x:v>
      </x:c>
      <x:c r="C11" s="53" t="str">
        <x:v>Test building 1</x:v>
      </x:c>
      <x:c r="D11" s="53" t="str">
        <x:v>aggregate</x:v>
      </x:c>
      <x:c r="E11" s="53" t="str">
        <x:v>2023-10</x:v>
      </x:c>
      <x:c r="F11" s="57" t="n">
        <x:v>31</x:v>
      </x:c>
      <x:c r="G11" s="55" t="n">
        <x:v>13.926209677419354</x:v>
      </x:c>
      <x:c r="H11" s="55" t="n">
        <x:v>5536.703879422611</x:v>
      </x:c>
      <x:c r="I11" s="55" t="n">
        <x:v>18186.234327438375</x:v>
      </x:c>
      <x:c r="J11" s="61" t="n">
        <x:f>IF(F11&lt;=0,"",(H11+I11)*1000/(F11*24))</x:f>
        <x:v>31885.669632877667</x:v>
      </x:c>
      <x:c r="K11" s="63" t="n">
        <x:v>0.5483870967741935</x:v>
      </x:c>
      <x:c r="L11" s="63" t="n">
        <x:v>0</x:v>
      </x:c>
    </x:row>
    <x:row r="12">
      <x:c r="A12" s="53" t="str">
        <x:v>1|aggregate</x:v>
      </x:c>
      <x:c r="B12" s="53" t="str">
        <x:v>1</x:v>
      </x:c>
      <x:c r="C12" s="53" t="str">
        <x:v>Test building 1</x:v>
      </x:c>
      <x:c r="D12" s="53" t="str">
        <x:v>aggregate</x:v>
      </x:c>
      <x:c r="E12" s="53" t="str">
        <x:v>2023-11</x:v>
      </x:c>
      <x:c r="F12" s="57" t="n">
        <x:v>30</x:v>
      </x:c>
      <x:c r="G12" s="55" t="n">
        <x:v>8.68388888888889</x:v>
      </x:c>
      <x:c r="H12" s="55" t="n">
        <x:v>1785.7032650621218</x:v>
      </x:c>
      <x:c r="I12" s="55" t="n">
        <x:v>17630.90467117793</x:v>
      </x:c>
      <x:c r="J12" s="61" t="n">
        <x:f>IF(F12&lt;=0,"",(H12+I12)*1000/(F12*24))</x:f>
        <x:v>26967.511022555627</x:v>
      </x:c>
      <x:c r="K12" s="63" t="n">
        <x:v>1</x:v>
      </x:c>
      <x:c r="L12" s="63" t="n">
        <x:v>0</x:v>
      </x:c>
    </x:row>
    <x:row r="13">
      <x:c r="A13" s="53" t="str">
        <x:v>1|aggregate</x:v>
      </x:c>
      <x:c r="B13" s="53" t="str">
        <x:v>1</x:v>
      </x:c>
      <x:c r="C13" s="53" t="str">
        <x:v>Test building 1</x:v>
      </x:c>
      <x:c r="D13" s="53" t="str">
        <x:v>aggregate</x:v>
      </x:c>
      <x:c r="E13" s="53" t="str">
        <x:v>2023-12</x:v>
      </x:c>
      <x:c r="F13" s="57" t="n">
        <x:v>31</x:v>
      </x:c>
      <x:c r="G13" s="55" t="n">
        <x:v>3.9963709677419357</x:v>
      </x:c>
      <x:c r="H13" s="55" t="n">
        <x:v>1219.52697783776</x:v>
      </x:c>
      <x:c r="I13" s="55" t="n">
        <x:v>18174.996415224414</x:v>
      </x:c>
      <x:c r="J13" s="61" t="n">
        <x:f>IF(F13&lt;=0,"",(H13+I13)*1000/(F13*24))</x:f>
        <x:v>26067.90778637389</x:v>
      </x:c>
      <x:c r="K13" s="63" t="n">
        <x:v>1</x:v>
      </x:c>
      <x:c r="L13" s="63" t="n">
        <x:v>0</x:v>
      </x:c>
    </x:row>
    <x:row r="14">
      <x:c r="A14" s="53" t="str">
        <x:v>1|lower</x:v>
      </x:c>
      <x:c r="B14" s="53" t="str">
        <x:v>1</x:v>
      </x:c>
      <x:c r="C14" s="53" t="str">
        <x:v>Test building 1</x:v>
      </x:c>
      <x:c r="D14" s="53" t="str">
        <x:v>lower</x:v>
      </x:c>
      <x:c r="E14" s="53" t="str">
        <x:v>2023-01</x:v>
      </x:c>
      <x:c r="F14" s="57" t="n">
        <x:v>31</x:v>
      </x:c>
      <x:c r="G14" s="55" t="n">
        <x:v>2.638440860215054</x:v>
      </x:c>
      <x:c r="H14" s="55" t="n">
        <x:v>530.9668385784647</x:v>
      </x:c>
      <x:c r="I14" s="55" t="n">
        <x:v>16850.02340807119</x:v>
      </x:c>
      <x:c r="J14" s="61" t="n">
        <x:f>IF(F14&lt;=0,"",(H14+I14)*1000/(F14*24))</x:f>
        <x:v>23361.54603044308</x:v>
      </x:c>
      <x:c r="K14" s="63" t="n">
        <x:v>1</x:v>
      </x:c>
      <x:c r="L14" s="63" t="n">
        <x:v>0</x:v>
      </x:c>
    </x:row>
    <x:row r="15">
      <x:c r="A15" s="53" t="str">
        <x:v>1|lower</x:v>
      </x:c>
      <x:c r="B15" s="53" t="str">
        <x:v>1</x:v>
      </x:c>
      <x:c r="C15" s="53" t="str">
        <x:v>Test building 1</x:v>
      </x:c>
      <x:c r="D15" s="53" t="str">
        <x:v>lower</x:v>
      </x:c>
      <x:c r="E15" s="53" t="str">
        <x:v>2023-02</x:v>
      </x:c>
      <x:c r="F15" s="57" t="n">
        <x:v>28</x:v>
      </x:c>
      <x:c r="G15" s="55" t="n">
        <x:v>3.8903273809523813</x:v>
      </x:c>
      <x:c r="H15" s="55" t="n">
        <x:v>686.1869092095203</x:v>
      </x:c>
      <x:c r="I15" s="55" t="n">
        <x:v>15217.23406983555</x:v>
      </x:c>
      <x:c r="J15" s="61" t="n">
        <x:f>IF(F15&lt;=0,"",(H15+I15)*1000/(F15*24))</x:f>
        <x:v>23665.805028340877</x:v>
      </x:c>
      <x:c r="K15" s="63" t="n">
        <x:v>1</x:v>
      </x:c>
      <x:c r="L15" s="63" t="n">
        <x:v>0</x:v>
      </x:c>
    </x:row>
    <x:row r="16">
      <x:c r="A16" s="53" t="str">
        <x:v>1|lower</x:v>
      </x:c>
      <x:c r="B16" s="53" t="str">
        <x:v>1</x:v>
      </x:c>
      <x:c r="C16" s="53" t="str">
        <x:v>Test building 1</x:v>
      </x:c>
      <x:c r="D16" s="53" t="str">
        <x:v>lower</x:v>
      </x:c>
      <x:c r="E16" s="53" t="str">
        <x:v>2023-03</x:v>
      </x:c>
      <x:c r="F16" s="57" t="n">
        <x:v>31</x:v>
      </x:c>
      <x:c r="G16" s="55" t="n">
        <x:v>7.746908602150539</x:v>
      </x:c>
      <x:c r="H16" s="55" t="n">
        <x:v>1597.7286371156479</x:v>
      </x:c>
      <x:c r="I16" s="55" t="n">
        <x:v>16833.423592798343</x:v>
      </x:c>
      <x:c r="J16" s="61" t="n">
        <x:f>IF(F16&lt;=0,"",(H16+I16)*1000/(F16*24))</x:f>
        <x:v>24773.054072465042</x:v>
      </x:c>
      <x:c r="K16" s="63" t="n">
        <x:v>1</x:v>
      </x:c>
      <x:c r="L16" s="63" t="n">
        <x:v>0</x:v>
      </x:c>
    </x:row>
    <x:row r="17">
      <x:c r="A17" s="53" t="str">
        <x:v>1|lower</x:v>
      </x:c>
      <x:c r="B17" s="53" t="str">
        <x:v>1</x:v>
      </x:c>
      <x:c r="C17" s="53" t="str">
        <x:v>Test building 1</x:v>
      </x:c>
      <x:c r="D17" s="53" t="str">
        <x:v>lower</x:v>
      </x:c>
      <x:c r="E17" s="53" t="str">
        <x:v>2023-04</x:v>
      </x:c>
      <x:c r="F17" s="57" t="n">
        <x:v>30</x:v>
      </x:c>
      <x:c r="G17" s="55" t="n">
        <x:v>12.03041666666667</x:v>
      </x:c>
      <x:c r="H17" s="55" t="n">
        <x:v>2102.597843380142</x:v>
      </x:c>
      <x:c r="I17" s="55" t="n">
        <x:v>16327.893382356446</x:v>
      </x:c>
      <x:c r="J17" s="61" t="n">
        <x:f>IF(F17&lt;=0,"",(H17+I17)*1000/(F17*24))</x:f>
        <x:v>25597.904480189707</x:v>
      </x:c>
      <x:c r="K17" s="63" t="n">
        <x:v>1</x:v>
      </x:c>
      <x:c r="L17" s="63" t="n">
        <x:v>0</x:v>
      </x:c>
    </x:row>
    <x:row r="18">
      <x:c r="A18" s="53" t="str">
        <x:v>1|lower</x:v>
      </x:c>
      <x:c r="B18" s="53" t="str">
        <x:v>1</x:v>
      </x:c>
      <x:c r="C18" s="53" t="str">
        <x:v>Test building 1</x:v>
      </x:c>
      <x:c r="D18" s="53" t="str">
        <x:v>lower</x:v>
      </x:c>
      <x:c r="E18" s="53" t="str">
        <x:v>2023-05</x:v>
      </x:c>
      <x:c r="F18" s="57" t="n">
        <x:v>31</x:v>
      </x:c>
      <x:c r="G18" s="55" t="n">
        <x:v>17.244086021505375</x:v>
      </x:c>
      <x:c r="H18" s="55" t="n">
        <x:v>2774.249540434594</x:v>
      </x:c>
      <x:c r="I18" s="55" t="n">
        <x:v>16833.423592798343</x:v>
      </x:c>
      <x:c r="J18" s="61" t="n">
        <x:f>IF(F18&lt;=0,"",(H18+I18)*1000/(F18*24))</x:f>
        <x:v>26354.399372624914</x:v>
      </x:c>
      <x:c r="K18" s="63" t="n">
        <x:v>0</x:v>
      </x:c>
      <x:c r="L18" s="63" t="n">
        <x:v>0</x:v>
      </x:c>
    </x:row>
    <x:row r="19">
      <x:c r="A19" s="53" t="str">
        <x:v>1|lower</x:v>
      </x:c>
      <x:c r="B19" s="53" t="str">
        <x:v>1</x:v>
      </x:c>
      <x:c r="C19" s="53" t="str">
        <x:v>Test building 1</x:v>
      </x:c>
      <x:c r="D19" s="53" t="str">
        <x:v>lower</x:v>
      </x:c>
      <x:c r="E19" s="53" t="str">
        <x:v>2023-06</x:v>
      </x:c>
      <x:c r="F19" s="57" t="n">
        <x:v>30</x:v>
      </x:c>
      <x:c r="G19" s="55" t="n">
        <x:v>20.758194444444445</x:v>
      </x:c>
      <x:c r="H19" s="55" t="n">
        <x:v>2844.8736524662304</x:v>
      </x:c>
      <x:c r="I19" s="55" t="n">
        <x:v>16294.693751810744</x:v>
      </x:c>
      <x:c r="J19" s="61" t="n">
        <x:f>IF(F19&lt;=0,"",(H19+I19)*1000/(F19*24))</x:f>
        <x:v>26582.732505940243</x:v>
      </x:c>
      <x:c r="K19" s="63" t="n">
        <x:v>0</x:v>
      </x:c>
      <x:c r="L19" s="63" t="n">
        <x:v>1</x:v>
      </x:c>
    </x:row>
    <x:row r="20">
      <x:c r="A20" s="53" t="str">
        <x:v>1|lower</x:v>
      </x:c>
      <x:c r="B20" s="53" t="str">
        <x:v>1</x:v>
      </x:c>
      <x:c r="C20" s="53" t="str">
        <x:v>Test building 1</x:v>
      </x:c>
      <x:c r="D20" s="53" t="str">
        <x:v>lower</x:v>
      </x:c>
      <x:c r="E20" s="53" t="str">
        <x:v>2023-07</x:v>
      </x:c>
      <x:c r="F20" s="57" t="n">
        <x:v>31</x:v>
      </x:c>
      <x:c r="G20" s="55" t="n">
        <x:v>23.824193548387097</x:v>
      </x:c>
      <x:c r="H20" s="55" t="n">
        <x:v>3070.718841944723</x:v>
      </x:c>
      <x:c r="I20" s="55" t="n">
        <x:v>16866.623223344042</x:v>
      </x:c>
      <x:c r="J20" s="61" t="n">
        <x:f>IF(F20&lt;=0,"",(H20+I20)*1000/(F20*24))</x:f>
        <x:v>26797.502775925757</x:v>
      </x:c>
      <x:c r="K20" s="63" t="n">
        <x:v>0</x:v>
      </x:c>
      <x:c r="L20" s="63" t="n">
        <x:v>1</x:v>
      </x:c>
    </x:row>
    <x:row r="21">
      <x:c r="A21" s="53" t="str">
        <x:v>1|lower</x:v>
      </x:c>
      <x:c r="B21" s="53" t="str">
        <x:v>1</x:v>
      </x:c>
      <x:c r="C21" s="53" t="str">
        <x:v>Test building 1</x:v>
      </x:c>
      <x:c r="D21" s="53" t="str">
        <x:v>lower</x:v>
      </x:c>
      <x:c r="E21" s="53" t="str">
        <x:v>2023-08</x:v>
      </x:c>
      <x:c r="F21" s="57" t="n">
        <x:v>31</x:v>
      </x:c>
      <x:c r="G21" s="55" t="n">
        <x:v>22.74717741935484</x:v>
      </x:c>
      <x:c r="H21" s="55" t="n">
        <x:v>2671.400925836357</x:v>
      </x:c>
      <x:c r="I21" s="55" t="n">
        <x:v>16833.423592798343</x:v>
      </x:c>
      <x:c r="J21" s="61" t="n">
        <x:f>IF(F21&lt;=0,"",(H21+I21)*1000/(F21*24))</x:f>
        <x:v>26216.161987412233</x:v>
      </x:c>
      <x:c r="K21" s="63" t="n">
        <x:v>0</x:v>
      </x:c>
      <x:c r="L21" s="63" t="n">
        <x:v>1</x:v>
      </x:c>
    </x:row>
    <x:row r="22">
      <x:c r="A22" s="53" t="str">
        <x:v>1|lower</x:v>
      </x:c>
      <x:c r="B22" s="53" t="str">
        <x:v>1</x:v>
      </x:c>
      <x:c r="C22" s="53" t="str">
        <x:v>Test building 1</x:v>
      </x:c>
      <x:c r="D22" s="53" t="str">
        <x:v>lower</x:v>
      </x:c>
      <x:c r="E22" s="53" t="str">
        <x:v>2023-09</x:v>
      </x:c>
      <x:c r="F22" s="57" t="n">
        <x:v>30</x:v>
      </x:c>
      <x:c r="G22" s="55" t="n">
        <x:v>19.61638888888889</x:v>
      </x:c>
      <x:c r="H22" s="55" t="n">
        <x:v>1985.2818958140585</x:v>
      </x:c>
      <x:c r="I22" s="55" t="n">
        <x:v>16311.293567083594</x:v>
      </x:c>
      <x:c r="J22" s="61" t="n">
        <x:f>IF(F22&lt;=0,"",(H22+I22)*1000/(F22*24))</x:f>
        <x:v>25411.91036513563</x:v>
      </x:c>
      <x:c r="K22" s="63" t="n">
        <x:v>0</x:v>
      </x:c>
      <x:c r="L22" s="63" t="n">
        <x:v>1</x:v>
      </x:c>
    </x:row>
    <x:row r="23">
      <x:c r="A23" s="53" t="str">
        <x:v>1|lower</x:v>
      </x:c>
      <x:c r="B23" s="53" t="str">
        <x:v>1</x:v>
      </x:c>
      <x:c r="C23" s="53" t="str">
        <x:v>Test building 1</x:v>
      </x:c>
      <x:c r="D23" s="53" t="str">
        <x:v>lower</x:v>
      </x:c>
      <x:c r="E23" s="53" t="str">
        <x:v>2023-10</x:v>
      </x:c>
      <x:c r="F23" s="57" t="n">
        <x:v>31</x:v>
      </x:c>
      <x:c r="G23" s="55" t="n">
        <x:v>13.926209677419354</x:v>
      </x:c>
      <x:c r="H23" s="55" t="n">
        <x:v>1289.8934914186575</x:v>
      </x:c>
      <x:c r="I23" s="55" t="n">
        <x:v>16850.02340807119</x:v>
      </x:c>
      <x:c r="J23" s="61" t="n">
        <x:f>IF(F23&lt;=0,"",(H23+I23)*1000/(F23*24))</x:f>
        <x:v>24381.608735873448</x:v>
      </x:c>
      <x:c r="K23" s="63" t="n">
        <x:v>0.5483870967741935</x:v>
      </x:c>
      <x:c r="L23" s="63" t="n">
        <x:v>0</x:v>
      </x:c>
    </x:row>
    <x:row r="24">
      <x:c r="A24" s="53" t="str">
        <x:v>1|lower</x:v>
      </x:c>
      <x:c r="B24" s="53" t="str">
        <x:v>1</x:v>
      </x:c>
      <x:c r="C24" s="53" t="str">
        <x:v>Test building 1</x:v>
      </x:c>
      <x:c r="D24" s="53" t="str">
        <x:v>lower</x:v>
      </x:c>
      <x:c r="E24" s="53" t="str">
        <x:v>2023-11</x:v>
      </x:c>
      <x:c r="F24" s="57" t="n">
        <x:v>30</x:v>
      </x:c>
      <x:c r="G24" s="55" t="n">
        <x:v>8.68388888888889</x:v>
      </x:c>
      <x:c r="H24" s="55" t="n">
        <x:v>532.6606465324193</x:v>
      </x:c>
      <x:c r="I24" s="55" t="n">
        <x:v>16294.693751810744</x:v>
      </x:c>
      <x:c r="J24" s="61" t="n">
        <x:f>IF(F24&lt;=0,"",(H24+I24)*1000/(F24*24))</x:f>
        <x:v>23371.325553254395</x:v>
      </x:c>
      <x:c r="K24" s="63" t="n">
        <x:v>1</x:v>
      </x:c>
      <x:c r="L24" s="63" t="n">
        <x:v>0</x:v>
      </x:c>
    </x:row>
    <x:row r="25">
      <x:c r="A25" s="53" t="str">
        <x:v>1|lower</x:v>
      </x:c>
      <x:c r="B25" s="53" t="str">
        <x:v>1</x:v>
      </x:c>
      <x:c r="C25" s="53" t="str">
        <x:v>Test building 1</x:v>
      </x:c>
      <x:c r="D25" s="53" t="str">
        <x:v>lower</x:v>
      </x:c>
      <x:c r="E25" s="53" t="str">
        <x:v>2023-12</x:v>
      </x:c>
      <x:c r="F25" s="57" t="n">
        <x:v>31</x:v>
      </x:c>
      <x:c r="G25" s="55" t="n">
        <x:v>3.9963709677419357</x:v>
      </x:c>
      <x:c r="H25" s="55" t="n">
        <x:v>425.9834046364264</x:v>
      </x:c>
      <x:c r="I25" s="55" t="n">
        <x:v>16866.623223344042</x:v>
      </x:c>
      <x:c r="J25" s="61" t="n">
        <x:f>IF(F25&lt;=0,"",(H25+I25)*1000/(F25*24))</x:f>
        <x:v>23242.750844059774</x:v>
      </x:c>
      <x:c r="K25" s="63" t="n">
        <x:v>1</x:v>
      </x:c>
      <x:c r="L25" s="63" t="n">
        <x:v>0</x:v>
      </x:c>
    </x:row>
    <x:row r="26">
      <x:c r="A26" s="53" t="str">
        <x:v>1|upper</x:v>
      </x:c>
      <x:c r="B26" s="53" t="str">
        <x:v>1</x:v>
      </x:c>
      <x:c r="C26" s="53" t="str">
        <x:v>Test building 1</x:v>
      </x:c>
      <x:c r="D26" s="53" t="str">
        <x:v>upper</x:v>
      </x:c>
      <x:c r="E26" s="53" t="str">
        <x:v>2023-01</x:v>
      </x:c>
      <x:c r="F26" s="57" t="n">
        <x:v>31</x:v>
      </x:c>
      <x:c r="G26" s="55" t="n">
        <x:v>2.638440860215054</x:v>
      </x:c>
      <x:c r="H26" s="55" t="n">
        <x:v>1213.9601330566481</x:v>
      </x:c>
      <x:c r="I26" s="55" t="n">
        <x:v>1336.2109193671874</x:v>
      </x:c>
      <x:c r="J26" s="61" t="n">
        <x:f>IF(F26&lt;=0,"",(H26+I26)*1000/(F26*24))</x:f>
        <x:v>3427.649264010532</x:v>
      </x:c>
      <x:c r="K26" s="63" t="n">
        <x:v>1</x:v>
      </x:c>
      <x:c r="L26" s="63" t="n">
        <x:v>0</x:v>
      </x:c>
    </x:row>
    <x:row r="27">
      <x:c r="A27" s="53" t="str">
        <x:v>1|upper</x:v>
      </x:c>
      <x:c r="B27" s="53" t="str">
        <x:v>1</x:v>
      </x:c>
      <x:c r="C27" s="53" t="str">
        <x:v>Test building 1</x:v>
      </x:c>
      <x:c r="D27" s="53" t="str">
        <x:v>upper</x:v>
      </x:c>
      <x:c r="E27" s="53" t="str">
        <x:v>2023-02</x:v>
      </x:c>
      <x:c r="F27" s="57" t="n">
        <x:v>28</x:v>
      </x:c>
      <x:c r="G27" s="55" t="n">
        <x:v>3.8903273809523813</x:v>
      </x:c>
      <x:c r="H27" s="55" t="n">
        <x:v>1888.8338852279971</x:v>
      </x:c>
      <x:c r="I27" s="55" t="n">
        <x:v>1224.8600094199219</x:v>
      </x:c>
      <x:c r="J27" s="61" t="n">
        <x:f>IF(F27&lt;=0,"",(H27+I27)*1000/(F27*24))</x:f>
        <x:v>4633.473057511785</x:v>
      </x:c>
      <x:c r="K27" s="63" t="n">
        <x:v>1</x:v>
      </x:c>
      <x:c r="L27" s="63" t="n">
        <x:v>0</x:v>
      </x:c>
    </x:row>
    <x:row r="28">
      <x:c r="A28" s="53" t="str">
        <x:v>1|upper</x:v>
      </x:c>
      <x:c r="B28" s="53" t="str">
        <x:v>1</x:v>
      </x:c>
      <x:c r="C28" s="53" t="str">
        <x:v>Test building 1</x:v>
      </x:c>
      <x:c r="D28" s="53" t="str">
        <x:v>upper</x:v>
      </x:c>
      <x:c r="E28" s="53" t="str">
        <x:v>2023-03</x:v>
      </x:c>
      <x:c r="F28" s="57" t="n">
        <x:v>31</x:v>
      </x:c>
      <x:c r="G28" s="55" t="n">
        <x:v>7.746908602150539</x:v>
      </x:c>
      <x:c r="H28" s="55" t="n">
        <x:v>5593.399784154556</x:v>
      </x:c>
      <x:c r="I28" s="55" t="n">
        <x:v>1391.8863743408203</x:v>
      </x:c>
      <x:c r="J28" s="61" t="n">
        <x:f>IF(F28&lt;=0,"",(H28+I28)*1000/(F28*24))</x:f>
        <x:v>9388.825481848624</x:v>
      </x:c>
      <x:c r="K28" s="63" t="n">
        <x:v>1</x:v>
      </x:c>
      <x:c r="L28" s="63" t="n">
        <x:v>0</x:v>
      </x:c>
    </x:row>
    <x:row r="29">
      <x:c r="A29" s="53" t="str">
        <x:v>1|upper</x:v>
      </x:c>
      <x:c r="B29" s="53" t="str">
        <x:v>1</x:v>
      </x:c>
      <x:c r="C29" s="53" t="str">
        <x:v>Test building 1</x:v>
      </x:c>
      <x:c r="D29" s="53" t="str">
        <x:v>upper</x:v>
      </x:c>
      <x:c r="E29" s="53" t="str">
        <x:v>2023-04</x:v>
      </x:c>
      <x:c r="F29" s="57" t="n">
        <x:v>30</x:v>
      </x:c>
      <x:c r="G29" s="55" t="n">
        <x:v>12.03041666666667</x:v>
      </x:c>
      <x:c r="H29" s="55" t="n">
        <x:v>7861.187791533801</x:v>
      </x:c>
      <x:c r="I29" s="55" t="n">
        <x:v>1252.6977369067383</x:v>
      </x:c>
      <x:c r="J29" s="61" t="n">
        <x:f>IF(F29&lt;=0,"",(H29+I29)*1000/(F29*24))</x:f>
        <x:v>12658.174345056306</x:v>
      </x:c>
      <x:c r="K29" s="63" t="n">
        <x:v>1</x:v>
      </x:c>
      <x:c r="L29" s="63" t="n">
        <x:v>0</x:v>
      </x:c>
    </x:row>
    <x:row r="30">
      <x:c r="A30" s="53" t="str">
        <x:v>1|upper</x:v>
      </x:c>
      <x:c r="B30" s="53" t="str">
        <x:v>1</x:v>
      </x:c>
      <x:c r="C30" s="53" t="str">
        <x:v>Test building 1</x:v>
      </x:c>
      <x:c r="D30" s="53" t="str">
        <x:v>upper</x:v>
      </x:c>
      <x:c r="E30" s="53" t="str">
        <x:v>2023-05</x:v>
      </x:c>
      <x:c r="F30" s="57" t="n">
        <x:v>31</x:v>
      </x:c>
      <x:c r="G30" s="55" t="n">
        <x:v>17.244086021505375</x:v>
      </x:c>
      <x:c r="H30" s="55" t="n">
        <x:v>10845.511006306717</x:v>
      </x:c>
      <x:c r="I30" s="55" t="n">
        <x:v>1391.8863743408203</x:v>
      </x:c>
      <x:c r="J30" s="61" t="n">
        <x:f>IF(F30&lt;=0,"",(H30+I30)*1000/(F30*24))</x:f>
        <x:v>16448.114758934862</x:v>
      </x:c>
      <x:c r="K30" s="63" t="n">
        <x:v>0</x:v>
      </x:c>
      <x:c r="L30" s="63" t="n">
        <x:v>0</x:v>
      </x:c>
    </x:row>
    <x:row r="31">
      <x:c r="A31" s="53" t="str">
        <x:v>1|upper</x:v>
      </x:c>
      <x:c r="B31" s="53" t="str">
        <x:v>1</x:v>
      </x:c>
      <x:c r="C31" s="53" t="str">
        <x:v>Test building 1</x:v>
      </x:c>
      <x:c r="D31" s="53" t="str">
        <x:v>upper</x:v>
      </x:c>
      <x:c r="E31" s="53" t="str">
        <x:v>2023-06</x:v>
      </x:c>
      <x:c r="F31" s="57" t="n">
        <x:v>30</x:v>
      </x:c>
      <x:c r="G31" s="55" t="n">
        <x:v>20.758194444444445</x:v>
      </x:c>
      <x:c r="H31" s="55" t="n">
        <x:v>11283.253943503583</x:v>
      </x:c>
      <x:c r="I31" s="55" t="n">
        <x:v>1336.2109193671874</x:v>
      </x:c>
      <x:c r="J31" s="61" t="n">
        <x:f>IF(F31&lt;=0,"",(H31+I31)*1000/(F31*24))</x:f>
        <x:v>17527.03453176496</x:v>
      </x:c>
      <x:c r="K31" s="63" t="n">
        <x:v>0</x:v>
      </x:c>
      <x:c r="L31" s="63" t="n">
        <x:v>1</x:v>
      </x:c>
    </x:row>
    <x:row r="32">
      <x:c r="A32" s="53" t="str">
        <x:v>1|upper</x:v>
      </x:c>
      <x:c r="B32" s="53" t="str">
        <x:v>1</x:v>
      </x:c>
      <x:c r="C32" s="53" t="str">
        <x:v>Test building 1</x:v>
      </x:c>
      <x:c r="D32" s="53" t="str">
        <x:v>upper</x:v>
      </x:c>
      <x:c r="E32" s="53" t="str">
        <x:v>2023-07</x:v>
      </x:c>
      <x:c r="F32" s="57" t="n">
        <x:v>31</x:v>
      </x:c>
      <x:c r="G32" s="55" t="n">
        <x:v>23.824193548387097</x:v>
      </x:c>
      <x:c r="H32" s="55" t="n">
        <x:v>12200.505378501297</x:v>
      </x:c>
      <x:c r="I32" s="55" t="n">
        <x:v>1308.3731918803712</x:v>
      </x:c>
      <x:c r="J32" s="61" t="n">
        <x:f>IF(F32&lt;=0,"",(H32+I32)*1000/(F32*24))</x:f>
        <x:v>18157.094852663533</x:v>
      </x:c>
      <x:c r="K32" s="63" t="n">
        <x:v>0</x:v>
      </x:c>
      <x:c r="L32" s="63" t="n">
        <x:v>1</x:v>
      </x:c>
    </x:row>
    <x:row r="33">
      <x:c r="A33" s="53" t="str">
        <x:v>1|upper</x:v>
      </x:c>
      <x:c r="B33" s="53" t="str">
        <x:v>1</x:v>
      </x:c>
      <x:c r="C33" s="53" t="str">
        <x:v>Test building 1</x:v>
      </x:c>
      <x:c r="D33" s="53" t="str">
        <x:v>upper</x:v>
      </x:c>
      <x:c r="E33" s="53" t="str">
        <x:v>2023-08</x:v>
      </x:c>
      <x:c r="F33" s="57" t="n">
        <x:v>31</x:v>
      </x:c>
      <x:c r="G33" s="55" t="n">
        <x:v>22.74717741935484</x:v>
      </x:c>
      <x:c r="H33" s="55" t="n">
        <x:v>10299.139467755347</x:v>
      </x:c>
      <x:c r="I33" s="55" t="n">
        <x:v>1391.8863743408203</x:v>
      </x:c>
      <x:c r="J33" s="61" t="n">
        <x:f>IF(F33&lt;=0,"",(H33+I33)*1000/(F33*24))</x:f>
        <x:v>15713.744411419579</x:v>
      </x:c>
      <x:c r="K33" s="63" t="n">
        <x:v>0</x:v>
      </x:c>
      <x:c r="L33" s="63" t="n">
        <x:v>1</x:v>
      </x:c>
    </x:row>
    <x:row r="34">
      <x:c r="A34" s="53" t="str">
        <x:v>1|upper</x:v>
      </x:c>
      <x:c r="B34" s="53" t="str">
        <x:v>1</x:v>
      </x:c>
      <x:c r="C34" s="53" t="str">
        <x:v>Test building 1</x:v>
      </x:c>
      <x:c r="D34" s="53" t="str">
        <x:v>upper</x:v>
      </x:c>
      <x:c r="E34" s="53" t="str">
        <x:v>2023-09</x:v>
      </x:c>
      <x:c r="F34" s="57" t="n">
        <x:v>30</x:v>
      </x:c>
      <x:c r="G34" s="55" t="n">
        <x:v>19.61638888888889</x:v>
      </x:c>
      <x:c r="H34" s="55" t="n">
        <x:v>7266.673988674342</x:v>
      </x:c>
      <x:c r="I34" s="55" t="n">
        <x:v>1308.3731918803712</x:v>
      </x:c>
      <x:c r="J34" s="61" t="n">
        <x:f>IF(F34&lt;=0,"",(H34+I34)*1000/(F34*24))</x:f>
        <x:v>11909.787750770436</x:v>
      </x:c>
      <x:c r="K34" s="63" t="n">
        <x:v>0</x:v>
      </x:c>
      <x:c r="L34" s="63" t="n">
        <x:v>1</x:v>
      </x:c>
    </x:row>
    <x:row r="35">
      <x:c r="A35" s="53" t="str">
        <x:v>1|upper</x:v>
      </x:c>
      <x:c r="B35" s="53" t="str">
        <x:v>1</x:v>
      </x:c>
      <x:c r="C35" s="53" t="str">
        <x:v>Test building 1</x:v>
      </x:c>
      <x:c r="D35" s="53" t="str">
        <x:v>upper</x:v>
      </x:c>
      <x:c r="E35" s="53" t="str">
        <x:v>2023-10</x:v>
      </x:c>
      <x:c r="F35" s="57" t="n">
        <x:v>31</x:v>
      </x:c>
      <x:c r="G35" s="55" t="n">
        <x:v>13.926209677419354</x:v>
      </x:c>
      <x:c r="H35" s="55" t="n">
        <x:v>4246.810388003953</x:v>
      </x:c>
      <x:c r="I35" s="55" t="n">
        <x:v>1336.2109193671874</x:v>
      </x:c>
      <x:c r="J35" s="61" t="n">
        <x:f>IF(F35&lt;=0,"",(H35+I35)*1000/(F35*24))</x:f>
        <x:v>7504.060897004222</x:v>
      </x:c>
      <x:c r="K35" s="63" t="n">
        <x:v>0.5483870967741935</x:v>
      </x:c>
      <x:c r="L35" s="63" t="n">
        <x:v>0</x:v>
      </x:c>
    </x:row>
    <x:row r="36">
      <x:c r="A36" s="53" t="str">
        <x:v>1|upper</x:v>
      </x:c>
      <x:c r="B36" s="53" t="str">
        <x:v>1</x:v>
      </x:c>
      <x:c r="C36" s="53" t="str">
        <x:v>Test building 1</x:v>
      </x:c>
      <x:c r="D36" s="53" t="str">
        <x:v>upper</x:v>
      </x:c>
      <x:c r="E36" s="53" t="str">
        <x:v>2023-11</x:v>
      </x:c>
      <x:c r="F36" s="57" t="n">
        <x:v>30</x:v>
      </x:c>
      <x:c r="G36" s="55" t="n">
        <x:v>8.68388888888889</x:v>
      </x:c>
      <x:c r="H36" s="55" t="n">
        <x:v>1253.0426185297024</x:v>
      </x:c>
      <x:c r="I36" s="55" t="n">
        <x:v>1336.2109193671874</x:v>
      </x:c>
      <x:c r="J36" s="61" t="n">
        <x:f>IF(F36&lt;=0,"",(H36+I36)*1000/(F36*24))</x:f>
        <x:v>3596.1854693012356</x:v>
      </x:c>
      <x:c r="K36" s="63" t="n">
        <x:v>1</x:v>
      </x:c>
      <x:c r="L36" s="63" t="n">
        <x:v>0</x:v>
      </x:c>
    </x:row>
    <x:row r="37">
      <x:c r="A37" s="53" t="str">
        <x:v>1|upper</x:v>
      </x:c>
      <x:c r="B37" s="53" t="str">
        <x:v>1</x:v>
      </x:c>
      <x:c r="C37" s="53" t="str">
        <x:v>Test building 1</x:v>
      </x:c>
      <x:c r="D37" s="53" t="str">
        <x:v>upper</x:v>
      </x:c>
      <x:c r="E37" s="53" t="str">
        <x:v>2023-12</x:v>
      </x:c>
      <x:c r="F37" s="57" t="n">
        <x:v>31</x:v>
      </x:c>
      <x:c r="G37" s="55" t="n">
        <x:v>3.9963709677419357</x:v>
      </x:c>
      <x:c r="H37" s="55" t="n">
        <x:v>793.5435732013335</x:v>
      </x:c>
      <x:c r="I37" s="55" t="n">
        <x:v>1308.3731918803712</x:v>
      </x:c>
      <x:c r="J37" s="61" t="n">
        <x:f>IF(F37&lt;=0,"",(H37+I37)*1000/(F37*24))</x:f>
        <x:v>2825.1569423141195</x:v>
      </x:c>
      <x:c r="K37" s="63" t="n">
        <x:v>1</x:v>
      </x:c>
      <x:c r="L37" s="63" t="n">
        <x:v>0</x:v>
      </x:c>
    </x:row>
    <x:row r="38">
      <x:c r="A38" s="53" t="str">
        <x:v>18|aggregate</x:v>
      </x:c>
      <x:c r="B38" s="53" t="str">
        <x:v>18</x:v>
      </x:c>
      <x:c r="C38" s="53" t="str">
        <x:v>Test building 2</x:v>
      </x:c>
      <x:c r="D38" s="53" t="str">
        <x:v>aggregate</x:v>
      </x:c>
      <x:c r="E38" s="53" t="str">
        <x:v>2023-01</x:v>
      </x:c>
      <x:c r="F38" s="57" t="n">
        <x:v>31</x:v>
      </x:c>
      <x:c r="G38" s="55" t="n">
        <x:v>2.638440860215054</x:v>
      </x:c>
      <x:c r="H38" s="55" t="n">
        <x:v>1428.774285469977</x:v>
      </x:c>
      <x:c r="I38" s="55" t="n">
        <x:v>7429.455068174317</x:v>
      </x:c>
      <x:c r="J38" s="61" t="n">
        <x:f>IF(F38&lt;=0,"",(H38+I38)*1000/(F38*24))</x:f>
        <x:v>11906.222249521901</x:v>
      </x:c>
      <x:c r="K38" s="63" t="n">
        <x:v>1</x:v>
      </x:c>
      <x:c r="L38" s="63" t="n">
        <x:v>0</x:v>
      </x:c>
    </x:row>
    <x:row r="39">
      <x:c r="A39" s="53" t="str">
        <x:v>18|aggregate</x:v>
      </x:c>
      <x:c r="B39" s="53" t="str">
        <x:v>18</x:v>
      </x:c>
      <x:c r="C39" s="53" t="str">
        <x:v>Test building 2</x:v>
      </x:c>
      <x:c r="D39" s="53" t="str">
        <x:v>aggregate</x:v>
      </x:c>
      <x:c r="E39" s="53" t="str">
        <x:v>2023-02</x:v>
      </x:c>
      <x:c r="F39" s="57" t="n">
        <x:v>28</x:v>
      </x:c>
      <x:c r="G39" s="55" t="n">
        <x:v>3.8903273809523813</x:v>
      </x:c>
      <x:c r="H39" s="55" t="n">
        <x:v>2049.867585837875</x:v>
      </x:c>
      <x:c r="I39" s="55" t="n">
        <x:v>6709.305184982421</x:v>
      </x:c>
      <x:c r="J39" s="61" t="n">
        <x:f>IF(F39&lt;=0,"",(H39+I39)*1000/(F39*24))</x:f>
        <x:v>13034.483289911153</x:v>
      </x:c>
      <x:c r="K39" s="63" t="n">
        <x:v>1</x:v>
      </x:c>
      <x:c r="L39" s="63" t="n">
        <x:v>0</x:v>
      </x:c>
    </x:row>
    <x:row r="40">
      <x:c r="A40" s="53" t="str">
        <x:v>18|aggregate</x:v>
      </x:c>
      <x:c r="B40" s="53" t="str">
        <x:v>18</x:v>
      </x:c>
      <x:c r="C40" s="53" t="str">
        <x:v>Test building 2</x:v>
      </x:c>
      <x:c r="D40" s="53" t="str">
        <x:v>aggregate</x:v>
      </x:c>
      <x:c r="E40" s="53" t="str">
        <x:v>2023-03</x:v>
      </x:c>
      <x:c r="F40" s="57" t="n">
        <x:v>31</x:v>
      </x:c>
      <x:c r="G40" s="55" t="n">
        <x:v>7.746908602150539</x:v>
      </x:c>
      <x:c r="H40" s="55" t="n">
        <x:v>4903.652916935158</x:v>
      </x:c>
      <x:c r="I40" s="55" t="n">
        <x:v>7420.384774567871</x:v>
      </x:c>
      <x:c r="J40" s="61" t="n">
        <x:f>IF(F40&lt;=0,"",(H40+I40)*1000/(F40*24))</x:f>
        <x:v>16564.566789654607</x:v>
      </x:c>
      <x:c r="K40" s="63" t="n">
        <x:v>1</x:v>
      </x:c>
      <x:c r="L40" s="63" t="n">
        <x:v>0</x:v>
      </x:c>
    </x:row>
    <x:row r="41">
      <x:c r="A41" s="53" t="str">
        <x:v>18|aggregate</x:v>
      </x:c>
      <x:c r="B41" s="53" t="str">
        <x:v>18</x:v>
      </x:c>
      <x:c r="C41" s="53" t="str">
        <x:v>Test building 2</x:v>
      </x:c>
      <x:c r="D41" s="53" t="str">
        <x:v>aggregate</x:v>
      </x:c>
      <x:c r="E41" s="53" t="str">
        <x:v>2023-04</x:v>
      </x:c>
      <x:c r="F41" s="57" t="n">
        <x:v>30</x:v>
      </x:c>
      <x:c r="G41" s="55" t="n">
        <x:v>12.03041666666667</x:v>
      </x:c>
      <x:c r="H41" s="55" t="n">
        <x:v>6381.478603318254</x:v>
      </x:c>
      <x:c r="I41" s="55" t="n">
        <x:v>7201.498831918945</x:v>
      </x:c>
      <x:c r="J41" s="61" t="n">
        <x:f>IF(F41&lt;=0,"",(H41+I41)*1000/(F41*24))</x:f>
        <x:v>18865.246437829443</x:v>
      </x:c>
      <x:c r="K41" s="63" t="n">
        <x:v>1</x:v>
      </x:c>
      <x:c r="L41" s="63" t="n">
        <x:v>0</x:v>
      </x:c>
    </x:row>
    <x:row r="42">
      <x:c r="A42" s="53" t="str">
        <x:v>18|aggregate</x:v>
      </x:c>
      <x:c r="B42" s="53" t="str">
        <x:v>18</x:v>
      </x:c>
      <x:c r="C42" s="53" t="str">
        <x:v>Test building 2</x:v>
      </x:c>
      <x:c r="D42" s="53" t="str">
        <x:v>aggregate</x:v>
      </x:c>
      <x:c r="E42" s="53" t="str">
        <x:v>2023-05</x:v>
      </x:c>
      <x:c r="F42" s="57" t="n">
        <x:v>31</x:v>
      </x:c>
      <x:c r="G42" s="55" t="n">
        <x:v>17.244086021505375</x:v>
      </x:c>
      <x:c r="H42" s="55" t="n">
        <x:v>8247.157844563935</x:v>
      </x:c>
      <x:c r="I42" s="55" t="n">
        <x:v>7420.384774567871</x:v>
      </x:c>
      <x:c r="J42" s="61" t="n">
        <x:f>IF(F42&lt;=0,"",(H42+I42)*1000/(F42*24))</x:f>
        <x:v>21058.525025714796</x:v>
      </x:c>
      <x:c r="K42" s="63" t="n">
        <x:v>0</x:v>
      </x:c>
      <x:c r="L42" s="63" t="n">
        <x:v>0</x:v>
      </x:c>
    </x:row>
    <x:row r="43">
      <x:c r="A43" s="53" t="str">
        <x:v>18|aggregate</x:v>
      </x:c>
      <x:c r="B43" s="53" t="str">
        <x:v>18</x:v>
      </x:c>
      <x:c r="C43" s="53" t="str">
        <x:v>Test building 2</x:v>
      </x:c>
      <x:c r="D43" s="53" t="str">
        <x:v>aggregate</x:v>
      </x:c>
      <x:c r="E43" s="53" t="str">
        <x:v>2023-06</x:v>
      </x:c>
      <x:c r="F43" s="57" t="n">
        <x:v>30</x:v>
      </x:c>
      <x:c r="G43" s="55" t="n">
        <x:v>20.758194444444445</x:v>
      </x:c>
      <x:c r="H43" s="55" t="n">
        <x:v>8356.818063316849</x:v>
      </x:c>
      <x:c r="I43" s="55" t="n">
        <x:v>7183.358244706055</x:v>
      </x:c>
      <x:c r="J43" s="61" t="n">
        <x:f>IF(F43&lt;=0,"",(H43+I43)*1000/(F43*24))</x:f>
        <x:v>21583.578205587364</x:v>
      </x:c>
      <x:c r="K43" s="63" t="n">
        <x:v>0</x:v>
      </x:c>
      <x:c r="L43" s="63" t="n">
        <x:v>1</x:v>
      </x:c>
    </x:row>
    <x:row r="44">
      <x:c r="A44" s="53" t="str">
        <x:v>18|aggregate</x:v>
      </x:c>
      <x:c r="B44" s="53" t="str">
        <x:v>18</x:v>
      </x:c>
      <x:c r="C44" s="53" t="str">
        <x:v>Test building 2</x:v>
      </x:c>
      <x:c r="D44" s="53" t="str">
        <x:v>aggregate</x:v>
      </x:c>
      <x:c r="E44" s="53" t="str">
        <x:v>2023-07</x:v>
      </x:c>
      <x:c r="F44" s="57" t="n">
        <x:v>31</x:v>
      </x:c>
      <x:c r="G44" s="55" t="n">
        <x:v>23.824193548387097</x:v>
      </x:c>
      <x:c r="H44" s="55" t="n">
        <x:v>9059.754568538534</x:v>
      </x:c>
      <x:c r="I44" s="55" t="n">
        <x:v>7438.525361780761</x:v>
      </x:c>
      <x:c r="J44" s="61" t="n">
        <x:f>IF(F44&lt;=0,"",(H44+I44)*1000/(F44*24))</x:f>
        <x:v>22175.107433224857</x:v>
      </x:c>
      <x:c r="K44" s="63" t="n">
        <x:v>0</x:v>
      </x:c>
      <x:c r="L44" s="63" t="n">
        <x:v>1</x:v>
      </x:c>
    </x:row>
    <x:row r="45">
      <x:c r="A45" s="53" t="str">
        <x:v>18|aggregate</x:v>
      </x:c>
      <x:c r="B45" s="53" t="str">
        <x:v>18</x:v>
      </x:c>
      <x:c r="C45" s="53" t="str">
        <x:v>Test building 2</x:v>
      </x:c>
      <x:c r="D45" s="53" t="str">
        <x:v>aggregate</x:v>
      </x:c>
      <x:c r="E45" s="53" t="str">
        <x:v>2023-08</x:v>
      </x:c>
      <x:c r="F45" s="57" t="n">
        <x:v>31</x:v>
      </x:c>
      <x:c r="G45" s="55" t="n">
        <x:v>22.74717741935484</x:v>
      </x:c>
      <x:c r="H45" s="55" t="n">
        <x:v>8078.880009047348</x:v>
      </x:c>
      <x:c r="I45" s="55" t="n">
        <x:v>7420.384774567871</x:v>
      </x:c>
      <x:c r="J45" s="61" t="n">
        <x:f>IF(F45&lt;=0,"",(H45+I45)*1000/(F45*24))</x:f>
        <x:v>20832.345139267767</x:v>
      </x:c>
      <x:c r="K45" s="63" t="n">
        <x:v>0</x:v>
      </x:c>
      <x:c r="L45" s="63" t="n">
        <x:v>1</x:v>
      </x:c>
    </x:row>
    <x:row r="46">
      <x:c r="A46" s="53" t="str">
        <x:v>18|aggregate</x:v>
      </x:c>
      <x:c r="B46" s="53" t="str">
        <x:v>18</x:v>
      </x:c>
      <x:c r="C46" s="53" t="str">
        <x:v>Test building 2</x:v>
      </x:c>
      <x:c r="D46" s="53" t="str">
        <x:v>aggregate</x:v>
      </x:c>
      <x:c r="E46" s="53" t="str">
        <x:v>2023-09</x:v>
      </x:c>
      <x:c r="F46" s="57" t="n">
        <x:v>30</x:v>
      </x:c>
      <x:c r="G46" s="55" t="n">
        <x:v>19.61638888888889</x:v>
      </x:c>
      <x:c r="H46" s="55" t="n">
        <x:v>6153.889741868964</x:v>
      </x:c>
      <x:c r="I46" s="55" t="n">
        <x:v>7192.428538312501</x:v>
      </x:c>
      <x:c r="J46" s="61" t="n">
        <x:f>IF(F46&lt;=0,"",(H46+I46)*1000/(F46*24))</x:f>
        <x:v>18536.553166918704</x:v>
      </x:c>
      <x:c r="K46" s="63" t="n">
        <x:v>0</x:v>
      </x:c>
      <x:c r="L46" s="63" t="n">
        <x:v>1</x:v>
      </x:c>
    </x:row>
    <x:row r="47">
      <x:c r="A47" s="53" t="str">
        <x:v>18|aggregate</x:v>
      </x:c>
      <x:c r="B47" s="53" t="str">
        <x:v>18</x:v>
      </x:c>
      <x:c r="C47" s="53" t="str">
        <x:v>Test building 2</x:v>
      </x:c>
      <x:c r="D47" s="53" t="str">
        <x:v>aggregate</x:v>
      </x:c>
      <x:c r="E47" s="53" t="str">
        <x:v>2023-10</x:v>
      </x:c>
      <x:c r="F47" s="57" t="n">
        <x:v>31</x:v>
      </x:c>
      <x:c r="G47" s="55" t="n">
        <x:v>13.926209677419354</x:v>
      </x:c>
      <x:c r="H47" s="55" t="n">
        <x:v>4001.6426009477027</x:v>
      </x:c>
      <x:c r="I47" s="55" t="n">
        <x:v>7429.455068174317</x:v>
      </x:c>
      <x:c r="J47" s="61" t="n">
        <x:f>IF(F47&lt;=0,"",(H47+I47)*1000/(F47*24))</x:f>
        <x:v>15364.378587529596</x:v>
      </x:c>
      <x:c r="K47" s="63" t="n">
        <x:v>0.5483870967741935</x:v>
      </x:c>
      <x:c r="L47" s="63" t="n">
        <x:v>0</x:v>
      </x:c>
    </x:row>
    <x:row r="48">
      <x:c r="A48" s="53" t="str">
        <x:v>18|aggregate</x:v>
      </x:c>
      <x:c r="B48" s="53" t="str">
        <x:v>18</x:v>
      </x:c>
      <x:c r="C48" s="53" t="str">
        <x:v>Test building 2</x:v>
      </x:c>
      <x:c r="D48" s="53" t="str">
        <x:v>aggregate</x:v>
      </x:c>
      <x:c r="E48" s="53" t="str">
        <x:v>2023-11</x:v>
      </x:c>
      <x:c r="F48" s="57" t="n">
        <x:v>30</x:v>
      </x:c>
      <x:c r="G48" s="55" t="n">
        <x:v>8.68388888888889</x:v>
      </x:c>
      <x:c r="H48" s="55" t="n">
        <x:v>1454.4583435081536</x:v>
      </x:c>
      <x:c r="I48" s="55" t="n">
        <x:v>7183.358244706055</x:v>
      </x:c>
      <x:c r="J48" s="61" t="n">
        <x:f>IF(F48&lt;=0,"",(H48+I48)*1000/(F48*24))</x:f>
        <x:v>11996.967483630846</x:v>
      </x:c>
      <x:c r="K48" s="63" t="n">
        <x:v>1</x:v>
      </x:c>
      <x:c r="L48" s="63" t="n">
        <x:v>0</x:v>
      </x:c>
    </x:row>
    <x:row r="49">
      <x:c r="A49" s="53" t="str">
        <x:v>18|aggregate</x:v>
      </x:c>
      <x:c r="B49" s="53" t="str">
        <x:v>18</x:v>
      </x:c>
      <x:c r="C49" s="53" t="str">
        <x:v>Test building 2</x:v>
      </x:c>
      <x:c r="D49" s="53" t="str">
        <x:v>aggregate</x:v>
      </x:c>
      <x:c r="E49" s="53" t="str">
        <x:v>2023-12</x:v>
      </x:c>
      <x:c r="F49" s="57" t="n">
        <x:v>31</x:v>
      </x:c>
      <x:c r="G49" s="55" t="n">
        <x:v>3.9963709677419357</x:v>
      </x:c>
      <x:c r="H49" s="55" t="n">
        <x:v>1083.0302145106277</x:v>
      </x:c>
      <x:c r="I49" s="55" t="n">
        <x:v>7438.525361780761</x:v>
      </x:c>
      <x:c r="J49" s="61" t="n">
        <x:f>IF(F49&lt;=0,"",(H49+I49)*1000/(F49*24))</x:f>
        <x:v>11453.703731574446</x:v>
      </x:c>
      <x:c r="K49" s="63" t="n">
        <x:v>1</x:v>
      </x:c>
      <x:c r="L49" s="63" t="n">
        <x:v>0</x:v>
      </x:c>
    </x:row>
    <x:row r="50">
      <x:c r="A50" s="53" t="str">
        <x:v>18|lower</x:v>
      </x:c>
      <x:c r="B50" s="53" t="str">
        <x:v>18</x:v>
      </x:c>
      <x:c r="C50" s="53" t="str">
        <x:v>Test building 2</x:v>
      </x:c>
      <x:c r="D50" s="53" t="str">
        <x:v>lower</x:v>
      </x:c>
      <x:c r="E50" s="53" t="str">
        <x:v>2023-01</x:v>
      </x:c>
      <x:c r="F50" s="57" t="n">
        <x:v>31</x:v>
      </x:c>
      <x:c r="G50" s="55" t="n">
        <x:v>2.638440860215054</x:v>
      </x:c>
      <x:c r="H50" s="55" t="n">
        <x:v>528.2504666345012</x:v>
      </x:c>
      <x:c r="I50" s="55" t="n">
        <x:v>6935.703212070801</x:v>
      </x:c>
      <x:c r="J50" s="61" t="n">
        <x:f>IF(F50&lt;=0,"",(H50+I50)*1000/(F50*24))</x:f>
        <x:v>10032.195804711428</x:v>
      </x:c>
      <x:c r="K50" s="63" t="n">
        <x:v>1</x:v>
      </x:c>
      <x:c r="L50" s="63" t="n">
        <x:v>0</x:v>
      </x:c>
    </x:row>
    <x:row r="51">
      <x:c r="A51" s="53" t="str">
        <x:v>18|lower</x:v>
      </x:c>
      <x:c r="B51" s="53" t="str">
        <x:v>18</x:v>
      </x:c>
      <x:c r="C51" s="53" t="str">
        <x:v>Test building 2</x:v>
      </x:c>
      <x:c r="D51" s="53" t="str">
        <x:v>lower</x:v>
      </x:c>
      <x:c r="E51" s="53" t="str">
        <x:v>2023-02</x:v>
      </x:c>
      <x:c r="F51" s="57" t="n">
        <x:v>28</x:v>
      </x:c>
      <x:c r="G51" s="55" t="n">
        <x:v>3.8903273809523813</x:v>
      </x:c>
      <x:c r="H51" s="55" t="n">
        <x:v>706.5765023154817</x:v>
      </x:c>
      <x:c r="I51" s="55" t="n">
        <x:v>6263.624486505859</x:v>
      </x:c>
      <x:c r="J51" s="61" t="n">
        <x:f>IF(F51&lt;=0,"",(H51+I51)*1000/(F51*24))</x:f>
        <x:v>10372.322900031757</x:v>
      </x:c>
      <x:c r="K51" s="63" t="n">
        <x:v>1</x:v>
      </x:c>
      <x:c r="L51" s="63" t="n">
        <x:v>0</x:v>
      </x:c>
    </x:row>
    <x:row r="52">
      <x:c r="A52" s="53" t="str">
        <x:v>18|lower</x:v>
      </x:c>
      <x:c r="B52" s="53" t="str">
        <x:v>18</x:v>
      </x:c>
      <x:c r="C52" s="53" t="str">
        <x:v>Test building 2</x:v>
      </x:c>
      <x:c r="D52" s="53" t="str">
        <x:v>lower</x:v>
      </x:c>
      <x:c r="E52" s="53" t="str">
        <x:v>2023-03</x:v>
      </x:c>
      <x:c r="F52" s="57" t="n">
        <x:v>31</x:v>
      </x:c>
      <x:c r="G52" s="55" t="n">
        <x:v>7.746908602150539</x:v>
      </x:c>
      <x:c r="H52" s="55" t="n">
        <x:v>1524.757931404787</x:v>
      </x:c>
      <x:c r="I52" s="55" t="n">
        <x:v>6928.870497995606</x:v>
      </x:c>
      <x:c r="J52" s="61" t="n">
        <x:f>IF(F52&lt;=0,"",(H52+I52)*1000/(F52*24))</x:f>
        <x:v>11362.403802957517</x:v>
      </x:c>
      <x:c r="K52" s="63" t="n">
        <x:v>1</x:v>
      </x:c>
      <x:c r="L52" s="63" t="n">
        <x:v>0</x:v>
      </x:c>
    </x:row>
    <x:row r="53">
      <x:c r="A53" s="53" t="str">
        <x:v>18|lower</x:v>
      </x:c>
      <x:c r="B53" s="53" t="str">
        <x:v>18</x:v>
      </x:c>
      <x:c r="C53" s="53" t="str">
        <x:v>Test building 2</x:v>
      </x:c>
      <x:c r="D53" s="53" t="str">
        <x:v>lower</x:v>
      </x:c>
      <x:c r="E53" s="53" t="str">
        <x:v>2023-04</x:v>
      </x:c>
      <x:c r="F53" s="57" t="n">
        <x:v>30</x:v>
      </x:c>
      <x:c r="G53" s="55" t="n">
        <x:v>12.03041666666667</x:v>
      </x:c>
      <x:c r="H53" s="55" t="n">
        <x:v>1914.0266639889699</x:v>
      </x:c>
      <x:c r="I53" s="55" t="n">
        <x:v>6720.787255649414</x:v>
      </x:c>
      <x:c r="J53" s="61" t="n">
        <x:f>IF(F53&lt;=0,"",(H53+I53)*1000/(F53*24))</x:f>
        <x:v>11992.797110608866</x:v>
      </x:c>
      <x:c r="K53" s="63" t="n">
        <x:v>1</x:v>
      </x:c>
      <x:c r="L53" s="63" t="n">
        <x:v>0</x:v>
      </x:c>
    </x:row>
    <x:row r="54">
      <x:c r="A54" s="53" t="str">
        <x:v>18|lower</x:v>
      </x:c>
      <x:c r="B54" s="53" t="str">
        <x:v>18</x:v>
      </x:c>
      <x:c r="C54" s="53" t="str">
        <x:v>Test building 2</x:v>
      </x:c>
      <x:c r="D54" s="53" t="str">
        <x:v>lower</x:v>
      </x:c>
      <x:c r="E54" s="53" t="str">
        <x:v>2023-05</x:v>
      </x:c>
      <x:c r="F54" s="57" t="n">
        <x:v>31</x:v>
      </x:c>
      <x:c r="G54" s="55" t="n">
        <x:v>17.244086021505375</x:v>
      </x:c>
      <x:c r="H54" s="55" t="n">
        <x:v>2402.9179586741866</x:v>
      </x:c>
      <x:c r="I54" s="55" t="n">
        <x:v>6928.870497995606</x:v>
      </x:c>
      <x:c r="J54" s="61" t="n">
        <x:f>IF(F54&lt;=0,"",(H54+I54)*1000/(F54*24))</x:f>
        <x:v>12542.726420255098</x:v>
      </x:c>
      <x:c r="K54" s="63" t="n">
        <x:v>0</x:v>
      </x:c>
      <x:c r="L54" s="63" t="n">
        <x:v>0</x:v>
      </x:c>
    </x:row>
    <x:row r="55">
      <x:c r="A55" s="53" t="str">
        <x:v>18|lower</x:v>
      </x:c>
      <x:c r="B55" s="53" t="str">
        <x:v>18</x:v>
      </x:c>
      <x:c r="C55" s="53" t="str">
        <x:v>Test building 2</x:v>
      </x:c>
      <x:c r="D55" s="53" t="str">
        <x:v>lower</x:v>
      </x:c>
      <x:c r="E55" s="53" t="str">
        <x:v>2023-06</x:v>
      </x:c>
      <x:c r="F55" s="57" t="n">
        <x:v>30</x:v>
      </x:c>
      <x:c r="G55" s="55" t="n">
        <x:v>20.758194444444445</x:v>
      </x:c>
      <x:c r="H55" s="55" t="n">
        <x:v>2408.4808747710044</x:v>
      </x:c>
      <x:c r="I55" s="55" t="n">
        <x:v>6707.121827499024</x:v>
      </x:c>
      <x:c r="J55" s="61" t="n">
        <x:f>IF(F55&lt;=0,"",(H55+I55)*1000/(F55*24))</x:f>
        <x:v>12660.559308708374</x:v>
      </x:c>
      <x:c r="K55" s="63" t="n">
        <x:v>0</x:v>
      </x:c>
      <x:c r="L55" s="63" t="n">
        <x:v>1</x:v>
      </x:c>
    </x:row>
    <x:row r="56">
      <x:c r="A56" s="53" t="str">
        <x:v>18|lower</x:v>
      </x:c>
      <x:c r="B56" s="53" t="str">
        <x:v>18</x:v>
      </x:c>
      <x:c r="C56" s="53" t="str">
        <x:v>Test building 2</x:v>
      </x:c>
      <x:c r="D56" s="53" t="str">
        <x:v>lower</x:v>
      </x:c>
      <x:c r="E56" s="53" t="str">
        <x:v>2023-07</x:v>
      </x:c>
      <x:c r="F56" s="57" t="n">
        <x:v>31</x:v>
      </x:c>
      <x:c r="G56" s="55" t="n">
        <x:v>23.824193548387097</x:v>
      </x:c>
      <x:c r="H56" s="55" t="n">
        <x:v>2609.902918627948</x:v>
      </x:c>
      <x:c r="I56" s="55" t="n">
        <x:v>6942.535926145995</x:v>
      </x:c>
      <x:c r="J56" s="61" t="n">
        <x:f>IF(F56&lt;=0,"",(H56+I56)*1000/(F56*24))</x:f>
        <x:v>12839.299522545623</x:v>
      </x:c>
      <x:c r="K56" s="63" t="n">
        <x:v>0</x:v>
      </x:c>
      <x:c r="L56" s="63" t="n">
        <x:v>1</x:v>
      </x:c>
    </x:row>
    <x:row r="57">
      <x:c r="A57" s="53" t="str">
        <x:v>18|lower</x:v>
      </x:c>
      <x:c r="B57" s="53" t="str">
        <x:v>18</x:v>
      </x:c>
      <x:c r="C57" s="53" t="str">
        <x:v>Test building 2</x:v>
      </x:c>
      <x:c r="D57" s="53" t="str">
        <x:v>lower</x:v>
      </x:c>
      <x:c r="E57" s="53" t="str">
        <x:v>2023-08</x:v>
      </x:c>
      <x:c r="F57" s="57" t="n">
        <x:v>31</x:v>
      </x:c>
      <x:c r="G57" s="55" t="n">
        <x:v>22.74717741935484</x:v>
      </x:c>
      <x:c r="H57" s="55" t="n">
        <x:v>2379.4561310799436</x:v>
      </x:c>
      <x:c r="I57" s="55" t="n">
        <x:v>6928.870497995606</x:v>
      </x:c>
      <x:c r="J57" s="61" t="n">
        <x:f>IF(F57&lt;=0,"",(H57+I57)*1000/(F57*24))</x:f>
        <x:v>12511.191705746707</x:v>
      </x:c>
      <x:c r="K57" s="63" t="n">
        <x:v>0</x:v>
      </x:c>
      <x:c r="L57" s="63" t="n">
        <x:v>1</x:v>
      </x:c>
    </x:row>
    <x:row r="58">
      <x:c r="A58" s="53" t="str">
        <x:v>18|lower</x:v>
      </x:c>
      <x:c r="B58" s="53" t="str">
        <x:v>18</x:v>
      </x:c>
      <x:c r="C58" s="53" t="str">
        <x:v>Test building 2</x:v>
      </x:c>
      <x:c r="D58" s="53" t="str">
        <x:v>lower</x:v>
      </x:c>
      <x:c r="E58" s="53" t="str">
        <x:v>2023-09</x:v>
      </x:c>
      <x:c r="F58" s="57" t="n">
        <x:v>30</x:v>
      </x:c>
      <x:c r="G58" s="55" t="n">
        <x:v>19.61638888888889</x:v>
      </x:c>
      <x:c r="H58" s="55" t="n">
        <x:v>1871.4448807340648</x:v>
      </x:c>
      <x:c r="I58" s="55" t="n">
        <x:v>6713.95454157422</x:v>
      </x:c>
      <x:c r="J58" s="61" t="n">
        <x:f>IF(F58&lt;=0,"",(H58+I58)*1000/(F58*24))</x:f>
        <x:v>11924.165864317063</x:v>
      </x:c>
      <x:c r="K58" s="63" t="n">
        <x:v>0</x:v>
      </x:c>
      <x:c r="L58" s="63" t="n">
        <x:v>1</x:v>
      </x:c>
    </x:row>
    <x:row r="59">
      <x:c r="A59" s="53" t="str">
        <x:v>18|lower</x:v>
      </x:c>
      <x:c r="B59" s="53" t="str">
        <x:v>18</x:v>
      </x:c>
      <x:c r="C59" s="53" t="str">
        <x:v>Test building 2</x:v>
      </x:c>
      <x:c r="D59" s="53" t="str">
        <x:v>lower</x:v>
      </x:c>
      <x:c r="E59" s="53" t="str">
        <x:v>2023-10</x:v>
      </x:c>
      <x:c r="F59" s="57" t="n">
        <x:v>31</x:v>
      </x:c>
      <x:c r="G59" s="55" t="n">
        <x:v>13.926209677419354</x:v>
      </x:c>
      <x:c r="H59" s="55" t="n">
        <x:v>1282.136900207682</x:v>
      </x:c>
      <x:c r="I59" s="55" t="n">
        <x:v>6935.703212070801</x:v>
      </x:c>
      <x:c r="J59" s="61" t="n">
        <x:f>IF(F59&lt;=0,"",(H59+I59)*1000/(F59*24))</x:f>
        <x:v>11045.484021879682</x:v>
      </x:c>
      <x:c r="K59" s="63" t="n">
        <x:v>0.5483870967741935</x:v>
      </x:c>
      <x:c r="L59" s="63" t="n">
        <x:v>0</x:v>
      </x:c>
    </x:row>
    <x:row r="60">
      <x:c r="A60" s="53" t="str">
        <x:v>18|lower</x:v>
      </x:c>
      <x:c r="B60" s="53" t="str">
        <x:v>18</x:v>
      </x:c>
      <x:c r="C60" s="53" t="str">
        <x:v>Test building 2</x:v>
      </x:c>
      <x:c r="D60" s="53" t="str">
        <x:v>lower</x:v>
      </x:c>
      <x:c r="E60" s="53" t="str">
        <x:v>2023-11</x:v>
      </x:c>
      <x:c r="F60" s="57" t="n">
        <x:v>30</x:v>
      </x:c>
      <x:c r="G60" s="55" t="n">
        <x:v>8.68388888888889</x:v>
      </x:c>
      <x:c r="H60" s="55" t="n">
        <x:v>532.1467165517296</x:v>
      </x:c>
      <x:c r="I60" s="55" t="n">
        <x:v>6707.121827499024</x:v>
      </x:c>
      <x:c r="J60" s="61" t="n">
        <x:f>IF(F60&lt;=0,"",(H60+I60)*1000/(F60*24))</x:f>
        <x:v>10054.539644514936</x:v>
      </x:c>
      <x:c r="K60" s="63" t="n">
        <x:v>1</x:v>
      </x:c>
      <x:c r="L60" s="63" t="n">
        <x:v>0</x:v>
      </x:c>
    </x:row>
    <x:row r="61">
      <x:c r="A61" s="53" t="str">
        <x:v>18|lower</x:v>
      </x:c>
      <x:c r="B61" s="53" t="str">
        <x:v>18</x:v>
      </x:c>
      <x:c r="C61" s="53" t="str">
        <x:v>Test building 2</x:v>
      </x:c>
      <x:c r="D61" s="53" t="str">
        <x:v>lower</x:v>
      </x:c>
      <x:c r="E61" s="53" t="str">
        <x:v>2023-12</x:v>
      </x:c>
      <x:c r="F61" s="57" t="n">
        <x:v>31</x:v>
      </x:c>
      <x:c r="G61" s="55" t="n">
        <x:v>3.9963709677419357</x:v>
      </x:c>
      <x:c r="H61" s="55" t="n">
        <x:v>427.47290091217957</x:v>
      </x:c>
      <x:c r="I61" s="55" t="n">
        <x:v>6942.535926145995</x:v>
      </x:c>
      <x:c r="J61" s="61" t="n">
        <x:f>IF(F61&lt;=0,"",(H61+I61)*1000/(F61*24))</x:f>
        <x:v>9905.925842820126</x:v>
      </x:c>
      <x:c r="K61" s="63" t="n">
        <x:v>1</x:v>
      </x:c>
      <x:c r="L61" s="63" t="n">
        <x:v>0</x:v>
      </x:c>
    </x:row>
    <x:row r="62">
      <x:c r="A62" s="53" t="str">
        <x:v>18|upper</x:v>
      </x:c>
      <x:c r="B62" s="53" t="str">
        <x:v>18</x:v>
      </x:c>
      <x:c r="C62" s="53" t="str">
        <x:v>Test building 2</x:v>
      </x:c>
      <x:c r="D62" s="53" t="str">
        <x:v>upper</x:v>
      </x:c>
      <x:c r="E62" s="53" t="str">
        <x:v>2023-01</x:v>
      </x:c>
      <x:c r="F62" s="57" t="n">
        <x:v>31</x:v>
      </x:c>
      <x:c r="G62" s="55" t="n">
        <x:v>2.638440860215054</x:v>
      </x:c>
      <x:c r="H62" s="55" t="n">
        <x:v>900.5238188354758</x:v>
      </x:c>
      <x:c r="I62" s="55" t="n">
        <x:v>493.7518561035157</x:v>
      </x:c>
      <x:c r="J62" s="61" t="n">
        <x:f>IF(F62&lt;=0,"",(H62+I62)*1000/(F62*24))</x:f>
        <x:v>1874.0264448104724</x:v>
      </x:c>
      <x:c r="K62" s="63" t="n">
        <x:v>1</x:v>
      </x:c>
      <x:c r="L62" s="63" t="n">
        <x:v>0</x:v>
      </x:c>
    </x:row>
    <x:row r="63">
      <x:c r="A63" s="53" t="str">
        <x:v>18|upper</x:v>
      </x:c>
      <x:c r="B63" s="53" t="str">
        <x:v>18</x:v>
      </x:c>
      <x:c r="C63" s="53" t="str">
        <x:v>Test building 2</x:v>
      </x:c>
      <x:c r="D63" s="53" t="str">
        <x:v>upper</x:v>
      </x:c>
      <x:c r="E63" s="53" t="str">
        <x:v>2023-02</x:v>
      </x:c>
      <x:c r="F63" s="57" t="n">
        <x:v>28</x:v>
      </x:c>
      <x:c r="G63" s="55" t="n">
        <x:v>3.8903273809523813</x:v>
      </x:c>
      <x:c r="H63" s="55" t="n">
        <x:v>1343.2910835223934</x:v>
      </x:c>
      <x:c r="I63" s="55" t="n">
        <x:v>445.6806984765625</x:v>
      </x:c>
      <x:c r="J63" s="61" t="n">
        <x:f>IF(F63&lt;=0,"",(H63+I63)*1000/(F63*24))</x:f>
        <x:v>2662.1603898793987</x:v>
      </x:c>
      <x:c r="K63" s="63" t="n">
        <x:v>1</x:v>
      </x:c>
      <x:c r="L63" s="63" t="n">
        <x:v>0</x:v>
      </x:c>
    </x:row>
    <x:row r="64">
      <x:c r="A64" s="53" t="str">
        <x:v>18|upper</x:v>
      </x:c>
      <x:c r="B64" s="53" t="str">
        <x:v>18</x:v>
      </x:c>
      <x:c r="C64" s="53" t="str">
        <x:v>Test building 2</x:v>
      </x:c>
      <x:c r="D64" s="53" t="str">
        <x:v>upper</x:v>
      </x:c>
      <x:c r="E64" s="53" t="str">
        <x:v>2023-03</x:v>
      </x:c>
      <x:c r="F64" s="57" t="n">
        <x:v>31</x:v>
      </x:c>
      <x:c r="G64" s="55" t="n">
        <x:v>7.746908602150539</x:v>
      </x:c>
      <x:c r="H64" s="55" t="n">
        <x:v>3378.894985530371</x:v>
      </x:c>
      <x:c r="I64" s="55" t="n">
        <x:v>491.5142765722657</x:v>
      </x:c>
      <x:c r="J64" s="61" t="n">
        <x:f>IF(F64&lt;=0,"",(H64+I64)*1000/(F64*24))</x:f>
        <x:v>5202.1629866970925</x:v>
      </x:c>
      <x:c r="K64" s="63" t="n">
        <x:v>1</x:v>
      </x:c>
      <x:c r="L64" s="63" t="n">
        <x:v>0</x:v>
      </x:c>
    </x:row>
    <x:row r="65">
      <x:c r="A65" s="53" t="str">
        <x:v>18|upper</x:v>
      </x:c>
      <x:c r="B65" s="53" t="str">
        <x:v>18</x:v>
      </x:c>
      <x:c r="C65" s="53" t="str">
        <x:v>Test building 2</x:v>
      </x:c>
      <x:c r="D65" s="53" t="str">
        <x:v>upper</x:v>
      </x:c>
      <x:c r="E65" s="53" t="str">
        <x:v>2023-04</x:v>
      </x:c>
      <x:c r="F65" s="57" t="n">
        <x:v>30</x:v>
      </x:c>
      <x:c r="G65" s="55" t="n">
        <x:v>12.03041666666667</x:v>
      </x:c>
      <x:c r="H65" s="55" t="n">
        <x:v>4467.451939329284</x:v>
      </x:c>
      <x:c r="I65" s="55" t="n">
        <x:v>480.71157626953124</x:v>
      </x:c>
      <x:c r="J65" s="61" t="n">
        <x:f>IF(F65&lt;=0,"",(H65+I65)*1000/(F65*24))</x:f>
        <x:v>6872.449327220576</x:v>
      </x:c>
      <x:c r="K65" s="63" t="n">
        <x:v>1</x:v>
      </x:c>
      <x:c r="L65" s="63" t="n">
        <x:v>0</x:v>
      </x:c>
    </x:row>
    <x:row r="66">
      <x:c r="A66" s="53" t="str">
        <x:v>18|upper</x:v>
      </x:c>
      <x:c r="B66" s="53" t="str">
        <x:v>18</x:v>
      </x:c>
      <x:c r="C66" s="53" t="str">
        <x:v>Test building 2</x:v>
      </x:c>
      <x:c r="D66" s="53" t="str">
        <x:v>upper</x:v>
      </x:c>
      <x:c r="E66" s="53" t="str">
        <x:v>2023-05</x:v>
      </x:c>
      <x:c r="F66" s="57" t="n">
        <x:v>31</x:v>
      </x:c>
      <x:c r="G66" s="55" t="n">
        <x:v>17.244086021505375</x:v>
      </x:c>
      <x:c r="H66" s="55" t="n">
        <x:v>5844.2398858897495</x:v>
      </x:c>
      <x:c r="I66" s="55" t="n">
        <x:v>491.5142765722657</x:v>
      </x:c>
      <x:c r="J66" s="61" t="n">
        <x:f>IF(F66&lt;=0,"",(H66+I66)*1000/(F66*24))</x:f>
        <x:v>8515.798605459699</x:v>
      </x:c>
      <x:c r="K66" s="63" t="n">
        <x:v>0</x:v>
      </x:c>
      <x:c r="L66" s="63" t="n">
        <x:v>0</x:v>
      </x:c>
    </x:row>
    <x:row r="67">
      <x:c r="A67" s="53" t="str">
        <x:v>18|upper</x:v>
      </x:c>
      <x:c r="B67" s="53" t="str">
        <x:v>18</x:v>
      </x:c>
      <x:c r="C67" s="53" t="str">
        <x:v>Test building 2</x:v>
      </x:c>
      <x:c r="D67" s="53" t="str">
        <x:v>upper</x:v>
      </x:c>
      <x:c r="E67" s="53" t="str">
        <x:v>2023-06</x:v>
      </x:c>
      <x:c r="F67" s="57" t="n">
        <x:v>30</x:v>
      </x:c>
      <x:c r="G67" s="55" t="n">
        <x:v>20.758194444444445</x:v>
      </x:c>
      <x:c r="H67" s="55" t="n">
        <x:v>5948.337188545844</x:v>
      </x:c>
      <x:c r="I67" s="55" t="n">
        <x:v>476.23641720703125</x:v>
      </x:c>
      <x:c r="J67" s="61" t="n">
        <x:f>IF(F67&lt;=0,"",(H67+I67)*1000/(F67*24))</x:f>
        <x:v>8923.018896878993</x:v>
      </x:c>
      <x:c r="K67" s="63" t="n">
        <x:v>0</x:v>
      </x:c>
      <x:c r="L67" s="63" t="n">
        <x:v>1</x:v>
      </x:c>
    </x:row>
    <x:row r="68">
      <x:c r="A68" s="53" t="str">
        <x:v>18|upper</x:v>
      </x:c>
      <x:c r="B68" s="53" t="str">
        <x:v>18</x:v>
      </x:c>
      <x:c r="C68" s="53" t="str">
        <x:v>Test building 2</x:v>
      </x:c>
      <x:c r="D68" s="53" t="str">
        <x:v>upper</x:v>
      </x:c>
      <x:c r="E68" s="53" t="str">
        <x:v>2023-07</x:v>
      </x:c>
      <x:c r="F68" s="57" t="n">
        <x:v>31</x:v>
      </x:c>
      <x:c r="G68" s="55" t="n">
        <x:v>23.824193548387097</x:v>
      </x:c>
      <x:c r="H68" s="55" t="n">
        <x:v>6449.851649910585</x:v>
      </x:c>
      <x:c r="I68" s="55" t="n">
        <x:v>495.98943563476564</x:v>
      </x:c>
      <x:c r="J68" s="61" t="n">
        <x:f>IF(F68&lt;=0,"",(H68+I68)*1000/(F68*24))</x:f>
        <x:v>9335.807910679236</x:v>
      </x:c>
      <x:c r="K68" s="63" t="n">
        <x:v>0</x:v>
      </x:c>
      <x:c r="L68" s="63" t="n">
        <x:v>1</x:v>
      </x:c>
    </x:row>
    <x:row r="69">
      <x:c r="A69" s="53" t="str">
        <x:v>18|upper</x:v>
      </x:c>
      <x:c r="B69" s="53" t="str">
        <x:v>18</x:v>
      </x:c>
      <x:c r="C69" s="53" t="str">
        <x:v>Test building 2</x:v>
      </x:c>
      <x:c r="D69" s="53" t="str">
        <x:v>upper</x:v>
      </x:c>
      <x:c r="E69" s="53" t="str">
        <x:v>2023-08</x:v>
      </x:c>
      <x:c r="F69" s="57" t="n">
        <x:v>31</x:v>
      </x:c>
      <x:c r="G69" s="55" t="n">
        <x:v>22.74717741935484</x:v>
      </x:c>
      <x:c r="H69" s="55" t="n">
        <x:v>5699.423877967404</x:v>
      </x:c>
      <x:c r="I69" s="55" t="n">
        <x:v>491.5142765722657</x:v>
      </x:c>
      <x:c r="J69" s="61" t="n">
        <x:f>IF(F69&lt;=0,"",(H69+I69)*1000/(F69*24))</x:f>
        <x:v>8321.153433521062</x:v>
      </x:c>
      <x:c r="K69" s="63" t="n">
        <x:v>0</x:v>
      </x:c>
      <x:c r="L69" s="63" t="n">
        <x:v>1</x:v>
      </x:c>
    </x:row>
    <x:row r="70">
      <x:c r="A70" s="53" t="str">
        <x:v>18|upper</x:v>
      </x:c>
      <x:c r="B70" s="53" t="str">
        <x:v>18</x:v>
      </x:c>
      <x:c r="C70" s="53" t="str">
        <x:v>Test building 2</x:v>
      </x:c>
      <x:c r="D70" s="53" t="str">
        <x:v>upper</x:v>
      </x:c>
      <x:c r="E70" s="53" t="str">
        <x:v>2023-09</x:v>
      </x:c>
      <x:c r="F70" s="57" t="n">
        <x:v>30</x:v>
      </x:c>
      <x:c r="G70" s="55" t="n">
        <x:v>19.61638888888889</x:v>
      </x:c>
      <x:c r="H70" s="55" t="n">
        <x:v>4282.444861134899</x:v>
      </x:c>
      <x:c r="I70" s="55" t="n">
        <x:v>478.47399673828124</x:v>
      </x:c>
      <x:c r="J70" s="61" t="n">
        <x:f>IF(F70&lt;=0,"",(H70+I70)*1000/(F70*24))</x:f>
        <x:v>6612.387302601639</x:v>
      </x:c>
      <x:c r="K70" s="63" t="n">
        <x:v>0</x:v>
      </x:c>
      <x:c r="L70" s="63" t="n">
        <x:v>1</x:v>
      </x:c>
    </x:row>
    <x:row r="71">
      <x:c r="A71" s="53" t="str">
        <x:v>18|upper</x:v>
      </x:c>
      <x:c r="B71" s="53" t="str">
        <x:v>18</x:v>
      </x:c>
      <x:c r="C71" s="53" t="str">
        <x:v>Test building 2</x:v>
      </x:c>
      <x:c r="D71" s="53" t="str">
        <x:v>upper</x:v>
      </x:c>
      <x:c r="E71" s="53" t="str">
        <x:v>2023-10</x:v>
      </x:c>
      <x:c r="F71" s="57" t="n">
        <x:v>31</x:v>
      </x:c>
      <x:c r="G71" s="55" t="n">
        <x:v>13.926209677419354</x:v>
      </x:c>
      <x:c r="H71" s="55" t="n">
        <x:v>2719.505700740021</x:v>
      </x:c>
      <x:c r="I71" s="55" t="n">
        <x:v>493.7518561035157</x:v>
      </x:c>
      <x:c r="J71" s="61" t="n">
        <x:f>IF(F71&lt;=0,"",(H71+I71)*1000/(F71*24))</x:f>
        <x:v>4318.894565649915</x:v>
      </x:c>
      <x:c r="K71" s="63" t="n">
        <x:v>0.5483870967741935</x:v>
      </x:c>
      <x:c r="L71" s="63" t="n">
        <x:v>0</x:v>
      </x:c>
    </x:row>
    <x:row r="72">
      <x:c r="A72" s="53" t="str">
        <x:v>18|upper</x:v>
      </x:c>
      <x:c r="B72" s="53" t="str">
        <x:v>18</x:v>
      </x:c>
      <x:c r="C72" s="53" t="str">
        <x:v>Test building 2</x:v>
      </x:c>
      <x:c r="D72" s="53" t="str">
        <x:v>upper</x:v>
      </x:c>
      <x:c r="E72" s="53" t="str">
        <x:v>2023-11</x:v>
      </x:c>
      <x:c r="F72" s="57" t="n">
        <x:v>30</x:v>
      </x:c>
      <x:c r="G72" s="55" t="n">
        <x:v>8.68388888888889</x:v>
      </x:c>
      <x:c r="H72" s="55" t="n">
        <x:v>922.3116269564241</x:v>
      </x:c>
      <x:c r="I72" s="55" t="n">
        <x:v>476.23641720703125</x:v>
      </x:c>
      <x:c r="J72" s="61" t="n">
        <x:f>IF(F72&lt;=0,"",(H72+I72)*1000/(F72*24))</x:f>
        <x:v>1942.4278391159105</x:v>
      </x:c>
      <x:c r="K72" s="63" t="n">
        <x:v>1</x:v>
      </x:c>
      <x:c r="L72" s="63" t="n">
        <x:v>0</x:v>
      </x:c>
    </x:row>
    <x:row r="73">
      <x:c r="A73" s="53" t="str">
        <x:v>18|upper</x:v>
      </x:c>
      <x:c r="B73" s="53" t="str">
        <x:v>18</x:v>
      </x:c>
      <x:c r="C73" s="53" t="str">
        <x:v>Test building 2</x:v>
      </x:c>
      <x:c r="D73" s="53" t="str">
        <x:v>upper</x:v>
      </x:c>
      <x:c r="E73" s="53" t="str">
        <x:v>2023-12</x:v>
      </x:c>
      <x:c r="F73" s="57" t="n">
        <x:v>31</x:v>
      </x:c>
      <x:c r="G73" s="55" t="n">
        <x:v>3.9963709677419357</x:v>
      </x:c>
      <x:c r="H73" s="55" t="n">
        <x:v>655.5573135984482</x:v>
      </x:c>
      <x:c r="I73" s="55" t="n">
        <x:v>495.98943563476564</x:v>
      </x:c>
      <x:c r="J73" s="61" t="n">
        <x:f>IF(F73&lt;=0,"",(H73+I73)*1000/(F73*24))</x:f>
        <x:v>1547.7778887543197</x:v>
      </x:c>
      <x:c r="K73" s="63" t="n">
        <x:v>1</x:v>
      </x:c>
      <x:c r="L73" s="63" t="n">
        <x:v>0</x:v>
      </x:c>
    </x:row>
    <x:row r="74">
      <x:c r="A74" s="53" t="str">
        <x:v>19|aggregate</x:v>
      </x:c>
      <x:c r="B74" s="53" t="str">
        <x:v>19</x:v>
      </x:c>
      <x:c r="C74" s="53" t="str">
        <x:v>Test building 3</x:v>
      </x:c>
      <x:c r="D74" s="53" t="str">
        <x:v>aggregate</x:v>
      </x:c>
      <x:c r="E74" s="53" t="str">
        <x:v>2023-01</x:v>
      </x:c>
      <x:c r="F74" s="57" t="n">
        <x:v>31</x:v>
      </x:c>
      <x:c r="G74" s="55" t="n">
        <x:v>2.638440860215054</x:v>
      </x:c>
      <x:c r="H74" s="55" t="n">
        <x:v>1322.6150364500072</x:v>
      </x:c>
      <x:c r="I74" s="55" t="n">
        <x:v>9737.28732095547</x:v>
      </x:c>
      <x:c r="J74" s="61" t="n">
        <x:f>IF(F74&lt;=0,"",(H74+I74)*1000/(F74*24))</x:f>
        <x:v>14865.460157803062</x:v>
      </x:c>
      <x:c r="K74" s="63" t="n">
        <x:v>1</x:v>
      </x:c>
      <x:c r="L74" s="63" t="n">
        <x:v>0</x:v>
      </x:c>
    </x:row>
    <x:row r="75">
      <x:c r="A75" s="53" t="str">
        <x:v>19|aggregate</x:v>
      </x:c>
      <x:c r="B75" s="53" t="str">
        <x:v>19</x:v>
      </x:c>
      <x:c r="C75" s="53" t="str">
        <x:v>Test building 3</x:v>
      </x:c>
      <x:c r="D75" s="53" t="str">
        <x:v>aggregate</x:v>
      </x:c>
      <x:c r="E75" s="53" t="str">
        <x:v>2023-02</x:v>
      </x:c>
      <x:c r="F75" s="57" t="n">
        <x:v>28</x:v>
      </x:c>
      <x:c r="G75" s="55" t="n">
        <x:v>3.8903273809523813</x:v>
      </x:c>
      <x:c r="H75" s="55" t="n">
        <x:v>1886.8088105408674</x:v>
      </x:c>
      <x:c r="I75" s="55" t="n">
        <x:v>8793.301493978126</x:v>
      </x:c>
      <x:c r="J75" s="61" t="n">
        <x:f>IF(F75&lt;=0,"",(H75+I75)*1000/(F75*24))</x:f>
        <x:v>15893.021286486599</x:v>
      </x:c>
      <x:c r="K75" s="63" t="n">
        <x:v>1</x:v>
      </x:c>
      <x:c r="L75" s="63" t="n">
        <x:v>0</x:v>
      </x:c>
    </x:row>
    <x:row r="76">
      <x:c r="A76" s="53" t="str">
        <x:v>19|aggregate</x:v>
      </x:c>
      <x:c r="B76" s="53" t="str">
        <x:v>19</x:v>
      </x:c>
      <x:c r="C76" s="53" t="str">
        <x:v>Test building 3</x:v>
      </x:c>
      <x:c r="D76" s="53" t="str">
        <x:v>aggregate</x:v>
      </x:c>
      <x:c r="E76" s="53" t="str">
        <x:v>2023-03</x:v>
      </x:c>
      <x:c r="F76" s="57" t="n">
        <x:v>31</x:v>
      </x:c>
      <x:c r="G76" s="55" t="n">
        <x:v>7.746908602150539</x:v>
      </x:c>
      <x:c r="H76" s="55" t="n">
        <x:v>5436.718249481685</x:v>
      </x:c>
      <x:c r="I76" s="55" t="n">
        <x:v>9724.362652597656</x:v>
      </x:c>
      <x:c r="J76" s="61" t="n">
        <x:f>IF(F76&lt;=0,"",(H76+I76)*1000/(F76*24))</x:f>
        <x:v>20377.796911396967</x:v>
      </x:c>
      <x:c r="K76" s="63" t="n">
        <x:v>1</x:v>
      </x:c>
      <x:c r="L76" s="63" t="n">
        <x:v>0</x:v>
      </x:c>
    </x:row>
    <x:row r="77">
      <x:c r="A77" s="53" t="str">
        <x:v>19|aggregate</x:v>
      </x:c>
      <x:c r="B77" s="53" t="str">
        <x:v>19</x:v>
      </x:c>
      <x:c r="C77" s="53" t="str">
        <x:v>Test building 3</x:v>
      </x:c>
      <x:c r="D77" s="53" t="str">
        <x:v>aggregate</x:v>
      </x:c>
      <x:c r="E77" s="53" t="str">
        <x:v>2023-04</x:v>
      </x:c>
      <x:c r="F77" s="57" t="n">
        <x:v>30</x:v>
      </x:c>
      <x:c r="G77" s="55" t="n">
        <x:v>12.03041666666667</x:v>
      </x:c>
      <x:c r="H77" s="55" t="n">
        <x:v>7643.594814532069</x:v>
      </x:c>
      <x:c r="I77" s="55" t="n">
        <x:v>9439.858269773438</x:v>
      </x:c>
      <x:c r="J77" s="61" t="n">
        <x:f>IF(F77&lt;=0,"",(H77+I77)*1000/(F77*24))</x:f>
        <x:v>23727.018172646538</x:v>
      </x:c>
      <x:c r="K77" s="63" t="n">
        <x:v>1</x:v>
      </x:c>
      <x:c r="L77" s="63" t="n">
        <x:v>0</x:v>
      </x:c>
    </x:row>
    <x:row r="78">
      <x:c r="A78" s="53" t="str">
        <x:v>19|aggregate</x:v>
      </x:c>
      <x:c r="B78" s="53" t="str">
        <x:v>19</x:v>
      </x:c>
      <x:c r="C78" s="53" t="str">
        <x:v>Test building 3</x:v>
      </x:c>
      <x:c r="D78" s="53" t="str">
        <x:v>aggregate</x:v>
      </x:c>
      <x:c r="E78" s="53" t="str">
        <x:v>2023-05</x:v>
      </x:c>
      <x:c r="F78" s="57" t="n">
        <x:v>31</x:v>
      </x:c>
      <x:c r="G78" s="55" t="n">
        <x:v>17.244086021505375</x:v>
      </x:c>
      <x:c r="H78" s="55" t="n">
        <x:v>10539.443520846726</x:v>
      </x:c>
      <x:c r="I78" s="55" t="n">
        <x:v>9724.362652597656</x:v>
      </x:c>
      <x:c r="J78" s="61" t="n">
        <x:f>IF(F78&lt;=0,"",(H78+I78)*1000/(F78*24))</x:f>
        <x:v>27236.298620220943</x:v>
      </x:c>
      <x:c r="K78" s="63" t="n">
        <x:v>0</x:v>
      </x:c>
      <x:c r="L78" s="63" t="n">
        <x:v>0</x:v>
      </x:c>
    </x:row>
    <x:row r="79">
      <x:c r="A79" s="53" t="str">
        <x:v>19|aggregate</x:v>
      </x:c>
      <x:c r="B79" s="53" t="str">
        <x:v>19</x:v>
      </x:c>
      <x:c r="C79" s="53" t="str">
        <x:v>Test building 3</x:v>
      </x:c>
      <x:c r="D79" s="53" t="str">
        <x:v>aggregate</x:v>
      </x:c>
      <x:c r="E79" s="53" t="str">
        <x:v>2023-06</x:v>
      </x:c>
      <x:c r="F79" s="57" t="n">
        <x:v>30</x:v>
      </x:c>
      <x:c r="G79" s="55" t="n">
        <x:v>20.758194444444445</x:v>
      </x:c>
      <x:c r="H79" s="55" t="n">
        <x:v>10964.520835054744</x:v>
      </x:c>
      <x:c r="I79" s="55" t="n">
        <x:v>9414.008933057812</x:v>
      </x:c>
      <x:c r="J79" s="61" t="n">
        <x:f>IF(F79&lt;=0,"",(H79+I79)*1000/(F79*24))</x:f>
        <x:v>28303.513566822992</x:v>
      </x:c>
      <x:c r="K79" s="63" t="n">
        <x:v>0</x:v>
      </x:c>
      <x:c r="L79" s="63" t="n">
        <x:v>1</x:v>
      </x:c>
    </x:row>
    <x:row r="80">
      <x:c r="A80" s="53" t="str">
        <x:v>19|aggregate</x:v>
      </x:c>
      <x:c r="B80" s="53" t="str">
        <x:v>19</x:v>
      </x:c>
      <x:c r="C80" s="53" t="str">
        <x:v>Test building 3</x:v>
      </x:c>
      <x:c r="D80" s="53" t="str">
        <x:v>aggregate</x:v>
      </x:c>
      <x:c r="E80" s="53" t="str">
        <x:v>2023-07</x:v>
      </x:c>
      <x:c r="F80" s="57" t="n">
        <x:v>31</x:v>
      </x:c>
      <x:c r="G80" s="55" t="n">
        <x:v>23.824193548387097</x:v>
      </x:c>
      <x:c r="H80" s="55" t="n">
        <x:v>11823.866174749157</x:v>
      </x:c>
      <x:c r="I80" s="55" t="n">
        <x:v>9750.211989313282</x:v>
      </x:c>
      <x:c r="J80" s="61" t="n">
        <x:f>IF(F80&lt;=0,"",(H80+I80)*1000/(F80*24))</x:f>
        <x:v>28997.416887180698</x:v>
      </x:c>
      <x:c r="K80" s="63" t="n">
        <x:v>0</x:v>
      </x:c>
      <x:c r="L80" s="63" t="n">
        <x:v>1</x:v>
      </x:c>
    </x:row>
    <x:row r="81">
      <x:c r="A81" s="53" t="str">
        <x:v>19|aggregate</x:v>
      </x:c>
      <x:c r="B81" s="53" t="str">
        <x:v>19</x:v>
      </x:c>
      <x:c r="C81" s="53" t="str">
        <x:v>Test building 3</x:v>
      </x:c>
      <x:c r="D81" s="53" t="str">
        <x:v>aggregate</x:v>
      </x:c>
      <x:c r="E81" s="53" t="str">
        <x:v>2023-08</x:v>
      </x:c>
      <x:c r="F81" s="57" t="n">
        <x:v>31</x:v>
      </x:c>
      <x:c r="G81" s="55" t="n">
        <x:v>22.74717741935484</x:v>
      </x:c>
      <x:c r="H81" s="55" t="n">
        <x:v>9965.746898927084</x:v>
      </x:c>
      <x:c r="I81" s="55" t="n">
        <x:v>9724.362652597656</x:v>
      </x:c>
      <x:c r="J81" s="61" t="n">
        <x:f>IF(F81&lt;=0,"",(H81+I81)*1000/(F81*24))</x:f>
        <x:v>26465.2010101139</x:v>
      </x:c>
      <x:c r="K81" s="63" t="n">
        <x:v>0</x:v>
      </x:c>
      <x:c r="L81" s="63" t="n">
        <x:v>1</x:v>
      </x:c>
    </x:row>
    <x:row r="82">
      <x:c r="A82" s="53" t="str">
        <x:v>19|aggregate</x:v>
      </x:c>
      <x:c r="B82" s="53" t="str">
        <x:v>19</x:v>
      </x:c>
      <x:c r="C82" s="53" t="str">
        <x:v>Test building 3</x:v>
      </x:c>
      <x:c r="D82" s="53" t="str">
        <x:v>aggregate</x:v>
      </x:c>
      <x:c r="E82" s="53" t="str">
        <x:v>2023-09</x:v>
      </x:c>
      <x:c r="F82" s="57" t="n">
        <x:v>30</x:v>
      </x:c>
      <x:c r="G82" s="55" t="n">
        <x:v>19.61638888888889</x:v>
      </x:c>
      <x:c r="H82" s="55" t="n">
        <x:v>7022.819415570188</x:v>
      </x:c>
      <x:c r="I82" s="55" t="n">
        <x:v>9426.933601415625</x:v>
      </x:c>
      <x:c r="J82" s="61" t="n">
        <x:f>IF(F82&lt;=0,"",(H82+I82)*1000/(F82*24))</x:f>
        <x:v>22846.879190258078</x:v>
      </x:c>
      <x:c r="K82" s="63" t="n">
        <x:v>0</x:v>
      </x:c>
      <x:c r="L82" s="63" t="n">
        <x:v>1</x:v>
      </x:c>
    </x:row>
    <x:row r="83">
      <x:c r="A83" s="53" t="str">
        <x:v>19|aggregate</x:v>
      </x:c>
      <x:c r="B83" s="53" t="str">
        <x:v>19</x:v>
      </x:c>
      <x:c r="C83" s="53" t="str">
        <x:v>Test building 3</x:v>
      </x:c>
      <x:c r="D83" s="53" t="str">
        <x:v>aggregate</x:v>
      </x:c>
      <x:c r="E83" s="53" t="str">
        <x:v>2023-10</x:v>
      </x:c>
      <x:c r="F83" s="57" t="n">
        <x:v>31</x:v>
      </x:c>
      <x:c r="G83" s="55" t="n">
        <x:v>13.926209677419354</x:v>
      </x:c>
      <x:c r="H83" s="55" t="n">
        <x:v>4108.248963967437</x:v>
      </x:c>
      <x:c r="I83" s="55" t="n">
        <x:v>9737.28732095547</x:v>
      </x:c>
      <x:c r="J83" s="61" t="n">
        <x:f>IF(F83&lt;=0,"",(H83+I83)*1000/(F83*24))</x:f>
        <x:v>18609.591780810355</x:v>
      </x:c>
      <x:c r="K83" s="63" t="n">
        <x:v>0.5483870967741935</x:v>
      </x:c>
      <x:c r="L83" s="63" t="n">
        <x:v>0</x:v>
      </x:c>
    </x:row>
    <x:row r="84">
      <x:c r="A84" s="53" t="str">
        <x:v>19|aggregate</x:v>
      </x:c>
      <x:c r="B84" s="53" t="str">
        <x:v>19</x:v>
      </x:c>
      <x:c r="C84" s="53" t="str">
        <x:v>Test building 3</x:v>
      </x:c>
      <x:c r="D84" s="53" t="str">
        <x:v>aggregate</x:v>
      </x:c>
      <x:c r="E84" s="53" t="str">
        <x:v>2023-11</x:v>
      </x:c>
      <x:c r="F84" s="57" t="n">
        <x:v>30</x:v>
      </x:c>
      <x:c r="G84" s="55" t="n">
        <x:v>8.68388888888889</x:v>
      </x:c>
      <x:c r="H84" s="55" t="n">
        <x:v>1357.3654471979044</x:v>
      </x:c>
      <x:c r="I84" s="55" t="n">
        <x:v>9414.008933057812</x:v>
      </x:c>
      <x:c r="J84" s="61" t="n">
        <x:f>IF(F84&lt;=0,"",(H84+I84)*1000/(F84*24))</x:f>
        <x:v>14960.242194799606</x:v>
      </x:c>
      <x:c r="K84" s="63" t="n">
        <x:v>1</x:v>
      </x:c>
      <x:c r="L84" s="63" t="n">
        <x:v>0</x:v>
      </x:c>
    </x:row>
    <x:row r="85">
      <x:c r="A85" s="53" t="str">
        <x:v>19|aggregate</x:v>
      </x:c>
      <x:c r="B85" s="53" t="str">
        <x:v>19</x:v>
      </x:c>
      <x:c r="C85" s="53" t="str">
        <x:v>Test building 3</x:v>
      </x:c>
      <x:c r="D85" s="53" t="str">
        <x:v>aggregate</x:v>
      </x:c>
      <x:c r="E85" s="53" t="str">
        <x:v>2023-12</x:v>
      </x:c>
      <x:c r="F85" s="57" t="n">
        <x:v>31</x:v>
      </x:c>
      <x:c r="G85" s="55" t="n">
        <x:v>3.9963709677419357</x:v>
      </x:c>
      <x:c r="H85" s="55" t="n">
        <x:v>935.1306581986169</x:v>
      </x:c>
      <x:c r="I85" s="55" t="n">
        <x:v>9750.211989313282</x:v>
      </x:c>
      <x:c r="J85" s="61" t="n">
        <x:f>IF(F85&lt;=0,"",(H85+I85)*1000/(F85*24))</x:f>
        <x:v>14362.019687515995</x:v>
      </x:c>
      <x:c r="K85" s="63" t="n">
        <x:v>1</x:v>
      </x:c>
      <x:c r="L85" s="63" t="n">
        <x:v>0</x:v>
      </x:c>
    </x:row>
    <x:row r="86">
      <x:c r="A86" s="53" t="str">
        <x:v>19|lower</x:v>
      </x:c>
      <x:c r="B86" s="53" t="str">
        <x:v>19</x:v>
      </x:c>
      <x:c r="C86" s="53" t="str">
        <x:v>Test building 3</x:v>
      </x:c>
      <x:c r="D86" s="53" t="str">
        <x:v>lower</x:v>
      </x:c>
      <x:c r="E86" s="53" t="str">
        <x:v>2023-01</x:v>
      </x:c>
      <x:c r="F86" s="57" t="n">
        <x:v>31</x:v>
      </x:c>
      <x:c r="G86" s="55" t="n">
        <x:v>2.638440860215054</x:v>
      </x:c>
      <x:c r="H86" s="55" t="n">
        <x:v>380.11729773139024</x:v>
      </x:c>
      <x:c r="I86" s="55" t="n">
        <x:v>8797.814344119532</x:v>
      </x:c>
      <x:c r="J86" s="61" t="n">
        <x:f>IF(F86&lt;=0,"",(H86+I86)*1000/(F86*24))</x:f>
        <x:v>12335.929626143712</x:v>
      </x:c>
      <x:c r="K86" s="63" t="n">
        <x:v>1</x:v>
      </x:c>
      <x:c r="L86" s="63" t="n">
        <x:v>0</x:v>
      </x:c>
    </x:row>
    <x:row r="87">
      <x:c r="A87" s="53" t="str">
        <x:v>19|lower</x:v>
      </x:c>
      <x:c r="B87" s="53" t="str">
        <x:v>19</x:v>
      </x:c>
      <x:c r="C87" s="53" t="str">
        <x:v>Test building 3</x:v>
      </x:c>
      <x:c r="D87" s="53" t="str">
        <x:v>lower</x:v>
      </x:c>
      <x:c r="E87" s="53" t="str">
        <x:v>2023-02</x:v>
      </x:c>
      <x:c r="F87" s="57" t="n">
        <x:v>28</x:v>
      </x:c>
      <x:c r="G87" s="55" t="n">
        <x:v>3.8903273809523813</x:v>
      </x:c>
      <x:c r="H87" s="55" t="n">
        <x:v>493.8568491376446</x:v>
      </x:c>
      <x:c r="I87" s="55" t="n">
        <x:v>7945.294610884376</x:v>
      </x:c>
      <x:c r="J87" s="61" t="n">
        <x:f>IF(F87&lt;=0,"",(H87+I87)*1000/(F87*24))</x:f>
        <x:v>12558.261101223246</x:v>
      </x:c>
      <x:c r="K87" s="63" t="n">
        <x:v>1</x:v>
      </x:c>
      <x:c r="L87" s="63" t="n">
        <x:v>0</x:v>
      </x:c>
    </x:row>
    <x:row r="88">
      <x:c r="A88" s="53" t="str">
        <x:v>19|lower</x:v>
      </x:c>
      <x:c r="B88" s="53" t="str">
        <x:v>19</x:v>
      </x:c>
      <x:c r="C88" s="53" t="str">
        <x:v>Test building 3</x:v>
      </x:c>
      <x:c r="D88" s="53" t="str">
        <x:v>lower</x:v>
      </x:c>
      <x:c r="E88" s="53" t="str">
        <x:v>2023-03</x:v>
      </x:c>
      <x:c r="F88" s="57" t="n">
        <x:v>31</x:v>
      </x:c>
      <x:c r="G88" s="55" t="n">
        <x:v>7.746908602150539</x:v>
      </x:c>
      <x:c r="H88" s="55" t="n">
        <x:v>1254.7266942934248</x:v>
      </x:c>
      <x:c r="I88" s="55" t="n">
        <x:v>8789.147169636719</x:v>
      </x:c>
      <x:c r="J88" s="61" t="n">
        <x:f>IF(F88&lt;=0,"",(H88+I88)*1000/(F88*24))</x:f>
        <x:v>13499.8304622717</x:v>
      </x:c>
      <x:c r="K88" s="63" t="n">
        <x:v>1</x:v>
      </x:c>
      <x:c r="L88" s="63" t="n">
        <x:v>0</x:v>
      </x:c>
    </x:row>
    <x:row r="89">
      <x:c r="A89" s="53" t="str">
        <x:v>19|lower</x:v>
      </x:c>
      <x:c r="B89" s="53" t="str">
        <x:v>19</x:v>
      </x:c>
      <x:c r="C89" s="53" t="str">
        <x:v>Test building 3</x:v>
      </x:c>
      <x:c r="D89" s="53" t="str">
        <x:v>lower</x:v>
      </x:c>
      <x:c r="E89" s="53" t="str">
        <x:v>2023-04</x:v>
      </x:c>
      <x:c r="F89" s="57" t="n">
        <x:v>30</x:v>
      </x:c>
      <x:c r="G89" s="55" t="n">
        <x:v>12.03041666666667</x:v>
      </x:c>
      <x:c r="H89" s="55" t="n">
        <x:v>1708.132304085861</x:v>
      </x:c>
      <x:c r="I89" s="55" t="n">
        <x:v>8525.197332351563</x:v>
      </x:c>
      <x:c r="J89" s="61" t="n">
        <x:f>IF(F89&lt;=0,"",(H89+I89)*1000/(F89*24))</x:f>
        <x:v>14212.95782838531</x:v>
      </x:c>
      <x:c r="K89" s="63" t="n">
        <x:v>1</x:v>
      </x:c>
      <x:c r="L89" s="63" t="n">
        <x:v>0</x:v>
      </x:c>
    </x:row>
    <x:row r="90">
      <x:c r="A90" s="53" t="str">
        <x:v>19|lower</x:v>
      </x:c>
      <x:c r="B90" s="53" t="str">
        <x:v>19</x:v>
      </x:c>
      <x:c r="C90" s="53" t="str">
        <x:v>Test building 3</x:v>
      </x:c>
      <x:c r="D90" s="53" t="str">
        <x:v>lower</x:v>
      </x:c>
      <x:c r="E90" s="53" t="str">
        <x:v>2023-05</x:v>
      </x:c>
      <x:c r="F90" s="57" t="n">
        <x:v>31</x:v>
      </x:c>
      <x:c r="G90" s="55" t="n">
        <x:v>17.244086021505375</x:v>
      </x:c>
      <x:c r="H90" s="55" t="n">
        <x:v>2305.56170714714</x:v>
      </x:c>
      <x:c r="I90" s="55" t="n">
        <x:v>8789.147169636719</x:v>
      </x:c>
      <x:c r="J90" s="61" t="n">
        <x:f>IF(F90&lt;=0,"",(H90+I90)*1000/(F90*24))</x:f>
        <x:v>14912.2431139568</x:v>
      </x:c>
      <x:c r="K90" s="63" t="n">
        <x:v>0</x:v>
      </x:c>
      <x:c r="L90" s="63" t="n">
        <x:v>0</x:v>
      </x:c>
    </x:row>
    <x:row r="91">
      <x:c r="A91" s="53" t="str">
        <x:v>19|lower</x:v>
      </x:c>
      <x:c r="B91" s="53" t="str">
        <x:v>19</x:v>
      </x:c>
      <x:c r="C91" s="53" t="str">
        <x:v>Test building 3</x:v>
      </x:c>
      <x:c r="D91" s="53" t="str">
        <x:v>lower</x:v>
      </x:c>
      <x:c r="E91" s="53" t="str">
        <x:v>2023-06</x:v>
      </x:c>
      <x:c r="F91" s="57" t="n">
        <x:v>30</x:v>
      </x:c>
      <x:c r="G91" s="55" t="n">
        <x:v>20.758194444444445</x:v>
      </x:c>
      <x:c r="H91" s="55" t="n">
        <x:v>2382.3478776321676</x:v>
      </x:c>
      <x:c r="I91" s="55" t="n">
        <x:v>8507.862983385938</x:v>
      </x:c>
      <x:c r="J91" s="61" t="n">
        <x:f>IF(F91&lt;=0,"",(H91+I91)*1000/(F91*24))</x:f>
        <x:v>15125.292862525148</x:v>
      </x:c>
      <x:c r="K91" s="63" t="n">
        <x:v>0</x:v>
      </x:c>
      <x:c r="L91" s="63" t="n">
        <x:v>1</x:v>
      </x:c>
    </x:row>
    <x:row r="92">
      <x:c r="A92" s="53" t="str">
        <x:v>19|lower</x:v>
      </x:c>
      <x:c r="B92" s="53" t="str">
        <x:v>19</x:v>
      </x:c>
      <x:c r="C92" s="53" t="str">
        <x:v>Test building 3</x:v>
      </x:c>
      <x:c r="D92" s="53" t="str">
        <x:v>lower</x:v>
      </x:c>
      <x:c r="E92" s="53" t="str">
        <x:v>2023-07</x:v>
      </x:c>
      <x:c r="F92" s="57" t="n">
        <x:v>31</x:v>
      </x:c>
      <x:c r="G92" s="55" t="n">
        <x:v>23.824193548387097</x:v>
      </x:c>
      <x:c r="H92" s="55" t="n">
        <x:v>2565.8938155296155</x:v>
      </x:c>
      <x:c r="I92" s="55" t="n">
        <x:v>8806.481518602344</x:v>
      </x:c>
      <x:c r="J92" s="61" t="n">
        <x:f>IF(F92&lt;=0,"",(H92+I92)*1000/(F92*24))</x:f>
        <x:v>15285.4507179193</x:v>
      </x:c>
      <x:c r="K92" s="63" t="n">
        <x:v>0</x:v>
      </x:c>
      <x:c r="L92" s="63" t="n">
        <x:v>1</x:v>
      </x:c>
    </x:row>
    <x:row r="93">
      <x:c r="A93" s="53" t="str">
        <x:v>19|lower</x:v>
      </x:c>
      <x:c r="B93" s="53" t="str">
        <x:v>19</x:v>
      </x:c>
      <x:c r="C93" s="53" t="str">
        <x:v>Test building 3</x:v>
      </x:c>
      <x:c r="D93" s="53" t="str">
        <x:v>lower</x:v>
      </x:c>
      <x:c r="E93" s="53" t="str">
        <x:v>2023-08</x:v>
      </x:c>
      <x:c r="F93" s="57" t="n">
        <x:v>31</x:v>
      </x:c>
      <x:c r="G93" s="55" t="n">
        <x:v>22.74717741935484</x:v>
      </x:c>
      <x:c r="H93" s="55" t="n">
        <x:v>2193.18122232065</x:v>
      </x:c>
      <x:c r="I93" s="55" t="n">
        <x:v>8789.147169636719</x:v>
      </x:c>
      <x:c r="J93" s="61" t="n">
        <x:f>IF(F93&lt;=0,"",(H93+I93)*1000/(F93*24))</x:f>
        <x:v>14761.194075211517</x:v>
      </x:c>
      <x:c r="K93" s="63" t="n">
        <x:v>0</x:v>
      </x:c>
      <x:c r="L93" s="63" t="n">
        <x:v>1</x:v>
      </x:c>
    </x:row>
    <x:row r="94">
      <x:c r="A94" s="53" t="str">
        <x:v>19|lower</x:v>
      </x:c>
      <x:c r="B94" s="53" t="str">
        <x:v>19</x:v>
      </x:c>
      <x:c r="C94" s="53" t="str">
        <x:v>Test building 3</x:v>
      </x:c>
      <x:c r="D94" s="53" t="str">
        <x:v>lower</x:v>
      </x:c>
      <x:c r="E94" s="53" t="str">
        <x:v>2023-09</x:v>
      </x:c>
      <x:c r="F94" s="57" t="n">
        <x:v>30</x:v>
      </x:c>
      <x:c r="G94" s="55" t="n">
        <x:v>19.61638888888889</x:v>
      </x:c>
      <x:c r="H94" s="55" t="n">
        <x:v>1584.6008774770878</x:v>
      </x:c>
      <x:c r="I94" s="55" t="n">
        <x:v>8516.53015786875</x:v>
      </x:c>
      <x:c r="J94" s="61" t="n">
        <x:f>IF(F94&lt;=0,"",(H94+I94)*1000/(F94*24))</x:f>
        <x:v>14029.348660202551</x:v>
      </x:c>
      <x:c r="K94" s="63" t="n">
        <x:v>0</x:v>
      </x:c>
      <x:c r="L94" s="63" t="n">
        <x:v>1</x:v>
      </x:c>
    </x:row>
    <x:row r="95">
      <x:c r="A95" s="53" t="str">
        <x:v>19|lower</x:v>
      </x:c>
      <x:c r="B95" s="53" t="str">
        <x:v>19</x:v>
      </x:c>
      <x:c r="C95" s="53" t="str">
        <x:v>Test building 3</x:v>
      </x:c>
      <x:c r="D95" s="53" t="str">
        <x:v>lower</x:v>
      </x:c>
      <x:c r="E95" s="53" t="str">
        <x:v>2023-10</x:v>
      </x:c>
      <x:c r="F95" s="57" t="n">
        <x:v>31</x:v>
      </x:c>
      <x:c r="G95" s="55" t="n">
        <x:v>13.926209677419354</x:v>
      </x:c>
      <x:c r="H95" s="55" t="n">
        <x:v>977.8350250347102</x:v>
      </x:c>
      <x:c r="I95" s="55" t="n">
        <x:v>8797.814344119532</x:v>
      </x:c>
      <x:c r="J95" s="61" t="n">
        <x:f>IF(F95&lt;=0,"",(H95+I95)*1000/(F95*24))</x:f>
        <x:v>13139.313668218067</x:v>
      </x:c>
      <x:c r="K95" s="63" t="n">
        <x:v>0.5483870967741935</x:v>
      </x:c>
      <x:c r="L95" s="63" t="n">
        <x:v>0</x:v>
      </x:c>
    </x:row>
    <x:row r="96">
      <x:c r="A96" s="53" t="str">
        <x:v>19|lower</x:v>
      </x:c>
      <x:c r="B96" s="53" t="str">
        <x:v>19</x:v>
      </x:c>
      <x:c r="C96" s="53" t="str">
        <x:v>Test building 3</x:v>
      </x:c>
      <x:c r="D96" s="53" t="str">
        <x:v>lower</x:v>
      </x:c>
      <x:c r="E96" s="53" t="str">
        <x:v>2023-11</x:v>
      </x:c>
      <x:c r="F96" s="57" t="n">
        <x:v>30</x:v>
      </x:c>
      <x:c r="G96" s="55" t="n">
        <x:v>8.68388888888889</x:v>
      </x:c>
      <x:c r="H96" s="55" t="n">
        <x:v>384.36670142727394</x:v>
      </x:c>
      <x:c r="I96" s="55" t="n">
        <x:v>8507.862983385938</x:v>
      </x:c>
      <x:c r="J96" s="61" t="n">
        <x:f>IF(F96&lt;=0,"",(H96+I96)*1000/(F96*24))</x:f>
        <x:v>12350.319006685018</x:v>
      </x:c>
      <x:c r="K96" s="63" t="n">
        <x:v>1</x:v>
      </x:c>
      <x:c r="L96" s="63" t="n">
        <x:v>0</x:v>
      </x:c>
    </x:row>
    <x:row r="97">
      <x:c r="A97" s="53" t="str">
        <x:v>19|lower</x:v>
      </x:c>
      <x:c r="B97" s="53" t="str">
        <x:v>19</x:v>
      </x:c>
      <x:c r="C97" s="53" t="str">
        <x:v>Test building 3</x:v>
      </x:c>
      <x:c r="D97" s="53" t="str">
        <x:v>lower</x:v>
      </x:c>
      <x:c r="E97" s="53" t="str">
        <x:v>2023-12</x:v>
      </x:c>
      <x:c r="F97" s="57" t="n">
        <x:v>31</x:v>
      </x:c>
      <x:c r="G97" s="55" t="n">
        <x:v>3.9963709677419357</x:v>
      </x:c>
      <x:c r="H97" s="55" t="n">
        <x:v>297.01283920279076</x:v>
      </x:c>
      <x:c r="I97" s="55" t="n">
        <x:v>8806.481518602344</x:v>
      </x:c>
      <x:c r="J97" s="61" t="n">
        <x:f>IF(F97&lt;=0,"",(H97+I97)*1000/(F97*24))</x:f>
        <x:v>12235.879513178945</x:v>
      </x:c>
      <x:c r="K97" s="63" t="n">
        <x:v>1</x:v>
      </x:c>
      <x:c r="L97" s="63" t="n">
        <x:v>0</x:v>
      </x:c>
    </x:row>
    <x:row r="98">
      <x:c r="A98" s="53" t="str">
        <x:v>19|upper</x:v>
      </x:c>
      <x:c r="B98" s="53" t="str">
        <x:v>19</x:v>
      </x:c>
      <x:c r="C98" s="53" t="str">
        <x:v>Test building 3</x:v>
      </x:c>
      <x:c r="D98" s="53" t="str">
        <x:v>upper</x:v>
      </x:c>
      <x:c r="E98" s="53" t="str">
        <x:v>2023-01</x:v>
      </x:c>
      <x:c r="F98" s="57" t="n">
        <x:v>31</x:v>
      </x:c>
      <x:c r="G98" s="55" t="n">
        <x:v>2.638440860215054</x:v>
      </x:c>
      <x:c r="H98" s="55" t="n">
        <x:v>942.4977387186169</x:v>
      </x:c>
      <x:c r="I98" s="55" t="n">
        <x:v>939.4729768359375</x:v>
      </x:c>
      <x:c r="J98" s="61" t="n">
        <x:f>IF(F98&lt;=0,"",(H98+I98)*1000/(F98*24))</x:f>
        <x:v>2529.530531659347</x:v>
      </x:c>
      <x:c r="K98" s="63" t="n">
        <x:v>1</x:v>
      </x:c>
      <x:c r="L98" s="63" t="n">
        <x:v>0</x:v>
      </x:c>
    </x:row>
    <x:row r="99">
      <x:c r="A99" s="53" t="str">
        <x:v>19|upper</x:v>
      </x:c>
      <x:c r="B99" s="53" t="str">
        <x:v>19</x:v>
      </x:c>
      <x:c r="C99" s="53" t="str">
        <x:v>Test building 3</x:v>
      </x:c>
      <x:c r="D99" s="53" t="str">
        <x:v>upper</x:v>
      </x:c>
      <x:c r="E99" s="53" t="str">
        <x:v>2023-02</x:v>
      </x:c>
      <x:c r="F99" s="57" t="n">
        <x:v>28</x:v>
      </x:c>
      <x:c r="G99" s="55" t="n">
        <x:v>3.8903273809523813</x:v>
      </x:c>
      <x:c r="H99" s="55" t="n">
        <x:v>1392.9519614032229</x:v>
      </x:c>
      <x:c r="I99" s="55" t="n">
        <x:v>848.0068830937499</x:v>
      </x:c>
      <x:c r="J99" s="61" t="n">
        <x:f>IF(F99&lt;=0,"",(H99+I99)*1000/(F99*24))</x:f>
        <x:v>3334.7601852633525</x:v>
      </x:c>
      <x:c r="K99" s="63" t="n">
        <x:v>1</x:v>
      </x:c>
      <x:c r="L99" s="63" t="n">
        <x:v>0</x:v>
      </x:c>
    </x:row>
    <x:row r="100">
      <x:c r="A100" s="53" t="str">
        <x:v>19|upper</x:v>
      </x:c>
      <x:c r="B100" s="53" t="str">
        <x:v>19</x:v>
      </x:c>
      <x:c r="C100" s="53" t="str">
        <x:v>Test building 3</x:v>
      </x:c>
      <x:c r="D100" s="53" t="str">
        <x:v>upper</x:v>
      </x:c>
      <x:c r="E100" s="53" t="str">
        <x:v>2023-03</x:v>
      </x:c>
      <x:c r="F100" s="57" t="n">
        <x:v>31</x:v>
      </x:c>
      <x:c r="G100" s="55" t="n">
        <x:v>7.746908602150539</x:v>
      </x:c>
      <x:c r="H100" s="55" t="n">
        <x:v>4181.9915551882605</x:v>
      </x:c>
      <x:c r="I100" s="55" t="n">
        <x:v>935.2154829609376</x:v>
      </x:c>
      <x:c r="J100" s="61" t="n">
        <x:f>IF(F100&lt;=0,"",(H100+I100)*1000/(F100*24))</x:f>
        <x:v>6877.966449125265</x:v>
      </x:c>
      <x:c r="K100" s="63" t="n">
        <x:v>1</x:v>
      </x:c>
      <x:c r="L100" s="63" t="n">
        <x:v>0</x:v>
      </x:c>
    </x:row>
    <x:row r="101">
      <x:c r="A101" s="53" t="str">
        <x:v>19|upper</x:v>
      </x:c>
      <x:c r="B101" s="53" t="str">
        <x:v>19</x:v>
      </x:c>
      <x:c r="C101" s="53" t="str">
        <x:v>Test building 3</x:v>
      </x:c>
      <x:c r="D101" s="53" t="str">
        <x:v>upper</x:v>
      </x:c>
      <x:c r="E101" s="53" t="str">
        <x:v>2023-04</x:v>
      </x:c>
      <x:c r="F101" s="57" t="n">
        <x:v>30</x:v>
      </x:c>
      <x:c r="G101" s="55" t="n">
        <x:v>12.03041666666667</x:v>
      </x:c>
      <x:c r="H101" s="55" t="n">
        <x:v>5935.4625104462075</x:v>
      </x:c>
      <x:c r="I101" s="55" t="n">
        <x:v>914.660937421875</x:v>
      </x:c>
      <x:c r="J101" s="61" t="n">
        <x:f>IF(F101&lt;=0,"",(H101+I101)*1000/(F101*24))</x:f>
        <x:v>9514.060344261226</x:v>
      </x:c>
      <x:c r="K101" s="63" t="n">
        <x:v>1</x:v>
      </x:c>
      <x:c r="L101" s="63" t="n">
        <x:v>0</x:v>
      </x:c>
    </x:row>
    <x:row r="102">
      <x:c r="A102" s="53" t="str">
        <x:v>19|upper</x:v>
      </x:c>
      <x:c r="B102" s="53" t="str">
        <x:v>19</x:v>
      </x:c>
      <x:c r="C102" s="53" t="str">
        <x:v>Test building 3</x:v>
      </x:c>
      <x:c r="D102" s="53" t="str">
        <x:v>upper</x:v>
      </x:c>
      <x:c r="E102" s="53" t="str">
        <x:v>2023-05</x:v>
      </x:c>
      <x:c r="F102" s="57" t="n">
        <x:v>31</x:v>
      </x:c>
      <x:c r="G102" s="55" t="n">
        <x:v>17.244086021505375</x:v>
      </x:c>
      <x:c r="H102" s="55" t="n">
        <x:v>8233.881813699585</x:v>
      </x:c>
      <x:c r="I102" s="55" t="n">
        <x:v>935.2154829609376</x:v>
      </x:c>
      <x:c r="J102" s="61" t="n">
        <x:f>IF(F102&lt;=0,"",(H102+I102)*1000/(F102*24))</x:f>
        <x:v>12324.055506264143</x:v>
      </x:c>
      <x:c r="K102" s="63" t="n">
        <x:v>0</x:v>
      </x:c>
      <x:c r="L102" s="63" t="n">
        <x:v>0</x:v>
      </x:c>
    </x:row>
    <x:row r="103">
      <x:c r="A103" s="53" t="str">
        <x:v>19|upper</x:v>
      </x:c>
      <x:c r="B103" s="53" t="str">
        <x:v>19</x:v>
      </x:c>
      <x:c r="C103" s="53" t="str">
        <x:v>Test building 3</x:v>
      </x:c>
      <x:c r="D103" s="53" t="str">
        <x:v>upper</x:v>
      </x:c>
      <x:c r="E103" s="53" t="str">
        <x:v>2023-06</x:v>
      </x:c>
      <x:c r="F103" s="57" t="n">
        <x:v>30</x:v>
      </x:c>
      <x:c r="G103" s="55" t="n">
        <x:v>20.758194444444445</x:v>
      </x:c>
      <x:c r="H103" s="55" t="n">
        <x:v>8582.172957422576</x:v>
      </x:c>
      <x:c r="I103" s="55" t="n">
        <x:v>906.145949671875</x:v>
      </x:c>
      <x:c r="J103" s="61" t="n">
        <x:f>IF(F103&lt;=0,"",(H103+I103)*1000/(F103*24))</x:f>
        <x:v>13178.220704297848</x:v>
      </x:c>
      <x:c r="K103" s="63" t="n">
        <x:v>0</x:v>
      </x:c>
      <x:c r="L103" s="63" t="n">
        <x:v>1</x:v>
      </x:c>
    </x:row>
    <x:row r="104">
      <x:c r="A104" s="53" t="str">
        <x:v>19|upper</x:v>
      </x:c>
      <x:c r="B104" s="53" t="str">
        <x:v>19</x:v>
      </x:c>
      <x:c r="C104" s="53" t="str">
        <x:v>Test building 3</x:v>
      </x:c>
      <x:c r="D104" s="53" t="str">
        <x:v>upper</x:v>
      </x:c>
      <x:c r="E104" s="53" t="str">
        <x:v>2023-07</x:v>
      </x:c>
      <x:c r="F104" s="57" t="n">
        <x:v>31</x:v>
      </x:c>
      <x:c r="G104" s="55" t="n">
        <x:v>23.824193548387097</x:v>
      </x:c>
      <x:c r="H104" s="55" t="n">
        <x:v>9257.972359219542</x:v>
      </x:c>
      <x:c r="I104" s="55" t="n">
        <x:v>943.7304707109375</x:v>
      </x:c>
      <x:c r="J104" s="61" t="n">
        <x:f>IF(F104&lt;=0,"",(H104+I104)*1000/(F104*24))</x:f>
        <x:v>13711.966169261399</x:v>
      </x:c>
      <x:c r="K104" s="63" t="n">
        <x:v>0</x:v>
      </x:c>
      <x:c r="L104" s="63" t="n">
        <x:v>1</x:v>
      </x:c>
    </x:row>
    <x:row r="105">
      <x:c r="A105" s="53" t="str">
        <x:v>19|upper</x:v>
      </x:c>
      <x:c r="B105" s="53" t="str">
        <x:v>19</x:v>
      </x:c>
      <x:c r="C105" s="53" t="str">
        <x:v>Test building 3</x:v>
      </x:c>
      <x:c r="D105" s="53" t="str">
        <x:v>upper</x:v>
      </x:c>
      <x:c r="E105" s="53" t="str">
        <x:v>2023-08</x:v>
      </x:c>
      <x:c r="F105" s="57" t="n">
        <x:v>31</x:v>
      </x:c>
      <x:c r="G105" s="55" t="n">
        <x:v>22.74717741935484</x:v>
      </x:c>
      <x:c r="H105" s="55" t="n">
        <x:v>7772.565676606434</x:v>
      </x:c>
      <x:c r="I105" s="55" t="n">
        <x:v>935.2154829609376</x:v>
      </x:c>
      <x:c r="J105" s="61" t="n">
        <x:f>IF(F105&lt;=0,"",(H105+I105)*1000/(F105*24))</x:f>
        <x:v>11704.006934902383</x:v>
      </x:c>
      <x:c r="K105" s="63" t="n">
        <x:v>0</x:v>
      </x:c>
      <x:c r="L105" s="63" t="n">
        <x:v>1</x:v>
      </x:c>
    </x:row>
    <x:row r="106">
      <x:c r="A106" s="53" t="str">
        <x:v>19|upper</x:v>
      </x:c>
      <x:c r="B106" s="53" t="str">
        <x:v>19</x:v>
      </x:c>
      <x:c r="C106" s="53" t="str">
        <x:v>Test building 3</x:v>
      </x:c>
      <x:c r="D106" s="53" t="str">
        <x:v>upper</x:v>
      </x:c>
      <x:c r="E106" s="53" t="str">
        <x:v>2023-09</x:v>
      </x:c>
      <x:c r="F106" s="57" t="n">
        <x:v>30</x:v>
      </x:c>
      <x:c r="G106" s="55" t="n">
        <x:v>19.61638888888889</x:v>
      </x:c>
      <x:c r="H106" s="55" t="n">
        <x:v>5438.2185380931</x:v>
      </x:c>
      <x:c r="I106" s="55" t="n">
        <x:v>910.403443546875</x:v>
      </x:c>
      <x:c r="J106" s="61" t="n">
        <x:f>IF(F106&lt;=0,"",(H106+I106)*1000/(F106*24))</x:f>
        <x:v>8817.530530055521</x:v>
      </x:c>
      <x:c r="K106" s="63" t="n">
        <x:v>0</x:v>
      </x:c>
      <x:c r="L106" s="63" t="n">
        <x:v>1</x:v>
      </x:c>
    </x:row>
    <x:row r="107">
      <x:c r="A107" s="53" t="str">
        <x:v>19|upper</x:v>
      </x:c>
      <x:c r="B107" s="53" t="str">
        <x:v>19</x:v>
      </x:c>
      <x:c r="C107" s="53" t="str">
        <x:v>Test building 3</x:v>
      </x:c>
      <x:c r="D107" s="53" t="str">
        <x:v>upper</x:v>
      </x:c>
      <x:c r="E107" s="53" t="str">
        <x:v>2023-10</x:v>
      </x:c>
      <x:c r="F107" s="57" t="n">
        <x:v>31</x:v>
      </x:c>
      <x:c r="G107" s="55" t="n">
        <x:v>13.926209677419354</x:v>
      </x:c>
      <x:c r="H107" s="55" t="n">
        <x:v>3130.4139389327265</x:v>
      </x:c>
      <x:c r="I107" s="55" t="n">
        <x:v>939.4729768359375</x:v>
      </x:c>
      <x:c r="J107" s="61" t="n">
        <x:f>IF(F107&lt;=0,"",(H107+I107)*1000/(F107*24))</x:f>
        <x:v>5470.27811259229</x:v>
      </x:c>
      <x:c r="K107" s="63" t="n">
        <x:v>0.5483870967741935</x:v>
      </x:c>
      <x:c r="L107" s="63" t="n">
        <x:v>0</x:v>
      </x:c>
    </x:row>
    <x:row r="108">
      <x:c r="A108" s="53" t="str">
        <x:v>19|upper</x:v>
      </x:c>
      <x:c r="B108" s="53" t="str">
        <x:v>19</x:v>
      </x:c>
      <x:c r="C108" s="53" t="str">
        <x:v>Test building 3</x:v>
      </x:c>
      <x:c r="D108" s="53" t="str">
        <x:v>upper</x:v>
      </x:c>
      <x:c r="E108" s="53" t="str">
        <x:v>2023-11</x:v>
      </x:c>
      <x:c r="F108" s="57" t="n">
        <x:v>30</x:v>
      </x:c>
      <x:c r="G108" s="55" t="n">
        <x:v>8.68388888888889</x:v>
      </x:c>
      <x:c r="H108" s="55" t="n">
        <x:v>972.9987457706305</x:v>
      </x:c>
      <x:c r="I108" s="55" t="n">
        <x:v>906.145949671875</x:v>
      </x:c>
      <x:c r="J108" s="61" t="n">
        <x:f>IF(F108&lt;=0,"",(H108+I108)*1000/(F108*24))</x:f>
        <x:v>2609.9231881145906</x:v>
      </x:c>
      <x:c r="K108" s="63" t="n">
        <x:v>1</x:v>
      </x:c>
      <x:c r="L108" s="63" t="n">
        <x:v>0</x:v>
      </x:c>
    </x:row>
    <x:row r="109">
      <x:c r="A109" s="53" t="str">
        <x:v>19|upper</x:v>
      </x:c>
      <x:c r="B109" s="53" t="str">
        <x:v>19</x:v>
      </x:c>
      <x:c r="C109" s="53" t="str">
        <x:v>Test building 3</x:v>
      </x:c>
      <x:c r="D109" s="53" t="str">
        <x:v>upper</x:v>
      </x:c>
      <x:c r="E109" s="53" t="str">
        <x:v>2023-12</x:v>
      </x:c>
      <x:c r="F109" s="57" t="n">
        <x:v>31</x:v>
      </x:c>
      <x:c r="G109" s="55" t="n">
        <x:v>3.9963709677419357</x:v>
      </x:c>
      <x:c r="H109" s="55" t="n">
        <x:v>638.1178189958262</x:v>
      </x:c>
      <x:c r="I109" s="55" t="n">
        <x:v>943.7304707109375</x:v>
      </x:c>
      <x:c r="J109" s="61" t="n">
        <x:f>IF(F109&lt;=0,"",(H109+I109)*1000/(F109*24))</x:f>
        <x:v>2126.140174337048</x:v>
      </x:c>
      <x:c r="K109" s="63" t="n">
        <x:v>1</x:v>
      </x:c>
      <x:c r="L109" s="63" t="n">
        <x:v>0</x:v>
      </x:c>
    </x:row>
    <x:row r="110">
      <x:c r="A110" s="53" t="str">
        <x:v>20|aggregate</x:v>
      </x:c>
      <x:c r="B110" s="53" t="str">
        <x:v>20</x:v>
      </x:c>
      <x:c r="C110" s="53" t="str">
        <x:v>Test building 4</x:v>
      </x:c>
      <x:c r="D110" s="53" t="str">
        <x:v>aggregate</x:v>
      </x:c>
      <x:c r="E110" s="53" t="str">
        <x:v>2023-01</x:v>
      </x:c>
      <x:c r="F110" s="57" t="n">
        <x:v>31</x:v>
      </x:c>
      <x:c r="G110" s="55" t="n">
        <x:v>2.638440860215054</x:v>
      </x:c>
      <x:c r="H110" s="55" t="n">
        <x:v>6895.165255658629</x:v>
      </x:c>
      <x:c r="I110" s="55" t="n">
        <x:v>8394.49528674707</x:v>
      </x:c>
      <x:c r="J110" s="61" t="n">
        <x:f>IF(F110&lt;=0,"",(H110+I110)*1000/(F110*24))</x:f>
        <x:v>20550.61900860981</x:v>
      </x:c>
      <x:c r="K110" s="63" t="n">
        <x:v>1</x:v>
      </x:c>
      <x:c r="L110" s="63" t="n">
        <x:v>0</x:v>
      </x:c>
    </x:row>
    <x:row r="111">
      <x:c r="A111" s="53" t="str">
        <x:v>20|aggregate</x:v>
      </x:c>
      <x:c r="B111" s="53" t="str">
        <x:v>20</x:v>
      </x:c>
      <x:c r="C111" s="53" t="str">
        <x:v>Test building 4</x:v>
      </x:c>
      <x:c r="D111" s="53" t="str">
        <x:v>aggregate</x:v>
      </x:c>
      <x:c r="E111" s="53" t="str">
        <x:v>2023-02</x:v>
      </x:c>
      <x:c r="F111" s="57" t="n">
        <x:v>28</x:v>
      </x:c>
      <x:c r="G111" s="55" t="n">
        <x:v>3.8903273809523813</x:v>
      </x:c>
      <x:c r="H111" s="55" t="n">
        <x:v>9860.313456835933</x:v>
      </x:c>
      <x:c r="I111" s="55" t="n">
        <x:v>7675.958884267578</x:v>
      </x:c>
      <x:c r="J111" s="61" t="n">
        <x:f>IF(F111&lt;=0,"",(H111+I111)*1000/(F111*24))</x:f>
        <x:v>26095.64336473737</x:v>
      </x:c>
      <x:c r="K111" s="63" t="n">
        <x:v>1</x:v>
      </x:c>
      <x:c r="L111" s="63" t="n">
        <x:v>0</x:v>
      </x:c>
    </x:row>
    <x:row r="112">
      <x:c r="A112" s="53" t="str">
        <x:v>20|aggregate</x:v>
      </x:c>
      <x:c r="B112" s="53" t="str">
        <x:v>20</x:v>
      </x:c>
      <x:c r="C112" s="53" t="str">
        <x:v>Test building 4</x:v>
      </x:c>
      <x:c r="D112" s="53" t="str">
        <x:v>aggregate</x:v>
      </x:c>
      <x:c r="E112" s="53" t="str">
        <x:v>2023-03</x:v>
      </x:c>
      <x:c r="F112" s="57" t="n">
        <x:v>31</x:v>
      </x:c>
      <x:c r="G112" s="55" t="n">
        <x:v>7.746908602150539</x:v>
      </x:c>
      <x:c r="H112" s="55" t="n">
        <x:v>25523.682884405633</x:v>
      </x:c>
      <x:c r="I112" s="55" t="n">
        <x:v>8681.69853527539</x:v>
      </x:c>
      <x:c r="J112" s="61" t="n">
        <x:f>IF(F112&lt;=0,"",(H112+I112)*1000/(F112*24))</x:f>
        <x:v>45974.975026452994</x:v>
      </x:c>
      <x:c r="K112" s="63" t="n">
        <x:v>1</x:v>
      </x:c>
      <x:c r="L112" s="63" t="n">
        <x:v>0</x:v>
      </x:c>
    </x:row>
    <x:row r="113">
      <x:c r="A113" s="53" t="str">
        <x:v>20|aggregate</x:v>
      </x:c>
      <x:c r="B113" s="53" t="str">
        <x:v>20</x:v>
      </x:c>
      <x:c r="C113" s="53" t="str">
        <x:v>Test building 4</x:v>
      </x:c>
      <x:c r="D113" s="53" t="str">
        <x:v>aggregate</x:v>
      </x:c>
      <x:c r="E113" s="53" t="str">
        <x:v>2023-04</x:v>
      </x:c>
      <x:c r="F113" s="57" t="n">
        <x:v>30</x:v>
      </x:c>
      <x:c r="G113" s="55" t="n">
        <x:v>12.03041666666667</x:v>
      </x:c>
      <x:c r="H113" s="55" t="n">
        <x:v>34415.33902974461</x:v>
      </x:c>
      <x:c r="I113" s="55" t="n">
        <x:v>7918.715853654785</x:v>
      </x:c>
      <x:c r="J113" s="61" t="n">
        <x:f>IF(F113&lt;=0,"",(H113+I113)*1000/(F113*24))</x:f>
        <x:v>58797.29844916583</x:v>
      </x:c>
      <x:c r="K113" s="63" t="n">
        <x:v>1</x:v>
      </x:c>
      <x:c r="L113" s="63" t="n">
        <x:v>0</x:v>
      </x:c>
    </x:row>
    <x:row r="114">
      <x:c r="A114" s="53" t="str">
        <x:v>20|aggregate</x:v>
      </x:c>
      <x:c r="B114" s="53" t="str">
        <x:v>20</x:v>
      </x:c>
      <x:c r="C114" s="53" t="str">
        <x:v>Test building 4</x:v>
      </x:c>
      <x:c r="D114" s="53" t="str">
        <x:v>aggregate</x:v>
      </x:c>
      <x:c r="E114" s="53" t="str">
        <x:v>2023-05</x:v>
      </x:c>
      <x:c r="F114" s="57" t="n">
        <x:v>31</x:v>
      </x:c>
      <x:c r="G114" s="55" t="n">
        <x:v>17.244086021505375</x:v>
      </x:c>
      <x:c r="H114" s="55" t="n">
        <x:v>45873.97892453612</x:v>
      </x:c>
      <x:c r="I114" s="55" t="n">
        <x:v>8681.69853527539</x:v>
      </x:c>
      <x:c r="J114" s="61" t="n">
        <x:f>IF(F114&lt;=0,"",(H114+I114)*1000/(F114*24))</x:f>
        <x:v>73327.52346748859</x:v>
      </x:c>
      <x:c r="K114" s="63" t="n">
        <x:v>0</x:v>
      </x:c>
      <x:c r="L114" s="63" t="n">
        <x:v>0</x:v>
      </x:c>
    </x:row>
    <x:row r="115">
      <x:c r="A115" s="53" t="str">
        <x:v>20|aggregate</x:v>
      </x:c>
      <x:c r="B115" s="53" t="str">
        <x:v>20</x:v>
      </x:c>
      <x:c r="C115" s="53" t="str">
        <x:v>Test building 4</x:v>
      </x:c>
      <x:c r="D115" s="53" t="str">
        <x:v>aggregate</x:v>
      </x:c>
      <x:c r="E115" s="53" t="str">
        <x:v>2023-06</x:v>
      </x:c>
      <x:c r="F115" s="57" t="n">
        <x:v>30</x:v>
      </x:c>
      <x:c r="G115" s="55" t="n">
        <x:v>20.758194444444445</x:v>
      </x:c>
      <x:c r="H115" s="55" t="n">
        <x:v>47086.438989419505</x:v>
      </x:c>
      <x:c r="I115" s="55" t="n">
        <x:v>8346.451984939453</x:v>
      </x:c>
      <x:c r="J115" s="61" t="n">
        <x:f>IF(F115&lt;=0,"",(H115+I115)*1000/(F115*24))</x:f>
        <x:v>76990.12635327634</x:v>
      </x:c>
      <x:c r="K115" s="63" t="n">
        <x:v>0</x:v>
      </x:c>
      <x:c r="L115" s="63" t="n">
        <x:v>1</x:v>
      </x:c>
    </x:row>
    <x:row r="116">
      <x:c r="A116" s="53" t="str">
        <x:v>20|aggregate</x:v>
      </x:c>
      <x:c r="B116" s="53" t="str">
        <x:v>20</x:v>
      </x:c>
      <x:c r="C116" s="53" t="str">
        <x:v>Test building 4</x:v>
      </x:c>
      <x:c r="D116" s="53" t="str">
        <x:v>aggregate</x:v>
      </x:c>
      <x:c r="E116" s="53" t="str">
        <x:v>2023-07</x:v>
      </x:c>
      <x:c r="F116" s="57" t="n">
        <x:v>31</x:v>
      </x:c>
      <x:c r="G116" s="55" t="n">
        <x:v>23.824193548387097</x:v>
      </x:c>
      <x:c r="H116" s="55" t="n">
        <x:v>50913.12135392887</x:v>
      </x:c>
      <x:c r="I116" s="55" t="n">
        <x:v>8253.962403990721</x:v>
      </x:c>
      <x:c r="J116" s="61" t="n">
        <x:f>IF(F116&lt;=0,"",(H116+I116)*1000/(F116*24))</x:f>
        <x:v>79525.65021225752</x:v>
      </x:c>
      <x:c r="K116" s="63" t="n">
        <x:v>0</x:v>
      </x:c>
      <x:c r="L116" s="63" t="n">
        <x:v>1</x:v>
      </x:c>
    </x:row>
    <x:row r="117">
      <x:c r="A117" s="53" t="str">
        <x:v>20|aggregate</x:v>
      </x:c>
      <x:c r="B117" s="53" t="str">
        <x:v>20</x:v>
      </x:c>
      <x:c r="C117" s="53" t="str">
        <x:v>Test building 4</x:v>
      </x:c>
      <x:c r="D117" s="53" t="str">
        <x:v>aggregate</x:v>
      </x:c>
      <x:c r="E117" s="53" t="str">
        <x:v>2023-08</x:v>
      </x:c>
      <x:c r="F117" s="57" t="n">
        <x:v>31</x:v>
      </x:c>
      <x:c r="G117" s="55" t="n">
        <x:v>22.74717741935484</x:v>
      </x:c>
      <x:c r="H117" s="55" t="n">
        <x:v>44178.05422353259</x:v>
      </x:c>
      <x:c r="I117" s="55" t="n">
        <x:v>8681.69853527539</x:v>
      </x:c>
      <x:c r="J117" s="61" t="n">
        <x:f>IF(F117&lt;=0,"",(H117+I117)*1000/(F117*24))</x:f>
        <x:v>71048.05478334407</x:v>
      </x:c>
      <x:c r="K117" s="63" t="n">
        <x:v>0</x:v>
      </x:c>
      <x:c r="L117" s="63" t="n">
        <x:v>1</x:v>
      </x:c>
    </x:row>
    <x:row r="118">
      <x:c r="A118" s="53" t="str">
        <x:v>20|aggregate</x:v>
      </x:c>
      <x:c r="B118" s="53" t="str">
        <x:v>20</x:v>
      </x:c>
      <x:c r="C118" s="53" t="str">
        <x:v>Test building 4</x:v>
      </x:c>
      <x:c r="D118" s="53" t="str">
        <x:v>aggregate</x:v>
      </x:c>
      <x:c r="E118" s="53" t="str">
        <x:v>2023-09</x:v>
      </x:c>
      <x:c r="F118" s="57" t="n">
        <x:v>30</x:v>
      </x:c>
      <x:c r="G118" s="55" t="n">
        <x:v>19.61638888888889</x:v>
      </x:c>
      <x:c r="H118" s="55" t="n">
        <x:v>32450.202103898853</x:v>
      </x:c>
      <x:c r="I118" s="55" t="n">
        <x:v>8205.919102183105</x:v>
      </x:c>
      <x:c r="J118" s="61" t="n">
        <x:f>IF(F118&lt;=0,"",(H118+I118)*1000/(F118*24))</x:f>
        <x:v>56466.83500844716</x:v>
      </x:c>
      <x:c r="K118" s="63" t="n">
        <x:v>0</x:v>
      </x:c>
      <x:c r="L118" s="63" t="n">
        <x:v>1</x:v>
      </x:c>
    </x:row>
    <x:row r="119">
      <x:c r="A119" s="53" t="str">
        <x:v>20|aggregate</x:v>
      </x:c>
      <x:c r="B119" s="53" t="str">
        <x:v>20</x:v>
      </x:c>
      <x:c r="C119" s="53" t="str">
        <x:v>Test building 4</x:v>
      </x:c>
      <x:c r="D119" s="53" t="str">
        <x:v>aggregate</x:v>
      </x:c>
      <x:c r="E119" s="53" t="str">
        <x:v>2023-10</x:v>
      </x:c>
      <x:c r="F119" s="57" t="n">
        <x:v>31</x:v>
      </x:c>
      <x:c r="G119" s="55" t="n">
        <x:v>13.926209677419354</x:v>
      </x:c>
      <x:c r="H119" s="55" t="n">
        <x:v>20135.82899048512</x:v>
      </x:c>
      <x:c r="I119" s="55" t="n">
        <x:v>8394.49528674707</x:v>
      </x:c>
      <x:c r="J119" s="61" t="n">
        <x:f>IF(F119&lt;=0,"",(H119+I119)*1000/(F119*24))</x:f>
        <x:v>38347.210050043264</x:v>
      </x:c>
      <x:c r="K119" s="63" t="n">
        <x:v>0.5483870967741935</x:v>
      </x:c>
      <x:c r="L119" s="63" t="n">
        <x:v>0</x:v>
      </x:c>
    </x:row>
    <x:row r="120">
      <x:c r="A120" s="53" t="str">
        <x:v>20|aggregate</x:v>
      </x:c>
      <x:c r="B120" s="53" t="str">
        <x:v>20</x:v>
      </x:c>
      <x:c r="C120" s="53" t="str">
        <x:v>Test building 4</x:v>
      </x:c>
      <x:c r="D120" s="53" t="str">
        <x:v>aggregate</x:v>
      </x:c>
      <x:c r="E120" s="53" t="str">
        <x:v>2023-11</x:v>
      </x:c>
      <x:c r="F120" s="57" t="n">
        <x:v>30</x:v>
      </x:c>
      <x:c r="G120" s="55" t="n">
        <x:v>8.68388888888889</x:v>
      </x:c>
      <x:c r="H120" s="55" t="n">
        <x:v>7041.520502632536</x:v>
      </x:c>
      <x:c r="I120" s="55" t="n">
        <x:v>8346.451984939453</x:v>
      </x:c>
      <x:c r="J120" s="61" t="n">
        <x:f>IF(F120&lt;=0,"",(H120+I120)*1000/(F120*24))</x:f>
        <x:v>21372.184010516652</x:v>
      </x:c>
      <x:c r="K120" s="63" t="n">
        <x:v>1</x:v>
      </x:c>
      <x:c r="L120" s="63" t="n">
        <x:v>0</x:v>
      </x:c>
    </x:row>
    <x:row r="121">
      <x:c r="A121" s="53" t="str">
        <x:v>20|aggregate</x:v>
      </x:c>
      <x:c r="B121" s="53" t="str">
        <x:v>20</x:v>
      </x:c>
      <x:c r="C121" s="53" t="str">
        <x:v>Test building 4</x:v>
      </x:c>
      <x:c r="D121" s="53" t="str">
        <x:v>aggregate</x:v>
      </x:c>
      <x:c r="E121" s="53" t="str">
        <x:v>2023-12</x:v>
      </x:c>
      <x:c r="F121" s="57" t="n">
        <x:v>31</x:v>
      </x:c>
      <x:c r="G121" s="55" t="n">
        <x:v>3.9963709677419357</x:v>
      </x:c>
      <x:c r="H121" s="55" t="n">
        <x:v>5088.074960565295</x:v>
      </x:c>
      <x:c r="I121" s="55" t="n">
        <x:v>8253.962403990721</x:v>
      </x:c>
      <x:c r="J121" s="61" t="n">
        <x:f>IF(F121&lt;=0,"",(H121+I121)*1000/(F121*24))</x:f>
        <x:v>17932.845920102176</x:v>
      </x:c>
      <x:c r="K121" s="63" t="n">
        <x:v>1</x:v>
      </x:c>
      <x:c r="L121" s="63" t="n">
        <x:v>0</x:v>
      </x:c>
    </x:row>
    <x:row r="122">
      <x:c r="A122" s="53" t="str">
        <x:v>20|lower</x:v>
      </x:c>
      <x:c r="B122" s="53" t="str">
        <x:v>20</x:v>
      </x:c>
      <x:c r="C122" s="53" t="str">
        <x:v>Test building 4</x:v>
      </x:c>
      <x:c r="D122" s="53" t="str">
        <x:v>lower</x:v>
      </x:c>
      <x:c r="E122" s="53" t="str">
        <x:v>2023-01</x:v>
      </x:c>
      <x:c r="F122" s="57" t="n">
        <x:v>31</x:v>
      </x:c>
      <x:c r="G122" s="55" t="n">
        <x:v>2.638440860215054</x:v>
      </x:c>
      <x:c r="H122" s="55" t="n">
        <x:v>968.8535189341023</x:v>
      </x:c>
      <x:c r="I122" s="55" t="n">
        <x:v>1354.3177296923827</x:v>
      </x:c>
      <x:c r="J122" s="61" t="n">
        <x:f>IF(F122&lt;=0,"",(H122+I122)*1000/(F122*24))</x:f>
        <x:v>3122.5420008420497</x:v>
      </x:c>
      <x:c r="K122" s="63" t="n">
        <x:v>1</x:v>
      </x:c>
      <x:c r="L122" s="63" t="n">
        <x:v>0</x:v>
      </x:c>
    </x:row>
    <x:row r="123">
      <x:c r="A123" s="53" t="str">
        <x:v>20|lower</x:v>
      </x:c>
      <x:c r="B123" s="53" t="str">
        <x:v>20</x:v>
      </x:c>
      <x:c r="C123" s="53" t="str">
        <x:v>Test building 4</x:v>
      </x:c>
      <x:c r="D123" s="53" t="str">
        <x:v>lower</x:v>
      </x:c>
      <x:c r="E123" s="53" t="str">
        <x:v>2023-02</x:v>
      </x:c>
      <x:c r="F123" s="57" t="n">
        <x:v>28</x:v>
      </x:c>
      <x:c r="G123" s="55" t="n">
        <x:v>3.8903273809523813</x:v>
      </x:c>
      <x:c r="H123" s="55" t="n">
        <x:v>1280.445451831947</x:v>
      </x:c>
      <x:c r="I123" s="55" t="n">
        <x:v>1222.4627903007813</x:v>
      </x:c>
      <x:c r="J123" s="61" t="n">
        <x:f>IF(F123&lt;=0,"",(H123+I123)*1000/(F123*24))</x:f>
        <x:v>3724.5658365070362</x:v>
      </x:c>
      <x:c r="K123" s="63" t="n">
        <x:v>1</x:v>
      </x:c>
      <x:c r="L123" s="63" t="n">
        <x:v>0</x:v>
      </x:c>
    </x:row>
    <x:row r="124">
      <x:c r="A124" s="53" t="str">
        <x:v>20|lower</x:v>
      </x:c>
      <x:c r="B124" s="53" t="str">
        <x:v>20</x:v>
      </x:c>
      <x:c r="C124" s="53" t="str">
        <x:v>Test building 4</x:v>
      </x:c>
      <x:c r="D124" s="53" t="str">
        <x:v>lower</x:v>
      </x:c>
      <x:c r="E124" s="53" t="str">
        <x:v>2023-03</x:v>
      </x:c>
      <x:c r="F124" s="57" t="n">
        <x:v>31</x:v>
      </x:c>
      <x:c r="G124" s="55" t="n">
        <x:v>7.746908602150539</x:v>
      </x:c>
      <x:c r="H124" s="55" t="n">
        <x:v>2964.5959004089195</x:v>
      </x:c>
      <x:c r="I124" s="55" t="n">
        <x:v>1348.1802466767576</x:v>
      </x:c>
      <x:c r="J124" s="61" t="n">
        <x:f>IF(F124&lt;=0,"",(H124+I124)*1000/(F124*24))</x:f>
        <x:v>5796.742133179673</x:v>
      </x:c>
      <x:c r="K124" s="63" t="n">
        <x:v>1</x:v>
      </x:c>
      <x:c r="L124" s="63" t="n">
        <x:v>0</x:v>
      </x:c>
    </x:row>
    <x:row r="125">
      <x:c r="A125" s="53" t="str">
        <x:v>20|lower</x:v>
      </x:c>
      <x:c r="B125" s="53" t="str">
        <x:v>20</x:v>
      </x:c>
      <x:c r="C125" s="53" t="str">
        <x:v>Test building 4</x:v>
      </x:c>
      <x:c r="D125" s="53" t="str">
        <x:v>lower</x:v>
      </x:c>
      <x:c r="E125" s="53" t="str">
        <x:v>2023-04</x:v>
      </x:c>
      <x:c r="F125" s="57" t="n">
        <x:v>30</x:v>
      </x:c>
      <x:c r="G125" s="55" t="n">
        <x:v>12.03041666666667</x:v>
      </x:c>
      <x:c r="H125" s="55" t="n">
        <x:v>3863.463900017498</x:v>
      </x:c>
      <x:c r="I125" s="55" t="n">
        <x:v>1318.5493939160156</x:v>
      </x:c>
      <x:c r="J125" s="61" t="n">
        <x:f>IF(F125&lt;=0,"",(H125+I125)*1000/(F125*24))</x:f>
        <x:v>7197.240686018768</x:v>
      </x:c>
      <x:c r="K125" s="63" t="n">
        <x:v>1</x:v>
      </x:c>
      <x:c r="L125" s="63" t="n">
        <x:v>0</x:v>
      </x:c>
    </x:row>
    <x:row r="126">
      <x:c r="A126" s="53" t="str">
        <x:v>20|lower</x:v>
      </x:c>
      <x:c r="B126" s="53" t="str">
        <x:v>20</x:v>
      </x:c>
      <x:c r="C126" s="53" t="str">
        <x:v>Test building 4</x:v>
      </x:c>
      <x:c r="D126" s="53" t="str">
        <x:v>lower</x:v>
      </x:c>
      <x:c r="E126" s="53" t="str">
        <x:v>2023-05</x:v>
      </x:c>
      <x:c r="F126" s="57" t="n">
        <x:v>31</x:v>
      </x:c>
      <x:c r="G126" s="55" t="n">
        <x:v>17.244086021505375</x:v>
      </x:c>
      <x:c r="H126" s="55" t="n">
        <x:v>5022.1847739057475</x:v>
      </x:c>
      <x:c r="I126" s="55" t="n">
        <x:v>1348.1802466767576</x:v>
      </x:c>
      <x:c r="J126" s="61" t="n">
        <x:f>IF(F126&lt;=0,"",(H126+I126)*1000/(F126*24))</x:f>
        <x:v>8562.318576051755</x:v>
      </x:c>
      <x:c r="K126" s="63" t="n">
        <x:v>0</x:v>
      </x:c>
      <x:c r="L126" s="63" t="n">
        <x:v>0</x:v>
      </x:c>
    </x:row>
    <x:row r="127">
      <x:c r="A127" s="53" t="str">
        <x:v>20|lower</x:v>
      </x:c>
      <x:c r="B127" s="53" t="str">
        <x:v>20</x:v>
      </x:c>
      <x:c r="C127" s="53" t="str">
        <x:v>Test building 4</x:v>
      </x:c>
      <x:c r="D127" s="53" t="str">
        <x:v>lower</x:v>
      </x:c>
      <x:c r="E127" s="53" t="str">
        <x:v>2023-06</x:v>
      </x:c>
      <x:c r="F127" s="57" t="n">
        <x:v>30</x:v>
      </x:c>
      <x:c r="G127" s="55" t="n">
        <x:v>20.758194444444445</x:v>
      </x:c>
      <x:c r="H127" s="55" t="n">
        <x:v>5109.989149118338</x:v>
      </x:c>
      <x:c r="I127" s="55" t="n">
        <x:v>1306.2744278847658</x:v>
      </x:c>
      <x:c r="J127" s="61" t="n">
        <x:f>IF(F127&lt;=0,"",(H127+I127)*1000/(F127*24))</x:f>
        <x:v>8911.477190282088</x:v>
      </x:c>
      <x:c r="K127" s="63" t="n">
        <x:v>0</x:v>
      </x:c>
      <x:c r="L127" s="63" t="n">
        <x:v>1</x:v>
      </x:c>
    </x:row>
    <x:row r="128">
      <x:c r="A128" s="53" t="str">
        <x:v>20|lower</x:v>
      </x:c>
      <x:c r="B128" s="53" t="str">
        <x:v>20</x:v>
      </x:c>
      <x:c r="C128" s="53" t="str">
        <x:v>Test building 4</x:v>
      </x:c>
      <x:c r="D128" s="53" t="str">
        <x:v>lower</x:v>
      </x:c>
      <x:c r="E128" s="53" t="str">
        <x:v>2023-07</x:v>
      </x:c>
      <x:c r="F128" s="57" t="n">
        <x:v>31</x:v>
      </x:c>
      <x:c r="G128" s="55" t="n">
        <x:v>23.824193548387097</x:v>
      </x:c>
      <x:c r="H128" s="55" t="n">
        <x:v>5520.663414764429</x:v>
      </x:c>
      <x:c r="I128" s="55" t="n">
        <x:v>1360.4552127080078</x:v>
      </x:c>
      <x:c r="J128" s="61" t="n">
        <x:f>IF(F128&lt;=0,"",(H128+I128)*1000/(F128*24))</x:f>
        <x:v>9248.815359505963</x:v>
      </x:c>
      <x:c r="K128" s="63" t="n">
        <x:v>0</x:v>
      </x:c>
      <x:c r="L128" s="63" t="n">
        <x:v>1</x:v>
      </x:c>
    </x:row>
    <x:row r="129">
      <x:c r="A129" s="53" t="str">
        <x:v>20|lower</x:v>
      </x:c>
      <x:c r="B129" s="53" t="str">
        <x:v>20</x:v>
      </x:c>
      <x:c r="C129" s="53" t="str">
        <x:v>Test building 4</x:v>
      </x:c>
      <x:c r="D129" s="53" t="str">
        <x:v>lower</x:v>
      </x:c>
      <x:c r="E129" s="53" t="str">
        <x:v>2023-08</x:v>
      </x:c>
      <x:c r="F129" s="57" t="n">
        <x:v>31</x:v>
      </x:c>
      <x:c r="G129" s="55" t="n">
        <x:v>22.74717741935484</x:v>
      </x:c>
      <x:c r="H129" s="55" t="n">
        <x:v>4877.321705534116</x:v>
      </x:c>
      <x:c r="I129" s="55" t="n">
        <x:v>1348.1802466767576</x:v>
      </x:c>
      <x:c r="J129" s="61" t="n">
        <x:f>IF(F129&lt;=0,"",(H129+I129)*1000/(F129*24))</x:f>
        <x:v>8367.610150821067</x:v>
      </x:c>
      <x:c r="K129" s="63" t="n">
        <x:v>0</x:v>
      </x:c>
      <x:c r="L129" s="63" t="n">
        <x:v>1</x:v>
      </x:c>
    </x:row>
    <x:row r="130">
      <x:c r="A130" s="53" t="str">
        <x:v>20|lower</x:v>
      </x:c>
      <x:c r="B130" s="53" t="str">
        <x:v>20</x:v>
      </x:c>
      <x:c r="C130" s="53" t="str">
        <x:v>Test building 4</x:v>
      </x:c>
      <x:c r="D130" s="53" t="str">
        <x:v>lower</x:v>
      </x:c>
      <x:c r="E130" s="53" t="str">
        <x:v>2023-09</x:v>
      </x:c>
      <x:c r="F130" s="57" t="n">
        <x:v>30</x:v>
      </x:c>
      <x:c r="G130" s="55" t="n">
        <x:v>19.61638888888889</x:v>
      </x:c>
      <x:c r="H130" s="55" t="n">
        <x:v>3686.287267706055</x:v>
      </x:c>
      <x:c r="I130" s="55" t="n">
        <x:v>1312.4119109003907</x:v>
      </x:c>
      <x:c r="J130" s="61" t="n">
        <x:f>IF(F130&lt;=0,"",(H130+I130)*1000/(F130*24))</x:f>
        <x:v>6942.637748064508</x:v>
      </x:c>
      <x:c r="K130" s="63" t="n">
        <x:v>0</x:v>
      </x:c>
      <x:c r="L130" s="63" t="n">
        <x:v>1</x:v>
      </x:c>
    </x:row>
    <x:row r="131">
      <x:c r="A131" s="53" t="str">
        <x:v>20|lower</x:v>
      </x:c>
      <x:c r="B131" s="53" t="str">
        <x:v>20</x:v>
      </x:c>
      <x:c r="C131" s="53" t="str">
        <x:v>Test building 4</x:v>
      </x:c>
      <x:c r="D131" s="53" t="str">
        <x:v>lower</x:v>
      </x:c>
      <x:c r="E131" s="53" t="str">
        <x:v>2023-10</x:v>
      </x:c>
      <x:c r="F131" s="57" t="n">
        <x:v>31</x:v>
      </x:c>
      <x:c r="G131" s="55" t="n">
        <x:v>13.926209677419354</x:v>
      </x:c>
      <x:c r="H131" s="55" t="n">
        <x:v>2410.5317759533987</x:v>
      </x:c>
      <x:c r="I131" s="55" t="n">
        <x:v>1354.3177296923827</x:v>
      </x:c>
      <x:c r="J131" s="61" t="n">
        <x:f>IF(F131&lt;=0,"",(H131+I131)*1000/(F131*24))</x:f>
        <x:v>5060.281593609921</x:v>
      </x:c>
      <x:c r="K131" s="63" t="n">
        <x:v>0.5483870967741935</x:v>
      </x:c>
      <x:c r="L131" s="63" t="n">
        <x:v>0</x:v>
      </x:c>
    </x:row>
    <x:row r="132">
      <x:c r="A132" s="53" t="str">
        <x:v>20|lower</x:v>
      </x:c>
      <x:c r="B132" s="53" t="str">
        <x:v>20</x:v>
      </x:c>
      <x:c r="C132" s="53" t="str">
        <x:v>Test building 4</x:v>
      </x:c>
      <x:c r="D132" s="53" t="str">
        <x:v>lower</x:v>
      </x:c>
      <x:c r="E132" s="53" t="str">
        <x:v>2023-11</x:v>
      </x:c>
      <x:c r="F132" s="57" t="n">
        <x:v>30</x:v>
      </x:c>
      <x:c r="G132" s="55" t="n">
        <x:v>8.68388888888889</x:v>
      </x:c>
      <x:c r="H132" s="55" t="n">
        <x:v>977.5509511891318</x:v>
      </x:c>
      <x:c r="I132" s="55" t="n">
        <x:v>1306.2744278847658</x:v>
      </x:c>
      <x:c r="J132" s="61" t="n">
        <x:f>IF(F132&lt;=0,"",(H132+I132)*1000/(F132*24))</x:f>
        <x:v>3171.9796931581914</x:v>
      </x:c>
      <x:c r="K132" s="63" t="n">
        <x:v>1</x:v>
      </x:c>
      <x:c r="L132" s="63" t="n">
        <x:v>0</x:v>
      </x:c>
    </x:row>
    <x:row r="133">
      <x:c r="A133" s="53" t="str">
        <x:v>20|lower</x:v>
      </x:c>
      <x:c r="B133" s="53" t="str">
        <x:v>20</x:v>
      </x:c>
      <x:c r="C133" s="53" t="str">
        <x:v>Test building 4</x:v>
      </x:c>
      <x:c r="D133" s="53" t="str">
        <x:v>lower</x:v>
      </x:c>
      <x:c r="E133" s="53" t="str">
        <x:v>2023-12</x:v>
      </x:c>
      <x:c r="F133" s="57" t="n">
        <x:v>31</x:v>
      </x:c>
      <x:c r="G133" s="55" t="n">
        <x:v>3.9963709677419357</x:v>
      </x:c>
      <x:c r="H133" s="55" t="n">
        <x:v>772.7356230269137</x:v>
      </x:c>
      <x:c r="I133" s="55" t="n">
        <x:v>1360.4552127080078</x:v>
      </x:c>
      <x:c r="J133" s="61" t="n">
        <x:f>IF(F133&lt;=0,"",(H133+I133)*1000/(F133*24))</x:f>
        <x:v>2867.1919835146796</x:v>
      </x:c>
      <x:c r="K133" s="63" t="n">
        <x:v>1</x:v>
      </x:c>
      <x:c r="L133" s="63" t="n">
        <x:v>0</x:v>
      </x:c>
    </x:row>
    <x:row r="134">
      <x:c r="A134" s="53" t="str">
        <x:v>20|upper</x:v>
      </x:c>
      <x:c r="B134" s="53" t="str">
        <x:v>20</x:v>
      </x:c>
      <x:c r="C134" s="53" t="str">
        <x:v>Test building 4</x:v>
      </x:c>
      <x:c r="D134" s="53" t="str">
        <x:v>upper</x:v>
      </x:c>
      <x:c r="E134" s="53" t="str">
        <x:v>2023-01</x:v>
      </x:c>
      <x:c r="F134" s="57" t="n">
        <x:v>31</x:v>
      </x:c>
      <x:c r="G134" s="55" t="n">
        <x:v>2.638440860215054</x:v>
      </x:c>
      <x:c r="H134" s="55" t="n">
        <x:v>5926.311736724527</x:v>
      </x:c>
      <x:c r="I134" s="55" t="n">
        <x:v>7040.177557054687</x:v>
      </x:c>
      <x:c r="J134" s="61" t="n">
        <x:f>IF(F134&lt;=0,"",(H134+I134)*1000/(F134*24))</x:f>
        <x:v>17428.07700776776</x:v>
      </x:c>
      <x:c r="K134" s="63" t="n">
        <x:v>1</x:v>
      </x:c>
      <x:c r="L134" s="63" t="n">
        <x:v>0</x:v>
      </x:c>
    </x:row>
    <x:row r="135">
      <x:c r="A135" s="53" t="str">
        <x:v>20|upper</x:v>
      </x:c>
      <x:c r="B135" s="53" t="str">
        <x:v>20</x:v>
      </x:c>
      <x:c r="C135" s="53" t="str">
        <x:v>Test building 4</x:v>
      </x:c>
      <x:c r="D135" s="53" t="str">
        <x:v>upper</x:v>
      </x:c>
      <x:c r="E135" s="53" t="str">
        <x:v>2023-02</x:v>
      </x:c>
      <x:c r="F135" s="57" t="n">
        <x:v>28</x:v>
      </x:c>
      <x:c r="G135" s="55" t="n">
        <x:v>3.8903273809523813</x:v>
      </x:c>
      <x:c r="H135" s="55" t="n">
        <x:v>8579.868005003986</x:v>
      </x:c>
      <x:c r="I135" s="55" t="n">
        <x:v>6453.496093966796</x:v>
      </x:c>
      <x:c r="J135" s="61" t="n">
        <x:f>IF(F135&lt;=0,"",(H135+I135)*1000/(F135*24))</x:f>
        <x:v>22371.07752823033</x:v>
      </x:c>
      <x:c r="K135" s="63" t="n">
        <x:v>1</x:v>
      </x:c>
      <x:c r="L135" s="63" t="n">
        <x:v>0</x:v>
      </x:c>
    </x:row>
    <x:row r="136">
      <x:c r="A136" s="53" t="str">
        <x:v>20|upper</x:v>
      </x:c>
      <x:c r="B136" s="53" t="str">
        <x:v>20</x:v>
      </x:c>
      <x:c r="C136" s="53" t="str">
        <x:v>Test building 4</x:v>
      </x:c>
      <x:c r="D136" s="53" t="str">
        <x:v>upper</x:v>
      </x:c>
      <x:c r="E136" s="53" t="str">
        <x:v>2023-03</x:v>
      </x:c>
      <x:c r="F136" s="57" t="n">
        <x:v>31</x:v>
      </x:c>
      <x:c r="G136" s="55" t="n">
        <x:v>7.746908602150539</x:v>
      </x:c>
      <x:c r="H136" s="55" t="n">
        <x:v>22559.086983996713</x:v>
      </x:c>
      <x:c r="I136" s="55" t="n">
        <x:v>7333.518288598633</x:v>
      </x:c>
      <x:c r="J136" s="61" t="n">
        <x:f>IF(F136&lt;=0,"",(H136+I136)*1000/(F136*24))</x:f>
        <x:v>40178.232893273314</x:v>
      </x:c>
      <x:c r="K136" s="63" t="n">
        <x:v>1</x:v>
      </x:c>
      <x:c r="L136" s="63" t="n">
        <x:v>0</x:v>
      </x:c>
    </x:row>
    <x:row r="137">
      <x:c r="A137" s="53" t="str">
        <x:v>20|upper</x:v>
      </x:c>
      <x:c r="B137" s="53" t="str">
        <x:v>20</x:v>
      </x:c>
      <x:c r="C137" s="53" t="str">
        <x:v>Test building 4</x:v>
      </x:c>
      <x:c r="D137" s="53" t="str">
        <x:v>upper</x:v>
      </x:c>
      <x:c r="E137" s="53" t="str">
        <x:v>2023-04</x:v>
      </x:c>
      <x:c r="F137" s="57" t="n">
        <x:v>30</x:v>
      </x:c>
      <x:c r="G137" s="55" t="n">
        <x:v>12.03041666666667</x:v>
      </x:c>
      <x:c r="H137" s="55" t="n">
        <x:v>30551.875129727112</x:v>
      </x:c>
      <x:c r="I137" s="55" t="n">
        <x:v>6600.16645973877</x:v>
      </x:c>
      <x:c r="J137" s="61" t="n">
        <x:f>IF(F137&lt;=0,"",(H137+I137)*1000/(F137*24))</x:f>
        <x:v>51600.05776314705</x:v>
      </x:c>
      <x:c r="K137" s="63" t="n">
        <x:v>1</x:v>
      </x:c>
      <x:c r="L137" s="63" t="n">
        <x:v>0</x:v>
      </x:c>
    </x:row>
    <x:row r="138">
      <x:c r="A138" s="53" t="str">
        <x:v>20|upper</x:v>
      </x:c>
      <x:c r="B138" s="53" t="str">
        <x:v>20</x:v>
      </x:c>
      <x:c r="C138" s="53" t="str">
        <x:v>Test building 4</x:v>
      </x:c>
      <x:c r="D138" s="53" t="str">
        <x:v>upper</x:v>
      </x:c>
      <x:c r="E138" s="53" t="str">
        <x:v>2023-05</x:v>
      </x:c>
      <x:c r="F138" s="57" t="n">
        <x:v>31</x:v>
      </x:c>
      <x:c r="G138" s="55" t="n">
        <x:v>17.244086021505375</x:v>
      </x:c>
      <x:c r="H138" s="55" t="n">
        <x:v>40851.79415063037</x:v>
      </x:c>
      <x:c r="I138" s="55" t="n">
        <x:v>7333.518288598633</x:v>
      </x:c>
      <x:c r="J138" s="61" t="n">
        <x:f>IF(F138&lt;=0,"",(H138+I138)*1000/(F138*24))</x:f>
        <x:v>64765.204891436835</x:v>
      </x:c>
      <x:c r="K138" s="63" t="n">
        <x:v>0</x:v>
      </x:c>
      <x:c r="L138" s="63" t="n">
        <x:v>0</x:v>
      </x:c>
    </x:row>
    <x:row r="139">
      <x:c r="A139" s="53" t="str">
        <x:v>20|upper</x:v>
      </x:c>
      <x:c r="B139" s="53" t="str">
        <x:v>20</x:v>
      </x:c>
      <x:c r="C139" s="53" t="str">
        <x:v>Test building 4</x:v>
      </x:c>
      <x:c r="D139" s="53" t="str">
        <x:v>upper</x:v>
      </x:c>
      <x:c r="E139" s="53" t="str">
        <x:v>2023-06</x:v>
      </x:c>
      <x:c r="F139" s="57" t="n">
        <x:v>30</x:v>
      </x:c>
      <x:c r="G139" s="55" t="n">
        <x:v>20.758194444444445</x:v>
      </x:c>
      <x:c r="H139" s="55" t="n">
        <x:v>41976.44984030117</x:v>
      </x:c>
      <x:c r="I139" s="55" t="n">
        <x:v>7040.177557054687</x:v>
      </x:c>
      <x:c r="J139" s="61" t="n">
        <x:f>IF(F139&lt;=0,"",(H139+I139)*1000/(F139*24))</x:f>
        <x:v>68078.64916299425</x:v>
      </x:c>
      <x:c r="K139" s="63" t="n">
        <x:v>0</x:v>
      </x:c>
      <x:c r="L139" s="63" t="n">
        <x:v>1</x:v>
      </x:c>
    </x:row>
    <x:row r="140">
      <x:c r="A140" s="53" t="str">
        <x:v>20|upper</x:v>
      </x:c>
      <x:c r="B140" s="53" t="str">
        <x:v>20</x:v>
      </x:c>
      <x:c r="C140" s="53" t="str">
        <x:v>Test building 4</x:v>
      </x:c>
      <x:c r="D140" s="53" t="str">
        <x:v>upper</x:v>
      </x:c>
      <x:c r="E140" s="53" t="str">
        <x:v>2023-07</x:v>
      </x:c>
      <x:c r="F140" s="57" t="n">
        <x:v>31</x:v>
      </x:c>
      <x:c r="G140" s="55" t="n">
        <x:v>23.824193548387097</x:v>
      </x:c>
      <x:c r="H140" s="55" t="n">
        <x:v>45392.457939164444</x:v>
      </x:c>
      <x:c r="I140" s="55" t="n">
        <x:v>6893.507191282714</x:v>
      </x:c>
      <x:c r="J140" s="61" t="n">
        <x:f>IF(F140&lt;=0,"",(H140+I140)*1000/(F140*24))</x:f>
        <x:v>70276.83485275155</x:v>
      </x:c>
      <x:c r="K140" s="63" t="n">
        <x:v>0</x:v>
      </x:c>
      <x:c r="L140" s="63" t="n">
        <x:v>1</x:v>
      </x:c>
    </x:row>
    <x:row r="141">
      <x:c r="A141" s="53" t="str">
        <x:v>20|upper</x:v>
      </x:c>
      <x:c r="B141" s="53" t="str">
        <x:v>20</x:v>
      </x:c>
      <x:c r="C141" s="53" t="str">
        <x:v>Test building 4</x:v>
      </x:c>
      <x:c r="D141" s="53" t="str">
        <x:v>upper</x:v>
      </x:c>
      <x:c r="E141" s="53" t="str">
        <x:v>2023-08</x:v>
      </x:c>
      <x:c r="F141" s="57" t="n">
        <x:v>31</x:v>
      </x:c>
      <x:c r="G141" s="55" t="n">
        <x:v>22.74717741935484</x:v>
      </x:c>
      <x:c r="H141" s="55" t="n">
        <x:v>39300.73251799848</x:v>
      </x:c>
      <x:c r="I141" s="55" t="n">
        <x:v>7333.518288598633</x:v>
      </x:c>
      <x:c r="J141" s="61" t="n">
        <x:f>IF(F141&lt;=0,"",(H141+I141)*1000/(F141*24))</x:f>
        <x:v>62680.444632523</x:v>
      </x:c>
      <x:c r="K141" s="63" t="n">
        <x:v>0</x:v>
      </x:c>
      <x:c r="L141" s="63" t="n">
        <x:v>1</x:v>
      </x:c>
    </x:row>
    <x:row r="142">
      <x:c r="A142" s="53" t="str">
        <x:v>20|upper</x:v>
      </x:c>
      <x:c r="B142" s="53" t="str">
        <x:v>20</x:v>
      </x:c>
      <x:c r="C142" s="53" t="str">
        <x:v>Test building 4</x:v>
      </x:c>
      <x:c r="D142" s="53" t="str">
        <x:v>upper</x:v>
      </x:c>
      <x:c r="E142" s="53" t="str">
        <x:v>2023-09</x:v>
      </x:c>
      <x:c r="F142" s="57" t="n">
        <x:v>30</x:v>
      </x:c>
      <x:c r="G142" s="55" t="n">
        <x:v>19.61638888888889</x:v>
      </x:c>
      <x:c r="H142" s="55" t="n">
        <x:v>28763.9148361928</x:v>
      </x:c>
      <x:c r="I142" s="55" t="n">
        <x:v>6893.507191282714</x:v>
      </x:c>
      <x:c r="J142" s="61" t="n">
        <x:f>IF(F142&lt;=0,"",(H142+I142)*1000/(F142*24))</x:f>
        <x:v>49524.19726038266</x:v>
      </x:c>
      <x:c r="K142" s="63" t="n">
        <x:v>0</x:v>
      </x:c>
      <x:c r="L142" s="63" t="n">
        <x:v>1</x:v>
      </x:c>
    </x:row>
    <x:row r="143">
      <x:c r="A143" s="53" t="str">
        <x:v>20|upper</x:v>
      </x:c>
      <x:c r="B143" s="53" t="str">
        <x:v>20</x:v>
      </x:c>
      <x:c r="C143" s="53" t="str">
        <x:v>Test building 4</x:v>
      </x:c>
      <x:c r="D143" s="53" t="str">
        <x:v>upper</x:v>
      </x:c>
      <x:c r="E143" s="53" t="str">
        <x:v>2023-10</x:v>
      </x:c>
      <x:c r="F143" s="57" t="n">
        <x:v>31</x:v>
      </x:c>
      <x:c r="G143" s="55" t="n">
        <x:v>13.926209677419354</x:v>
      </x:c>
      <x:c r="H143" s="55" t="n">
        <x:v>17725.29721453172</x:v>
      </x:c>
      <x:c r="I143" s="55" t="n">
        <x:v>7040.177557054687</x:v>
      </x:c>
      <x:c r="J143" s="61" t="n">
        <x:f>IF(F143&lt;=0,"",(H143+I143)*1000/(F143*24))</x:f>
        <x:v>33286.92845643334</x:v>
      </x:c>
      <x:c r="K143" s="63" t="n">
        <x:v>0.5483870967741935</x:v>
      </x:c>
      <x:c r="L143" s="63" t="n">
        <x:v>0</x:v>
      </x:c>
    </x:row>
    <x:row r="144">
      <x:c r="A144" s="53" t="str">
        <x:v>20|upper</x:v>
      </x:c>
      <x:c r="B144" s="53" t="str">
        <x:v>20</x:v>
      </x:c>
      <x:c r="C144" s="53" t="str">
        <x:v>Test building 4</x:v>
      </x:c>
      <x:c r="D144" s="53" t="str">
        <x:v>upper</x:v>
      </x:c>
      <x:c r="E144" s="53" t="str">
        <x:v>2023-11</x:v>
      </x:c>
      <x:c r="F144" s="57" t="n">
        <x:v>30</x:v>
      </x:c>
      <x:c r="G144" s="55" t="n">
        <x:v>8.68388888888889</x:v>
      </x:c>
      <x:c r="H144" s="55" t="n">
        <x:v>6063.969551443404</x:v>
      </x:c>
      <x:c r="I144" s="55" t="n">
        <x:v>7040.177557054687</x:v>
      </x:c>
      <x:c r="J144" s="61" t="n">
        <x:f>IF(F144&lt;=0,"",(H144+I144)*1000/(F144*24))</x:f>
        <x:v>18200.20431735846</x:v>
      </x:c>
      <x:c r="K144" s="63" t="n">
        <x:v>1</x:v>
      </x:c>
      <x:c r="L144" s="63" t="n">
        <x:v>0</x:v>
      </x:c>
    </x:row>
    <x:row r="145">
      <x:c r="A145" s="53" t="str">
        <x:v>20|upper</x:v>
      </x:c>
      <x:c r="B145" s="53" t="str">
        <x:v>20</x:v>
      </x:c>
      <x:c r="C145" s="53" t="str">
        <x:v>Test building 4</x:v>
      </x:c>
      <x:c r="D145" s="53" t="str">
        <x:v>upper</x:v>
      </x:c>
      <x:c r="E145" s="53" t="str">
        <x:v>2023-12</x:v>
      </x:c>
      <x:c r="F145" s="57" t="n">
        <x:v>31</x:v>
      </x:c>
      <x:c r="G145" s="55" t="n">
        <x:v>3.9963709677419357</x:v>
      </x:c>
      <x:c r="H145" s="55" t="n">
        <x:v>4315.339337538382</x:v>
      </x:c>
      <x:c r="I145" s="55" t="n">
        <x:v>6893.507191282714</x:v>
      </x:c>
      <x:c r="J145" s="61" t="n">
        <x:f>IF(F145&lt;=0,"",(H145+I145)*1000/(F145*24))</x:f>
        <x:v>15065.653936587496</x:v>
      </x:c>
      <x:c r="K145" s="63" t="n">
        <x:v>1</x:v>
      </x:c>
      <x:c r="L145" s="63" t="n">
        <x:v>0</x:v>
      </x:c>
    </x:row>
    <x:row r="146">
      <x:c r="A146" s="53" t="str">
        <x:v>21|aggregate</x:v>
      </x:c>
      <x:c r="B146" s="53" t="str">
        <x:v>21</x:v>
      </x:c>
      <x:c r="C146" s="53" t="str">
        <x:v>Test building 5</x:v>
      </x:c>
      <x:c r="D146" s="53" t="str">
        <x:v>aggregate</x:v>
      </x:c>
      <x:c r="E146" s="53" t="str">
        <x:v>2023-01</x:v>
      </x:c>
      <x:c r="F146" s="57" t="n">
        <x:v>31</x:v>
      </x:c>
      <x:c r="G146" s="55" t="n">
        <x:v>2.638440860215054</x:v>
      </x:c>
      <x:c r="H146" s="55" t="n">
        <x:v>22211.506267692777</x:v>
      </x:c>
      <x:c r="I146" s="55" t="n">
        <x:v>26152.408155656252</x:v>
      </x:c>
      <x:c r="J146" s="61" t="n">
        <x:f>IF(F146&lt;=0,"",(H146+I146)*1000/(F146*24))</x:f>
        <x:v>65005.261321705686</x:v>
      </x:c>
      <x:c r="K146" s="63" t="n">
        <x:v>1</x:v>
      </x:c>
      <x:c r="L146" s="63" t="n">
        <x:v>0</x:v>
      </x:c>
    </x:row>
    <x:row r="147">
      <x:c r="A147" s="53" t="str">
        <x:v>21|aggregate</x:v>
      </x:c>
      <x:c r="B147" s="53" t="str">
        <x:v>21</x:v>
      </x:c>
      <x:c r="C147" s="53" t="str">
        <x:v>Test building 5</x:v>
      </x:c>
      <x:c r="D147" s="53" t="str">
        <x:v>aggregate</x:v>
      </x:c>
      <x:c r="E147" s="53" t="str">
        <x:v>2023-02</x:v>
      </x:c>
      <x:c r="F147" s="57" t="n">
        <x:v>28</x:v>
      </x:c>
      <x:c r="G147" s="55" t="n">
        <x:v>3.8903273809523813</x:v>
      </x:c>
      <x:c r="H147" s="55" t="n">
        <x:v>30994.274929156807</x:v>
      </x:c>
      <x:c r="I147" s="55" t="n">
        <x:v>23973.040809351565</x:v>
      </x:c>
      <x:c r="J147" s="61" t="n">
        <x:f>IF(F147&lt;=0,"",(H147+I147)*1000/(F147*24))</x:f>
        <x:v>81796.60080135174</x:v>
      </x:c>
      <x:c r="K147" s="63" t="n">
        <x:v>1</x:v>
      </x:c>
      <x:c r="L147" s="63" t="n">
        <x:v>0</x:v>
      </x:c>
    </x:row>
    <x:row r="148">
      <x:c r="A148" s="53" t="str">
        <x:v>21|aggregate</x:v>
      </x:c>
      <x:c r="B148" s="53" t="str">
        <x:v>21</x:v>
      </x:c>
      <x:c r="C148" s="53" t="str">
        <x:v>Test building 5</x:v>
      </x:c>
      <x:c r="D148" s="53" t="str">
        <x:v>aggregate</x:v>
      </x:c>
      <x:c r="E148" s="53" t="str">
        <x:v>2023-03</x:v>
      </x:c>
      <x:c r="F148" s="57" t="n">
        <x:v>31</x:v>
      </x:c>
      <x:c r="G148" s="55" t="n">
        <x:v>7.746908602150539</x:v>
      </x:c>
      <x:c r="H148" s="55" t="n">
        <x:v>76074.28941190452</x:v>
      </x:c>
      <x:c r="I148" s="55" t="n">
        <x:v>27242.091828808592</x:v>
      </x:c>
      <x:c r="J148" s="61" t="n">
        <x:f>IF(F148&lt;=0,"",(H148+I148)*1000/(F148*24))</x:f>
        <x:v>138866.10381816278</x:v>
      </x:c>
      <x:c r="K148" s="63" t="n">
        <x:v>1</x:v>
      </x:c>
      <x:c r="L148" s="63" t="n">
        <x:v>0</x:v>
      </x:c>
    </x:row>
    <x:row r="149">
      <x:c r="A149" s="53" t="str">
        <x:v>21|aggregate</x:v>
      </x:c>
      <x:c r="B149" s="53" t="str">
        <x:v>21</x:v>
      </x:c>
      <x:c r="C149" s="53" t="str">
        <x:v>Test building 5</x:v>
      </x:c>
      <x:c r="D149" s="53" t="str">
        <x:v>aggregate</x:v>
      </x:c>
      <x:c r="E149" s="53" t="str">
        <x:v>2023-04</x:v>
      </x:c>
      <x:c r="F149" s="57" t="n">
        <x:v>30</x:v>
      </x:c>
      <x:c r="G149" s="55" t="n">
        <x:v>12.03041666666667</x:v>
      </x:c>
      <x:c r="H149" s="55" t="n">
        <x:v>100377.98714113451</x:v>
      </x:c>
      <x:c r="I149" s="55" t="n">
        <x:v>24517.882645927733</x:v>
      </x:c>
      <x:c r="J149" s="61" t="n">
        <x:f>IF(F149&lt;=0,"",(H149+I149)*1000/(F149*24))</x:f>
        <x:v>173466.48581536423</x:v>
      </x:c>
      <x:c r="K149" s="63" t="n">
        <x:v>1</x:v>
      </x:c>
      <x:c r="L149" s="63" t="n">
        <x:v>0</x:v>
      </x:c>
    </x:row>
    <x:row r="150">
      <x:c r="A150" s="53" t="str">
        <x:v>21|aggregate</x:v>
      </x:c>
      <x:c r="B150" s="53" t="str">
        <x:v>21</x:v>
      </x:c>
      <x:c r="C150" s="53" t="str">
        <x:v>Test building 5</x:v>
      </x:c>
      <x:c r="D150" s="53" t="str">
        <x:v>aggregate</x:v>
      </x:c>
      <x:c r="E150" s="53" t="str">
        <x:v>2023-05</x:v>
      </x:c>
      <x:c r="F150" s="57" t="n">
        <x:v>31</x:v>
      </x:c>
      <x:c r="G150" s="55" t="n">
        <x:v>17.244086021505375</x:v>
      </x:c>
      <x:c r="H150" s="55" t="n">
        <x:v>131592.24272410534</x:v>
      </x:c>
      <x:c r="I150" s="55" t="n">
        <x:v>27242.091828808592</x:v>
      </x:c>
      <x:c r="J150" s="61" t="n">
        <x:f>IF(F150&lt;=0,"",(H150+I150)*1000/(F150*24))</x:f>
        <x:v>213487.00880768002</x:v>
      </x:c>
      <x:c r="K150" s="63" t="n">
        <x:v>0</x:v>
      </x:c>
      <x:c r="L150" s="63" t="n">
        <x:v>0</x:v>
      </x:c>
    </x:row>
    <x:row r="151">
      <x:c r="A151" s="53" t="str">
        <x:v>21|aggregate</x:v>
      </x:c>
      <x:c r="B151" s="53" t="str">
        <x:v>21</x:v>
      </x:c>
      <x:c r="C151" s="53" t="str">
        <x:v>Test building 5</x:v>
      </x:c>
      <x:c r="D151" s="53" t="str">
        <x:v>aggregate</x:v>
      </x:c>
      <x:c r="E151" s="53" t="str">
        <x:v>2023-06</x:v>
      </x:c>
      <x:c r="F151" s="57" t="n">
        <x:v>30</x:v>
      </x:c>
      <x:c r="G151" s="55" t="n">
        <x:v>20.758194444444445</x:v>
      </x:c>
      <x:c r="H151" s="55" t="n">
        <x:v>134221.0693993067</x:v>
      </x:c>
      <x:c r="I151" s="55" t="n">
        <x:v>26152.408155656252</x:v>
      </x:c>
      <x:c r="J151" s="61" t="n">
        <x:f>IF(F151&lt;=0,"",(H151+I151)*1000/(F151*24))</x:f>
        <x:v>222740.94104855962</x:v>
      </x:c>
      <x:c r="K151" s="63" t="n">
        <x:v>0</x:v>
      </x:c>
      <x:c r="L151" s="63" t="n">
        <x:v>1</x:v>
      </x:c>
    </x:row>
    <x:row r="152">
      <x:c r="A152" s="53" t="str">
        <x:v>21|aggregate</x:v>
      </x:c>
      <x:c r="B152" s="53" t="str">
        <x:v>21</x:v>
      </x:c>
      <x:c r="C152" s="53" t="str">
        <x:v>Test building 5</x:v>
      </x:c>
      <x:c r="D152" s="53" t="str">
        <x:v>aggregate</x:v>
      </x:c>
      <x:c r="E152" s="53" t="str">
        <x:v>2023-07</x:v>
      </x:c>
      <x:c r="F152" s="57" t="n">
        <x:v>31</x:v>
      </x:c>
      <x:c r="G152" s="55" t="n">
        <x:v>23.824193548387097</x:v>
      </x:c>
      <x:c r="H152" s="55" t="n">
        <x:v>145157.65005266902</x:v>
      </x:c>
      <x:c r="I152" s="55" t="n">
        <x:v>25607.566319080077</x:v>
      </x:c>
      <x:c r="J152" s="61" t="n">
        <x:f>IF(F152&lt;=0,"",(H152+I152)*1000/(F152*24))</x:f>
        <x:v>229523.14028460902</x:v>
      </x:c>
      <x:c r="K152" s="63" t="n">
        <x:v>0</x:v>
      </x:c>
      <x:c r="L152" s="63" t="n">
        <x:v>1</x:v>
      </x:c>
    </x:row>
    <x:row r="153">
      <x:c r="A153" s="53" t="str">
        <x:v>21|aggregate</x:v>
      </x:c>
      <x:c r="B153" s="53" t="str">
        <x:v>21</x:v>
      </x:c>
      <x:c r="C153" s="53" t="str">
        <x:v>Test building 5</x:v>
      </x:c>
      <x:c r="D153" s="53" t="str">
        <x:v>aggregate</x:v>
      </x:c>
      <x:c r="E153" s="53" t="str">
        <x:v>2023-08</x:v>
      </x:c>
      <x:c r="F153" s="57" t="n">
        <x:v>31</x:v>
      </x:c>
      <x:c r="G153" s="55" t="n">
        <x:v>22.74717741935484</x:v>
      </x:c>
      <x:c r="H153" s="55" t="n">
        <x:v>127661.00827493797</x:v>
      </x:c>
      <x:c r="I153" s="55" t="n">
        <x:v>27242.091828808592</x:v>
      </x:c>
      <x:c r="J153" s="61" t="n">
        <x:f>IF(F153&lt;=0,"",(H153+I153)*1000/(F153*24))</x:f>
        <x:v>208203.09153729372</x:v>
      </x:c>
      <x:c r="K153" s="63" t="n">
        <x:v>0</x:v>
      </x:c>
      <x:c r="L153" s="63" t="n">
        <x:v>1</x:v>
      </x:c>
    </x:row>
    <x:row r="154">
      <x:c r="A154" s="53" t="str">
        <x:v>21|aggregate</x:v>
      </x:c>
      <x:c r="B154" s="53" t="str">
        <x:v>21</x:v>
      </x:c>
      <x:c r="C154" s="53" t="str">
        <x:v>Test building 5</x:v>
      </x:c>
      <x:c r="D154" s="53" t="str">
        <x:v>aggregate</x:v>
      </x:c>
      <x:c r="E154" s="53" t="str">
        <x:v>2023-09</x:v>
      </x:c>
      <x:c r="F154" s="57" t="n">
        <x:v>30</x:v>
      </x:c>
      <x:c r="G154" s="55" t="n">
        <x:v>19.61638888888889</x:v>
      </x:c>
      <x:c r="H154" s="55" t="n">
        <x:v>95650.59615804514</x:v>
      </x:c>
      <x:c r="I154" s="55" t="n">
        <x:v>25607.566319080077</x:v>
      </x:c>
      <x:c r="J154" s="61" t="n">
        <x:f>IF(F154&lt;=0,"",(H154+I154)*1000/(F154*24))</x:f>
        <x:v>168414.1145515628</x:v>
      </x:c>
      <x:c r="K154" s="63" t="n">
        <x:v>0</x:v>
      </x:c>
      <x:c r="L154" s="63" t="n">
        <x:v>1</x:v>
      </x:c>
    </x:row>
    <x:row r="155">
      <x:c r="A155" s="53" t="str">
        <x:v>21|aggregate</x:v>
      </x:c>
      <x:c r="B155" s="53" t="str">
        <x:v>21</x:v>
      </x:c>
      <x:c r="C155" s="53" t="str">
        <x:v>Test building 5</x:v>
      </x:c>
      <x:c r="D155" s="53" t="str">
        <x:v>aggregate</x:v>
      </x:c>
      <x:c r="E155" s="53" t="str">
        <x:v>2023-10</x:v>
      </x:c>
      <x:c r="F155" s="57" t="n">
        <x:v>31</x:v>
      </x:c>
      <x:c r="G155" s="55" t="n">
        <x:v>13.926209677419354</x:v>
      </x:c>
      <x:c r="H155" s="55" t="n">
        <x:v>61103.123228165125</x:v>
      </x:c>
      <x:c r="I155" s="55" t="n">
        <x:v>26152.408155656252</x:v>
      </x:c>
      <x:c r="J155" s="61" t="n">
        <x:f>IF(F155&lt;=0,"",(H155+I155)*1000/(F155*24))</x:f>
        <x:v>117278.94003201798</x:v>
      </x:c>
      <x:c r="K155" s="63" t="n">
        <x:v>0.5483870967741935</x:v>
      </x:c>
      <x:c r="L155" s="63" t="n">
        <x:v>0</x:v>
      </x:c>
    </x:row>
    <x:row r="156">
      <x:c r="A156" s="53" t="str">
        <x:v>21|aggregate</x:v>
      </x:c>
      <x:c r="B156" s="53" t="str">
        <x:v>21</x:v>
      </x:c>
      <x:c r="C156" s="53" t="str">
        <x:v>Test building 5</x:v>
      </x:c>
      <x:c r="D156" s="53" t="str">
        <x:v>aggregate</x:v>
      </x:c>
      <x:c r="E156" s="53" t="str">
        <x:v>2023-11</x:v>
      </x:c>
      <x:c r="F156" s="57" t="n">
        <x:v>30</x:v>
      </x:c>
      <x:c r="G156" s="55" t="n">
        <x:v>8.68388888888889</x:v>
      </x:c>
      <x:c r="H156" s="55" t="n">
        <x:v>22566.79008835378</x:v>
      </x:c>
      <x:c r="I156" s="55" t="n">
        <x:v>26152.408155656252</x:v>
      </x:c>
      <x:c r="J156" s="61" t="n">
        <x:f>IF(F156&lt;=0,"",(H156+I156)*1000/(F156*24))</x:f>
        <x:v>67665.5531166806</x:v>
      </x:c>
      <x:c r="K156" s="63" t="n">
        <x:v>1</x:v>
      </x:c>
      <x:c r="L156" s="63" t="n">
        <x:v>0</x:v>
      </x:c>
    </x:row>
    <x:row r="157">
      <x:c r="A157" s="53" t="str">
        <x:v>21|aggregate</x:v>
      </x:c>
      <x:c r="B157" s="53" t="str">
        <x:v>21</x:v>
      </x:c>
      <x:c r="C157" s="53" t="str">
        <x:v>Test building 5</x:v>
      </x:c>
      <x:c r="D157" s="53" t="str">
        <x:v>aggregate</x:v>
      </x:c>
      <x:c r="E157" s="53" t="str">
        <x:v>2023-12</x:v>
      </x:c>
      <x:c r="F157" s="57" t="n">
        <x:v>31</x:v>
      </x:c>
      <x:c r="G157" s="55" t="n">
        <x:v>3.9963709677419357</x:v>
      </x:c>
      <x:c r="H157" s="55" t="n">
        <x:v>16913.016081209338</x:v>
      </x:c>
      <x:c r="I157" s="55" t="n">
        <x:v>25607.566319080077</x:v>
      </x:c>
      <x:c r="J157" s="61" t="n">
        <x:f>IF(F157&lt;=0,"",(H157+I157)*1000/(F157*24))</x:f>
        <x:v>57151.320430496526</x:v>
      </x:c>
      <x:c r="K157" s="63" t="n">
        <x:v>1</x:v>
      </x:c>
      <x:c r="L157" s="63" t="n">
        <x:v>0</x:v>
      </x:c>
    </x:row>
  </x:sheetData>
  <x:dataValidations count="1">
    <x:dataValidation type="decimal" operator="between" sqref="K2:L157">
      <x:formula1>0</x:formula1>
      <x:formula2>1</x:formula2>
    </x:dataValidation>
  </x:dataValidations>
  <x:pageMargins left="0.7" right="0.7" top="0.75" bottom="0.75" header="0.3" footer="0.3"/>
  <x:legacyDrawing xmlns:r="http://schemas.openxmlformats.org/officeDocument/2006/relationships" r:id="R48eea1fb7bcd44ab"/>
  <x:tableParts count="1">
    <x:tablePart xmlns:r="http://schemas.openxmlformats.org/officeDocument/2006/relationships" r:id="Rfe5f65808a9947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H_transmission_W_K</x:v>
      </x:c>
      <x:c r="F1" s="33" t="str">
        <x:v>H_ground_W_K</x:v>
      </x:c>
      <x:c r="G1" s="33" t="str">
        <x:v>H_infiltration_W_K</x:v>
      </x:c>
      <x:c r="H1" s="33" t="str">
        <x:v>H_ventilation_raw_W_K</x:v>
      </x:c>
      <x:c r="I1" s="33" t="str">
        <x:v>H_ventilation_effective_W_K</x:v>
      </x:c>
      <x:c r="J1" s="33" t="str">
        <x:v>H_total_W_K</x:v>
      </x:c>
      <x:c r="K1" s="33" t="str">
        <x:v>specific_capacity_J_m2K</x:v>
      </x:c>
      <x:c r="L1" s="33" t="str">
        <x:v>thermal_capacity_J_K</x:v>
      </x:c>
      <x:c r="M1" s="33" t="str">
        <x:v>time_constant_h</x:v>
      </x:c>
      <x:c r="N1" s="33" t="str">
        <x:v>utilisation_exponent</x:v>
      </x:c>
    </x:row>
    <x:row r="2">
      <x:c r="A2" s="38" t="str">
        <x:f>'In_Cases'!A2</x:f>
        <x:v>1|aggregate</x:v>
      </x:c>
      <x:c r="B2" s="38" t="str">
        <x:f>'In_Cases'!B2</x:f>
        <x:v>1</x:v>
      </x:c>
      <x:c r="C2" s="38" t="str">
        <x:f>'In_Cases'!C2</x:f>
        <x:v>Test building 1</x:v>
      </x:c>
      <x:c r="D2" s="38" t="str">
        <x:f>'In_Cases'!D2</x:f>
        <x:v>aggregate</x:v>
      </x:c>
      <x:c r="E2" s="64" t="n">
        <x:f>'In_Cases'!H2+'In_Cases'!I2</x:f>
        <x:v>2289.113771596989</x:v>
      </x:c>
      <x:c r="F2" s="64" t="n">
        <x:f>'In_Cases'!J2</x:f>
        <x:v>1061.0091761211447</x:v>
      </x:c>
      <x:c r="G2" s="64" t="n">
        <x:f>'Settings_General'!$B$2*'Settings_General'!$B$3*'In_Cases'!L2/3600</x:f>
        <x:v>1123.2100579833984</x:v>
      </x:c>
      <x:c r="H2" s="64" t="n">
        <x:f>'Settings_General'!$B$2*'Settings_General'!$B$3*'In_Cases'!K2/3600</x:f>
        <x:v>4652.78534419043</x:v>
      </x:c>
      <x:c r="I2" s="64" t="n">
        <x:f>'Settings_General'!$B$2*'Settings_General'!$B$3*('In_Cases'!K2*(1-'In_Cases'!M2)+'In_Cases'!L2)/3600</x:f>
        <x:v>2984.3241956595703</x:v>
      </x:c>
      <x:c r="J2" s="64" t="n">
        <x:f>E2+F2+I2</x:f>
        <x:v>6334.4471433777035</x:v>
      </x:c>
      <x:c r="K2" s="64" t="n">
        <x:f>INDEX('Settings_Mass'!$B$2:$B$6,MATCH('In_Cases'!N2,'Settings_Mass'!$A$2:$A$6,0))</x:f>
        <x:v>165000</x:v>
      </x:c>
      <x:c r="L2" s="64" t="n">
        <x:f>K2*'In_Cases'!F2</x:f>
        <x:v>491753657.2265625</x:v>
      </x:c>
      <x:c r="M2" s="64" t="n">
        <x:f>L2/(3600*J2)</x:f>
        <x:v>21.564350451845687</x:v>
      </x:c>
      <x:c r="N2" s="64" t="n">
        <x:f>'Settings_General'!$B$4+M2/'Settings_General'!$B$5</x:f>
        <x:v>2.437623363456379</x:v>
      </x:c>
    </x:row>
    <x:row r="3">
      <x:c r="A3" s="39" t="str">
        <x:f>'In_Cases'!A3</x:f>
        <x:v>1|lower</x:v>
      </x:c>
      <x:c r="B3" s="39" t="str">
        <x:f>'In_Cases'!B3</x:f>
        <x:v>1</x:v>
      </x:c>
      <x:c r="C3" s="39" t="str">
        <x:f>'In_Cases'!C3</x:f>
        <x:v>Test building 1</x:v>
      </x:c>
      <x:c r="D3" s="39" t="str">
        <x:f>'In_Cases'!D3</x:f>
        <x:v>lower</x:v>
      </x:c>
      <x:c r="E3" s="65" t="n">
        <x:f>'In_Cases'!H3+'In_Cases'!I3</x:f>
        <x:v>420.4889251881284</x:v>
      </x:c>
      <x:c r="F3" s="65" t="n">
        <x:f>'In_Cases'!J3</x:f>
        <x:v>1061.0091761211447</x:v>
      </x:c>
      <x:c r="G3" s="65" t="n">
        <x:f>'Settings_General'!$B$2*'Settings_General'!$B$3*'In_Cases'!L3/3600</x:f>
        <x:v>280.80251449584955</x:v>
      </x:c>
      <x:c r="H3" s="65" t="n">
        <x:f>'Settings_General'!$B$2*'Settings_General'!$B$3*'In_Cases'!K3/3600</x:f>
        <x:v>2496.222032862305</x:v>
      </x:c>
      <x:c r="I3" s="65" t="n">
        <x:f>'Settings_General'!$B$2*'Settings_General'!$B$3*('In_Cases'!K3*(1-'In_Cases'!M3)+'In_Cases'!L3)/3600</x:f>
        <x:v>1279.2913276407714</x:v>
      </x:c>
      <x:c r="J3" s="65" t="n">
        <x:f>E3+F3+I3</x:f>
        <x:v>2760.7894289500446</x:v>
      </x:c>
      <x:c r="K3" s="65" t="n">
        <x:f>INDEX('Settings_Mass'!$B$2:$B$6,MATCH('In_Cases'!N3,'Settings_Mass'!$A$2:$A$6,0))</x:f>
        <x:v>260000</x:v>
      </x:c>
      <x:c r="L3" s="65" t="n">
        <x:f>K3*'In_Cases'!F3</x:f>
        <x:v>193721137.6953125</x:v>
      </x:c>
      <x:c r="M3" s="65" t="n">
        <x:f>L3/(3600*J3)</x:f>
        <x:v>19.491318886298338</x:v>
      </x:c>
      <x:c r="N3" s="65" t="n">
        <x:f>'Settings_General'!$B$4+M3/'Settings_General'!$B$5</x:f>
        <x:v>2.299421259086556</x:v>
      </x:c>
    </x:row>
    <x:row r="4">
      <x:c r="A4" s="39" t="str">
        <x:f>'In_Cases'!A4</x:f>
        <x:v>1|upper</x:v>
      </x:c>
      <x:c r="B4" s="39" t="str">
        <x:f>'In_Cases'!B4</x:f>
        <x:v>1</x:v>
      </x:c>
      <x:c r="C4" s="39" t="str">
        <x:f>'In_Cases'!C4</x:f>
        <x:v>Test building 1</x:v>
      </x:c>
      <x:c r="D4" s="39" t="str">
        <x:f>'In_Cases'!D4</x:f>
        <x:v>upper</x:v>
      </x:c>
      <x:c r="E4" s="65" t="n">
        <x:f>'In_Cases'!H4+'In_Cases'!I4</x:f>
        <x:v>1868.6248464088608</x:v>
      </x:c>
      <x:c r="F4" s="65" t="n">
        <x:f>'In_Cases'!J4</x:f>
        <x:v>0</x:v>
      </x:c>
      <x:c r="G4" s="65" t="n">
        <x:f>'Settings_General'!$B$2*'Settings_General'!$B$3*'In_Cases'!L4/3600</x:f>
        <x:v>842.4075434875489</x:v>
      </x:c>
      <x:c r="H4" s="65" t="n">
        <x:f>'Settings_General'!$B$2*'Settings_General'!$B$3*'In_Cases'!K4/3600</x:f>
        <x:v>2156.563311328125</x:v>
      </x:c>
      <x:c r="I4" s="65" t="n">
        <x:f>'Settings_General'!$B$2*'Settings_General'!$B$3*('In_Cases'!K4*(1-'In_Cases'!M4)+'In_Cases'!L4)/3600</x:f>
        <x:v>1705.0328680187988</x:v>
      </x:c>
      <x:c r="J4" s="65" t="n">
        <x:f>E4+F4+I4</x:f>
        <x:v>3573.65771442766</x:v>
      </x:c>
      <x:c r="K4" s="65" t="n">
        <x:f>INDEX('Settings_Mass'!$B$2:$B$6,MATCH('In_Cases'!N4,'Settings_Mass'!$A$2:$A$6,0))</x:f>
        <x:v>165000</x:v>
      </x:c>
      <x:c r="L4" s="65" t="n">
        <x:f>K4*'In_Cases'!F4</x:f>
        <x:v>368815242.9199219</x:v>
      </x:c>
      <x:c r="M4" s="65" t="n">
        <x:f>L4/(3600*J4)</x:f>
        <x:v>28.667736749174054</x:v>
      </x:c>
      <x:c r="N4" s="65" t="n">
        <x:f>'Settings_General'!$B$4+M4/'Settings_General'!$B$5</x:f>
        <x:v>2.911182449944937</x:v>
      </x:c>
    </x:row>
    <x:row r="5">
      <x:c r="A5" s="39" t="str">
        <x:f>'In_Cases'!A5</x:f>
        <x:v>18|aggregate</x:v>
      </x:c>
      <x:c r="B5" s="39" t="str">
        <x:f>'In_Cases'!B5</x:f>
        <x:v>18</x:v>
      </x:c>
      <x:c r="C5" s="39" t="str">
        <x:f>'In_Cases'!C5</x:f>
        <x:v>Test building 2</x:v>
      </x:c>
      <x:c r="D5" s="39" t="str">
        <x:f>'In_Cases'!D5</x:f>
        <x:v>aggregate</x:v>
      </x:c>
      <x:c r="E5" s="65" t="n">
        <x:f>'In_Cases'!H5+'In_Cases'!I5</x:f>
        <x:v>1403.4632532651005</x:v>
      </x:c>
      <x:c r="F5" s="65" t="n">
        <x:f>'In_Cases'!J5</x:f>
        <x:v>436.72608474449464</x:v>
      </x:c>
      <x:c r="G5" s="65" t="n">
        <x:f>'Settings_General'!$B$2*'Settings_General'!$B$3*'In_Cases'!L5/3600</x:f>
        <x:v>630.1370719401042</x:v>
      </x:c>
      <x:c r="H5" s="65" t="n">
        <x:f>'Settings_General'!$B$2*'Settings_General'!$B$3*'In_Cases'!K5/3600</x:f>
        <x:v>1027.4795916943362</x:v>
      </x:c>
      <x:c r="I5" s="65" t="n">
        <x:f>'Settings_General'!$B$2*'Settings_General'!$B$3*('In_Cases'!K5*(1-'In_Cases'!M5)+'In_Cases'!L5)/3600</x:f>
        <x:v>1041.1289086178385</x:v>
      </x:c>
      <x:c r="J5" s="65" t="n">
        <x:f>E5+F5+I5</x:f>
        <x:v>2881.318246627434</x:v>
      </x:c>
      <x:c r="K5" s="65" t="n">
        <x:f>INDEX('Settings_Mass'!$B$2:$B$6,MATCH('In_Cases'!N5,'Settings_Mass'!$A$2:$A$6,0))</x:f>
        <x:v>260000</x:v>
      </x:c>
      <x:c r="L5" s="65" t="n">
        <x:f>K5*'In_Cases'!F5</x:f>
        <x:v>239214916.9921875</x:v>
      </x:c>
      <x:c r="M5" s="65" t="n">
        <x:f>L5/(3600*J5)</x:f>
        <x:v>23.06187042377672</x:v>
      </x:c>
      <x:c r="N5" s="65" t="n">
        <x:f>'Settings_General'!$B$4+M5/'Settings_General'!$B$5</x:f>
        <x:v>2.5374580282517814</x:v>
      </x:c>
    </x:row>
    <x:row r="6">
      <x:c r="A6" s="39" t="str">
        <x:f>'In_Cases'!A6</x:f>
        <x:v>18|lower</x:v>
      </x:c>
      <x:c r="B6" s="39" t="str">
        <x:f>'In_Cases'!B6</x:f>
        <x:v>18</x:v>
      </x:c>
      <x:c r="C6" s="39" t="str">
        <x:f>'In_Cases'!C6</x:f>
        <x:v>Test building 2</x:v>
      </x:c>
      <x:c r="D6" s="39" t="str">
        <x:f>'In_Cases'!D6</x:f>
        <x:v>lower</x:v>
      </x:c>
      <x:c r="E6" s="65" t="n">
        <x:f>'In_Cases'!H6+'In_Cases'!I6</x:f>
        <x:v>384.5161915993431</x:v>
      </x:c>
      <x:c r="F6" s="65" t="n">
        <x:f>'In_Cases'!J6</x:f>
        <x:v>436.72608474449464</x:v>
      </x:c>
      <x:c r="G6" s="65" t="n">
        <x:f>'Settings_General'!$B$2*'Settings_General'!$B$3*'In_Cases'!L6/3600</x:f>
        <x:v>82.19179199218752</x:v>
      </x:c>
      <x:c r="H6" s="65" t="n">
        <x:f>'Settings_General'!$B$2*'Settings_General'!$B$3*'In_Cases'!K6/3600</x:f>
        <x:v>1027.4795916943362</x:v>
      </x:c>
      <x:c r="I6" s="65" t="n">
        <x:f>'Settings_General'!$B$2*'Settings_General'!$B$3*('In_Cases'!K6*(1-'In_Cases'!M6)+'In_Cases'!L6)/3600</x:f>
        <x:v>493.1836286699219</x:v>
      </x:c>
      <x:c r="J6" s="65" t="n">
        <x:f>E6+F6+I6</x:f>
        <x:v>1314.4259050137596</x:v>
      </x:c>
      <x:c r="K6" s="65" t="n">
        <x:f>INDEX('Settings_Mass'!$B$2:$B$6,MATCH('In_Cases'!N6,'Settings_Mass'!$A$2:$A$6,0))</x:f>
        <x:v>260000</x:v>
      </x:c>
      <x:c r="L6" s="65" t="n">
        <x:f>K6*'In_Cases'!F6</x:f>
        <x:v>79738305.6640625</x:v>
      </x:c>
      <x:c r="M6" s="65" t="n">
        <x:f>L6/(3600*J6)</x:f>
        <x:v>16.851105312700458</x:v>
      </x:c>
      <x:c r="N6" s="65" t="n">
        <x:f>'Settings_General'!$B$4+M6/'Settings_General'!$B$5</x:f>
        <x:v>2.123407020846697</x:v>
      </x:c>
    </x:row>
    <x:row r="7">
      <x:c r="A7" s="39" t="str">
        <x:f>'In_Cases'!A7</x:f>
        <x:v>18|upper</x:v>
      </x:c>
      <x:c r="B7" s="39" t="str">
        <x:f>'In_Cases'!B7</x:f>
        <x:v>18</x:v>
      </x:c>
      <x:c r="C7" s="39" t="str">
        <x:f>'In_Cases'!C7</x:f>
        <x:v>Test building 2</x:v>
      </x:c>
      <x:c r="D7" s="39" t="str">
        <x:f>'In_Cases'!D7</x:f>
        <x:v>upper</x:v>
      </x:c>
      <x:c r="E7" s="65" t="n">
        <x:f>'In_Cases'!H7+'In_Cases'!I7</x:f>
        <x:v>1018.9470616657575</x:v>
      </x:c>
      <x:c r="F7" s="65" t="n">
        <x:f>'In_Cases'!J7</x:f>
        <x:v>0</x:v>
      </x:c>
      <x:c r="G7" s="65" t="n">
        <x:f>'Settings_General'!$B$2*'Settings_General'!$B$3*'In_Cases'!L7/3600</x:f>
        <x:v>547.9452799479168</x:v>
      </x:c>
      <x:c r="H7" s="65" t="n">
        <x:f>'Settings_General'!$B$2*'Settings_General'!$B$3*'In_Cases'!K7/3600</x:f>
        <x:v>0</x:v>
      </x:c>
      <x:c r="I7" s="65" t="n">
        <x:f>'Settings_General'!$B$2*'Settings_General'!$B$3*('In_Cases'!K7*(1-'In_Cases'!M7)+'In_Cases'!L7)/3600</x:f>
        <x:v>547.9452799479168</x:v>
      </x:c>
      <x:c r="J7" s="65" t="n">
        <x:f>E7+F7+I7</x:f>
        <x:v>1566.8923416136743</x:v>
      </x:c>
      <x:c r="K7" s="65" t="n">
        <x:f>INDEX('Settings_Mass'!$B$2:$B$6,MATCH('In_Cases'!N7,'Settings_Mass'!$A$2:$A$6,0))</x:f>
        <x:v>165000</x:v>
      </x:c>
      <x:c r="L7" s="65" t="n">
        <x:f>K7*'In_Cases'!F7</x:f>
        <x:v>101206311.03515625</x:v>
      </x:c>
      <x:c r="M7" s="65" t="n">
        <x:f>L7/(3600*J7)</x:f>
        <x:v>17.941796912147822</x:v>
      </x:c>
      <x:c r="N7" s="65" t="n">
        <x:f>'Settings_General'!$B$4+M7/'Settings_General'!$B$5</x:f>
        <x:v>2.196119794143188</x:v>
      </x:c>
    </x:row>
    <x:row r="8">
      <x:c r="A8" s="39" t="str">
        <x:f>'In_Cases'!A8</x:f>
        <x:v>19|aggregate</x:v>
      </x:c>
      <x:c r="B8" s="39" t="str">
        <x:f>'In_Cases'!B8</x:f>
        <x:v>19</x:v>
      </x:c>
      <x:c r="C8" s="39" t="str">
        <x:f>'In_Cases'!C8</x:f>
        <x:v>Test building 3</x:v>
      </x:c>
      <x:c r="D8" s="39" t="str">
        <x:f>'In_Cases'!D8</x:f>
        <x:v>aggregate</x:v>
      </x:c>
      <x:c r="E8" s="65" t="n">
        <x:f>'In_Cases'!H8+'In_Cases'!I8</x:f>
        <x:v>1658.590091425961</x:v>
      </x:c>
      <x:c r="F8" s="65" t="n">
        <x:f>'In_Cases'!J8</x:f>
        <x:v>553.9791561624645</x:v>
      </x:c>
      <x:c r="G8" s="65" t="n">
        <x:f>'Settings_General'!$B$2*'Settings_General'!$B$3*'In_Cases'!L8/3600</x:f>
        <x:v>3010.472985351563</x:v>
      </x:c>
      <x:c r="H8" s="65" t="n">
        <x:f>'Settings_General'!$B$2*'Settings_General'!$B$3*'In_Cases'!K8/3600</x:f>
        <x:v>1303.3393173984375</x:v>
      </x:c>
      <x:c r="I8" s="65" t="n">
        <x:f>'Settings_General'!$B$2*'Settings_General'!$B$3*('In_Cases'!K8*(1-'In_Cases'!M8)+'In_Cases'!L8)/3600</x:f>
        <x:v>3531.808712310938</x:v>
      </x:c>
      <x:c r="J8" s="65" t="n">
        <x:f>E8+F8+I8</x:f>
        <x:v>5744.377959899363</x:v>
      </x:c>
      <x:c r="K8" s="65" t="n">
        <x:f>INDEX('Settings_Mass'!$B$2:$B$6,MATCH('In_Cases'!N8,'Settings_Mass'!$A$2:$A$6,0))</x:f>
        <x:v>165000</x:v>
      </x:c>
      <x:c r="L8" s="65" t="n">
        <x:f>K8*'In_Cases'!F8</x:f>
        <x:v>256756757.8125</x:v>
      </x:c>
      <x:c r="M8" s="65" t="n">
        <x:f>L8/(3600*J8)</x:f>
        <x:v>12.415847653560878</x:v>
      </x:c>
      <x:c r="N8" s="65" t="n">
        <x:f>'Settings_General'!$B$4+M8/'Settings_General'!$B$5</x:f>
        <x:v>1.8277231769040585</x:v>
      </x:c>
    </x:row>
    <x:row r="9">
      <x:c r="A9" s="39" t="str">
        <x:f>'In_Cases'!A9</x:f>
        <x:v>19|lower</x:v>
      </x:c>
      <x:c r="B9" s="39" t="str">
        <x:f>'In_Cases'!B9</x:f>
        <x:v>19</x:v>
      </x:c>
      <x:c r="C9" s="39" t="str">
        <x:f>'In_Cases'!C9</x:f>
        <x:v>Test building 3</x:v>
      </x:c>
      <x:c r="D9" s="39" t="str">
        <x:f>'In_Cases'!D9</x:f>
        <x:v>lower</x:v>
      </x:c>
      <x:c r="E9" s="65" t="n">
        <x:f>'In_Cases'!H9+'In_Cases'!I9</x:f>
        <x:v>335.3944581060757</x:v>
      </x:c>
      <x:c r="F9" s="65" t="n">
        <x:f>'In_Cases'!J9</x:f>
        <x:v>553.9791561624645</x:v>
      </x:c>
      <x:c r="G9" s="65" t="n">
        <x:f>'Settings_General'!$B$2*'Settings_General'!$B$3*'In_Cases'!L9/3600</x:f>
        <x:v>273.6793623046875</x:v>
      </x:c>
      <x:c r="H9" s="65" t="n">
        <x:f>'Settings_General'!$B$2*'Settings_General'!$B$3*'In_Cases'!K9/3600</x:f>
        <x:v>1303.3393173984375</x:v>
      </x:c>
      <x:c r="I9" s="65" t="n">
        <x:f>'Settings_General'!$B$2*'Settings_General'!$B$3*('In_Cases'!K9*(1-'In_Cases'!M9)+'In_Cases'!L9)/3600</x:f>
        <x:v>795.0150892640627</x:v>
      </x:c>
      <x:c r="J9" s="65" t="n">
        <x:f>E9+F9+I9</x:f>
        <x:v>1684.388703532603</x:v>
      </x:c>
      <x:c r="K9" s="65" t="n">
        <x:f>INDEX('Settings_Mass'!$B$2:$B$6,MATCH('In_Cases'!N9,'Settings_Mass'!$A$2:$A$6,0))</x:f>
        <x:v>260000</x:v>
      </x:c>
      <x:c r="L9" s="65" t="n">
        <x:f>K9*'In_Cases'!F9</x:f>
        <x:v>101146601.5625</x:v>
      </x:c>
      <x:c r="M9" s="65" t="n">
        <x:f>L9/(3600*J9)</x:f>
        <x:v>16.680400523276084</x:v>
      </x:c>
      <x:c r="N9" s="65" t="n">
        <x:f>'Settings_General'!$B$4+M9/'Settings_General'!$B$5</x:f>
        <x:v>2.1120267015517387</x:v>
      </x:c>
    </x:row>
    <x:row r="10">
      <x:c r="A10" s="39" t="str">
        <x:f>'In_Cases'!A10</x:f>
        <x:v>19|upper</x:v>
      </x:c>
      <x:c r="B10" s="39" t="str">
        <x:f>'In_Cases'!B10</x:f>
        <x:v>19</x:v>
      </x:c>
      <x:c r="C10" s="39" t="str">
        <x:f>'In_Cases'!C10</x:f>
        <x:v>Test building 3</x:v>
      </x:c>
      <x:c r="D10" s="39" t="str">
        <x:f>'In_Cases'!D10</x:f>
        <x:v>upper</x:v>
      </x:c>
      <x:c r="E10" s="65" t="n">
        <x:f>'In_Cases'!H10+'In_Cases'!I10</x:f>
        <x:v>1323.1956333198852</x:v>
      </x:c>
      <x:c r="F10" s="65" t="n">
        <x:f>'In_Cases'!J10</x:f>
        <x:v>0</x:v>
      </x:c>
      <x:c r="G10" s="65" t="n">
        <x:f>'Settings_General'!$B$2*'Settings_General'!$B$3*'In_Cases'!L10/3600</x:f>
        <x:v>2736.7936230468754</x:v>
      </x:c>
      <x:c r="H10" s="65" t="n">
        <x:f>'Settings_General'!$B$2*'Settings_General'!$B$3*'In_Cases'!K10/3600</x:f>
        <x:v>0</x:v>
      </x:c>
      <x:c r="I10" s="65" t="n">
        <x:f>'Settings_General'!$B$2*'Settings_General'!$B$3*('In_Cases'!K10*(1-'In_Cases'!M10)+'In_Cases'!L10)/3600</x:f>
        <x:v>2736.7936230468754</x:v>
      </x:c>
      <x:c r="J10" s="65" t="n">
        <x:f>E10+F10+I10</x:f>
        <x:v>4059.989256366761</x:v>
      </x:c>
      <x:c r="K10" s="65" t="n">
        <x:f>INDEX('Settings_Mass'!$B$2:$B$6,MATCH('In_Cases'!N10,'Settings_Mass'!$A$2:$A$6,0))</x:f>
        <x:v>165000</x:v>
      </x:c>
      <x:c r="L10" s="65" t="n">
        <x:f>K10*'In_Cases'!F10</x:f>
        <x:v>192567568.359375</x:v>
      </x:c>
      <x:c r="M10" s="65" t="n">
        <x:f>L10/(3600*J10)</x:f>
        <x:v>13.175155852211784</x:v>
      </x:c>
      <x:c r="N10" s="65" t="n">
        <x:f>'Settings_General'!$B$4+M10/'Settings_General'!$B$5</x:f>
        <x:v>1.8783437234807856</x:v>
      </x:c>
    </x:row>
    <x:row r="11">
      <x:c r="A11" s="39" t="str">
        <x:f>'In_Cases'!A11</x:f>
        <x:v>20|aggregate</x:v>
      </x:c>
      <x:c r="B11" s="39" t="str">
        <x:f>'In_Cases'!B11</x:f>
        <x:v>20</x:v>
      </x:c>
      <x:c r="C11" s="39" t="str">
        <x:f>'In_Cases'!C11</x:f>
        <x:v>Test building 4</x:v>
      </x:c>
      <x:c r="D11" s="39" t="str">
        <x:f>'In_Cases'!D11</x:f>
        <x:v>aggregate</x:v>
      </x:c>
      <x:c r="E11" s="65" t="n">
        <x:f>'In_Cases'!H11+'In_Cases'!I11</x:f>
        <x:v>7513.213057430282</x:v>
      </x:c>
      <x:c r="F11" s="65" t="n">
        <x:f>'In_Cases'!J11</x:f>
        <x:v>2395.802151535024</x:v>
      </x:c>
      <x:c r="G11" s="65" t="n">
        <x:f>'Settings_General'!$B$2*'Settings_General'!$B$3*'In_Cases'!L11/3600</x:f>
        <x:v>6289.9106365722655</x:v>
      </x:c>
      <x:c r="H11" s="65" t="n">
        <x:f>'Settings_General'!$B$2*'Settings_General'!$B$3*'In_Cases'!K11/3600</x:f>
        <x:v>11362.419214453124</x:v>
      </x:c>
      <x:c r="I11" s="65" t="n">
        <x:f>'Settings_General'!$B$2*'Settings_General'!$B$3*('In_Cases'!K11*(1-'In_Cases'!M11)+'In_Cases'!L11)/3600</x:f>
        <x:v>10834.878322353516</x:v>
      </x:c>
      <x:c r="J11" s="65" t="n">
        <x:f>E11+F11+I11</x:f>
        <x:v>20743.89353131882</x:v>
      </x:c>
      <x:c r="K11" s="65" t="n">
        <x:f>INDEX('Settings_Mass'!$B$2:$B$6,MATCH('In_Cases'!N11,'Settings_Mass'!$A$2:$A$6,0))</x:f>
        <x:v>165000</x:v>
      </x:c>
      <x:c r="L11" s="65" t="n">
        <x:f>K11*'In_Cases'!F11</x:f>
        <x:v>2220799775.390625</x:v>
      </x:c>
      <x:c r="M11" s="65" t="n">
        <x:f>L11/(3600*J11)</x:f>
        <x:v>29.738333624110936</x:v>
      </x:c>
      <x:c r="N11" s="65" t="n">
        <x:f>'Settings_General'!$B$4+M11/'Settings_General'!$B$5</x:f>
        <x:v>2.9825555749407293</x:v>
      </x:c>
    </x:row>
    <x:row r="12">
      <x:c r="A12" s="39" t="str">
        <x:f>'In_Cases'!A12</x:f>
        <x:v>20|lower</x:v>
      </x:c>
      <x:c r="B12" s="39" t="str">
        <x:f>'In_Cases'!B12</x:f>
        <x:v>20</x:v>
      </x:c>
      <x:c r="C12" s="39" t="str">
        <x:f>'In_Cases'!C12</x:f>
        <x:v>Test building 4</x:v>
      </x:c>
      <x:c r="D12" s="39" t="str">
        <x:f>'In_Cases'!D12</x:f>
        <x:v>lower</x:v>
      </x:c>
      <x:c r="E12" s="65" t="n">
        <x:f>'In_Cases'!H12+'In_Cases'!I12</x:f>
        <x:v>767.7781599708314</x:v>
      </x:c>
      <x:c r="F12" s="65" t="n">
        <x:f>'In_Cases'!J12</x:f>
        <x:v>2395.802151535024</x:v>
      </x:c>
      <x:c r="G12" s="65" t="n">
        <x:f>'Settings_General'!$B$2*'Settings_General'!$B$3*'In_Cases'!L12/3600</x:f>
        <x:v>2029.0034311523445</x:v>
      </x:c>
      <x:c r="H12" s="65" t="n">
        <x:f>'Settings_General'!$B$2*'Settings_General'!$B$3*'In_Cases'!K12/3600</x:f>
        <x:v>0</x:v>
      </x:c>
      <x:c r="I12" s="65" t="n">
        <x:f>'Settings_General'!$B$2*'Settings_General'!$B$3*('In_Cases'!K12*(1-'In_Cases'!M12)+'In_Cases'!L12)/3600</x:f>
        <x:v>2029.0034311523445</x:v>
      </x:c>
      <x:c r="J12" s="65" t="n">
        <x:f>E12+F12+I12</x:f>
        <x:v>5192.5837426582</x:v>
      </x:c>
      <x:c r="K12" s="65" t="n">
        <x:f>INDEX('Settings_Mass'!$B$2:$B$6,MATCH('In_Cases'!N12,'Settings_Mass'!$A$2:$A$6,0))</x:f>
        <x:v>260000</x:v>
      </x:c>
      <x:c r="L12" s="65" t="n">
        <x:f>K12*'In_Cases'!F12</x:f>
        <x:v>437430258.7890625</x:v>
      </x:c>
      <x:c r="M12" s="65" t="n">
        <x:f>L12/(3600*J12)</x:f>
        <x:v>23.400374696120192</x:v>
      </x:c>
      <x:c r="N12" s="65" t="n">
        <x:f>'Settings_General'!$B$4+M12/'Settings_General'!$B$5</x:f>
        <x:v>2.560024979741346</x:v>
      </x:c>
    </x:row>
    <x:row r="13">
      <x:c r="A13" s="39" t="str">
        <x:f>'In_Cases'!A13</x:f>
        <x:v>20|upper</x:v>
      </x:c>
      <x:c r="B13" s="39" t="str">
        <x:f>'In_Cases'!B13</x:f>
        <x:v>20</x:v>
      </x:c>
      <x:c r="C13" s="39" t="str">
        <x:f>'In_Cases'!C13</x:f>
        <x:v>Test building 4</x:v>
      </x:c>
      <x:c r="D13" s="39" t="str">
        <x:f>'In_Cases'!D13</x:f>
        <x:v>upper</x:v>
      </x:c>
      <x:c r="E13" s="65" t="n">
        <x:f>'In_Cases'!H13+'In_Cases'!I13</x:f>
        <x:v>6745.43489745945</x:v>
      </x:c>
      <x:c r="F13" s="65" t="n">
        <x:f>'In_Cases'!J13</x:f>
        <x:v>0</x:v>
      </x:c>
      <x:c r="G13" s="65" t="n">
        <x:f>'Settings_General'!$B$2*'Settings_General'!$B$3*'In_Cases'!L13/3600</x:f>
        <x:v>4260.907205419921</x:v>
      </x:c>
      <x:c r="H13" s="65" t="n">
        <x:f>'Settings_General'!$B$2*'Settings_General'!$B$3*'In_Cases'!K13/3600</x:f>
        <x:v>11362.419214453124</x:v>
      </x:c>
      <x:c r="I13" s="65" t="n">
        <x:f>'Settings_General'!$B$2*'Settings_General'!$B$3*('In_Cases'!K13*(1-'In_Cases'!M13)+'In_Cases'!L13)/3600</x:f>
        <x:v>8805.874891201172</x:v>
      </x:c>
      <x:c r="J13" s="65" t="n">
        <x:f>E13+F13+I13</x:f>
        <x:v>15551.309788660623</x:v>
      </x:c>
      <x:c r="K13" s="65" t="n">
        <x:f>INDEX('Settings_Mass'!$B$2:$B$6,MATCH('In_Cases'!N13,'Settings_Mass'!$A$2:$A$6,0))</x:f>
        <x:v>165000</x:v>
      </x:c>
      <x:c r="L13" s="65" t="n">
        <x:f>K13*'In_Cases'!F13</x:f>
        <x:v>1943199803.4667969</x:v>
      </x:c>
      <x:c r="M13" s="65" t="n">
        <x:f>L13/(3600*J13)</x:f>
        <x:v>34.70947016815298</x:v>
      </x:c>
      <x:c r="N13" s="65" t="n">
        <x:f>'Settings_General'!$B$4+M13/'Settings_General'!$B$5</x:f>
        <x:v>3.3139646778768657</x:v>
      </x:c>
    </x:row>
    <x:row r="14">
      <x:c r="A14" s="39" t="str">
        <x:f>'In_Cases'!A14</x:f>
        <x:v>21|aggregate</x:v>
      </x:c>
      <x:c r="B14" s="39" t="str">
        <x:f>'In_Cases'!B14</x:f>
        <x:v>21</x:v>
      </x:c>
      <x:c r="C14" s="39" t="str">
        <x:f>'In_Cases'!C14</x:f>
        <x:v>Test building 5</x:v>
      </x:c>
      <x:c r="D14" s="39" t="str">
        <x:f>'In_Cases'!D14</x:f>
        <x:v>aggregate</x:v>
      </x:c>
      <x:c r="E14" s="65" t="n">
        <x:f>'In_Cases'!H14+'In_Cases'!I14</x:f>
        <x:v>21607.52930411789</x:v>
      </x:c>
      <x:c r="F14" s="65" t="n">
        <x:f>'In_Cases'!J14</x:f>
        <x:v>5191.535376008943</x:v>
      </x:c>
      <x:c r="G14" s="65" t="n">
        <x:f>'Settings_General'!$B$2*'Settings_General'!$B$3*'In_Cases'!L14/3600</x:f>
        <x:v>9233.087330126948</x:v>
      </x:c>
      <x:c r="H14" s="65" t="n">
        <x:f>'Settings_General'!$B$2*'Settings_General'!$B$3*'In_Cases'!K14/3600</x:f>
        <x:v>42208.3992234375</x:v>
      </x:c>
      <x:c r="I14" s="65" t="n">
        <x:f>'Settings_General'!$B$2*'Settings_General'!$B$3*('In_Cases'!K14*(1-'In_Cases'!M14)+'In_Cases'!L14)/3600</x:f>
        <x:v>26116.44701950195</x:v>
      </x:c>
      <x:c r="J14" s="65" t="n">
        <x:f>E14+F14+I14</x:f>
        <x:v>52915.51169962878</x:v>
      </x:c>
      <x:c r="K14" s="65" t="n">
        <x:f>INDEX('Settings_Mass'!$B$2:$B$6,MATCH('In_Cases'!N14,'Settings_Mass'!$A$2:$A$6,0))</x:f>
        <x:v>165000</x:v>
      </x:c>
      <x:c r="L14" s="65" t="n">
        <x:f>K14*'In_Cases'!F14</x:f>
        <x:v>7218476235.3515625</x:v>
      </x:c>
      <x:c r="M14" s="65" t="n">
        <x:f>L14/(3600*J14)</x:f>
        <x:v>37.89309076286837</x:v>
      </x:c>
      <x:c r="N14" s="65" t="n">
        <x:f>'Settings_General'!$B$4+M14/'Settings_General'!$B$5</x:f>
        <x:v>3.5262060508578914</x:v>
      </x:c>
    </x:row>
  </x:sheetData>
  <x:pageMargins left="0.7" right="0.7" top="0.75" bottom="0.75" header="0.3" footer="0.3"/>
  <x:tableParts count="1">
    <x:tablePart xmlns:r="http://schemas.openxmlformats.org/officeDocument/2006/relationships" r:id="R9eb2c60b903f42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period_id</x:v>
      </x:c>
      <x:c r="F1" s="33" t="str">
        <x:v>days</x:v>
      </x:c>
      <x:c r="G1" s="33" t="str">
        <x:v>hours</x:v>
      </x:c>
      <x:c r="H1" s="33" t="str">
        <x:v>outdoor_temp_C</x:v>
      </x:c>
      <x:c r="I1" s="33" t="str">
        <x:v>heating_fraction</x:v>
      </x:c>
      <x:c r="J1" s="33" t="str">
        <x:v>cooling_fraction</x:v>
      </x:c>
      <x:c r="K1" s="33" t="str">
        <x:v>total_gain_kWh</x:v>
      </x:c>
      <x:c r="L1" s="33" t="str">
        <x:v>H_direct_W_K</x:v>
      </x:c>
      <x:c r="M1" s="33" t="str">
        <x:v>H_vent_raw_W_K</x:v>
      </x:c>
      <x:c r="N1" s="33" t="str">
        <x:v>heating_heat_transfer_kWh</x:v>
      </x:c>
      <x:c r="O1" s="33" t="str">
        <x:v>gamma_heating</x:v>
      </x:c>
      <x:c r="P1" s="33" t="str">
        <x:v>eta_heating</x:v>
      </x:c>
      <x:c r="Q1" s="33" t="str">
        <x:v>zone_sensible_heating_kWh</x:v>
      </x:c>
      <x:c r="R1" s="33" t="str">
        <x:v>cooling_heat_transfer_kWh</x:v>
      </x:c>
      <x:c r="S1" s="33" t="str">
        <x:v>gamma_cooling</x:v>
      </x:c>
      <x:c r="T1" s="33" t="str">
        <x:v>eta_cooling</x:v>
      </x:c>
      <x:c r="U1" s="33" t="str">
        <x:v>zone_sensible_cooling_kWh</x:v>
      </x:c>
      <x:c r="V1" s="33" t="str">
        <x:v>neutral_fraction</x:v>
      </x:c>
      <x:c r="W1" s="33" t="str">
        <x:v>T_mixed_heating_C</x:v>
      </x:c>
      <x:c r="X1" s="33" t="str">
        <x:v>T_mixed_cooling_C</x:v>
      </x:c>
      <x:c r="Y1" s="33" t="str">
        <x:v>T_mixed_neutral_C</x:v>
      </x:c>
      <x:c r="Z1" s="33" t="str">
        <x:v>coil_heating_segment_kWh</x:v>
      </x:c>
      <x:c r="AA1" s="33" t="str">
        <x:v>coil_cooling_segment_kWh</x:v>
      </x:c>
      <x:c r="AB1" s="33" t="str">
        <x:v>coil_neutral_segment_kWh</x:v>
      </x:c>
      <x:c r="AC1" s="33" t="str">
        <x:v>ahu_sensible_heating_kWh</x:v>
      </x:c>
      <x:c r="AD1" s="33" t="str">
        <x:v>ahu_sensible_cooling_kWh</x:v>
      </x:c>
      <x:c r="AE1" s="33" t="str">
        <x:v>useful_heating_kWh</x:v>
      </x:c>
      <x:c r="AF1" s="33" t="str">
        <x:v>useful_cooling_kWh</x:v>
      </x:c>
    </x:row>
    <x:row r="2">
      <x:c r="A2" s="38" t="str">
        <x:f>'In_Monthly'!A2</x:f>
        <x:v>1|aggregate</x:v>
      </x:c>
      <x:c r="B2" s="38" t="str">
        <x:f>'In_Monthly'!B2</x:f>
        <x:v>1</x:v>
      </x:c>
      <x:c r="C2" s="38" t="str">
        <x:f>'In_Monthly'!C2</x:f>
        <x:v>Test building 1</x:v>
      </x:c>
      <x:c r="D2" s="38" t="str">
        <x:f>'In_Monthly'!D2</x:f>
        <x:v>aggregate</x:v>
      </x:c>
      <x:c r="E2" s="38" t="str">
        <x:f>'In_Monthly'!E2</x:f>
        <x:v>2023-01</x:v>
      </x:c>
      <x:c r="F2" s="64" t="n">
        <x:f>'In_Monthly'!F2</x:f>
        <x:v>31</x:v>
      </x:c>
      <x:c r="G2" s="64" t="n">
        <x:f>F2*24</x:f>
        <x:v>744</x:v>
      </x:c>
      <x:c r="H2" s="64" t="n">
        <x:f>'In_Monthly'!G2</x:f>
        <x:v>2.638440860215054</x:v>
      </x:c>
      <x:c r="I2" s="64" t="n">
        <x:f>'In_Monthly'!K2</x:f>
        <x:v>1</x:v>
      </x:c>
      <x:c r="J2" s="64" t="n">
        <x:f>'In_Monthly'!L2</x:f>
        <x:v>0</x:v>
      </x:c>
      <x:c r="K2" s="64" t="n">
        <x:f>'In_Monthly'!J2*G2/1000</x:f>
        <x:v>19931.161299073487</x:v>
      </x:c>
      <x:c r="L2" s="64" t="n">
        <x:f>'Calc_Case'!E2+'Calc_Case'!F2+'Calc_Case'!G2</x:f>
        <x:v>4473.333005701532</x:v>
      </x:c>
      <x:c r="M2" s="64" t="n">
        <x:f>'Calc_Case'!H2</x:f>
        <x:v>4652.78534419043</x:v>
      </x:c>
      <x:c r="N2" s="64" t="n">
        <x:f>(L2*('In_Cases'!O2-H2)+M2*('In_Cases'!O2-'In_Cases'!U2))*G2*I2/1000</x:f>
        <x:v>54253.61386865115</x:v>
      </x:c>
      <x:c r="O2" s="64" t="n">
        <x:f>IF(N2&lt;=0,"",K2/N2)</x:f>
        <x:v>0.367370205924478</x:v>
      </x:c>
      <x:c r="P2" s="64" t="n">
        <x:f>IF(N2&lt;=0,0,IF(ABS(O2-1)&lt;1E-9,'Calc_Case'!N2/('Calc_Case'!N2+1),(1-POWER(O2,'Calc_Case'!N2))/(1-POWER(O2,'Calc_Case'!N2+1))))</x:f>
        <x:v>0.9430942414734079</x:v>
      </x:c>
      <x:c r="Q2" s="64" t="n">
        <x:f>IF(N2&lt;=0,0,MAX(0,N2-P2*K2))</x:f>
        <x:v>35456.65042161729</x:v>
      </x:c>
      <x:c r="R2" s="64" t="n">
        <x:f>IF(J2&lt;=0,0,MAX(1E-12,(L2*('In_Cases'!P2-H2)+M2*('In_Cases'!P2-'In_Cases'!V2))*G2*J2/1000))</x:f>
        <x:v>0</x:v>
      </x:c>
      <x:c r="S2" s="64" t="str">
        <x:f>IF(J2&lt;=0,"",K2/R2)</x:f>
      </x:c>
      <x:c r="T2" s="64" t="n">
        <x:f>IF(J2&lt;=0,0,IF(ABS(S2-1)&lt;1E-9,'Calc_Case'!N2/('Calc_Case'!N2+1),(1-POWER(S2,-'Calc_Case'!N2))/(1-POWER(S2,-'Calc_Case'!N2-1))))</x:f>
        <x:v>0</x:v>
      </x:c>
      <x:c r="U2" s="64" t="n">
        <x:f>IF(J2&lt;=0,0,'In_Cases'!Q2*MAX(0,K2-T2*R2))</x:f>
        <x:v>0</x:v>
      </x:c>
      <x:c r="V2" s="64" t="n">
        <x:f>MAX(0,1-I2-J2)</x:f>
        <x:v>0</x:v>
      </x:c>
      <x:c r="W2" s="64" t="n">
        <x:f>'In_Cases'!T2*(H2+'In_Cases'!S2*('In_Cases'!O2-H2))+(1-'In_Cases'!T2)*'In_Cases'!O2</x:f>
        <x:v>13.355376344086018</x:v>
      </x:c>
      <x:c r="X2" s="64" t="n">
        <x:f>'In_Cases'!T2*(H2+'In_Cases'!S2*('In_Cases'!P2-H2))+(1-'In_Cases'!T2)*'In_Cases'!P2</x:f>
        <x:v>16.655376344086015</x:v>
      </x:c>
      <x:c r="Y2" s="64" t="n">
        <x:f>'In_Cases'!T2*(H2+'In_Cases'!S2*((('In_Cases'!O2+'In_Cases'!P2)/2)-H2))+(1-'In_Cases'!T2)*(('In_Cases'!O2+'In_Cases'!P2)/2)</x:f>
        <x:v>15.005376344086018</x:v>
      </x:c>
      <x:c r="Z2" s="64" t="n">
        <x:f>'In_Cases'!R2*M2*('In_Cases'!U2-W2)*G2*I2/1000</x:f>
        <x:v>29924.854219695168</x:v>
      </x:c>
      <x:c r="AA2" s="64" t="n">
        <x:f>'In_Cases'!R2*M2*('In_Cases'!V2-X2)*G2*J2/1000</x:f>
        <x:v>0</x:v>
      </x:c>
      <x:c r="AB2" s="64" t="n">
        <x:f>'In_Cases'!R2*M2*('In_Cases'!V2-Y2)*G2*V2/1000</x:f>
        <x:v>0</x:v>
      </x:c>
      <x:c r="AC2" s="64" t="n">
        <x:f>MAX(0,Z2)+MAX(0,AA2)+MAX(0,AB2)</x:f>
        <x:v>29924.854219695168</x:v>
      </x:c>
      <x:c r="AD2" s="64" t="n">
        <x:f>MAX(0,-Z2)+MAX(0,-AA2)+MAX(0,-AB2)</x:f>
        <x:v>0</x:v>
      </x:c>
      <x:c r="AE2" s="64" t="n">
        <x:f>Q2+AC2</x:f>
        <x:v>65381.50464131246</x:v>
      </x:c>
      <x:c r="AF2" s="64" t="n">
        <x:f>U2+AD2</x:f>
        <x:v>0</x:v>
      </x:c>
    </x:row>
    <x:row r="3">
      <x:c r="A3" s="39" t="str">
        <x:f>'In_Monthly'!A3</x:f>
        <x:v>1|aggregate</x:v>
      </x:c>
      <x:c r="B3" s="39" t="str">
        <x:f>'In_Monthly'!B3</x:f>
        <x:v>1</x:v>
      </x:c>
      <x:c r="C3" s="39" t="str">
        <x:f>'In_Monthly'!C3</x:f>
        <x:v>Test building 1</x:v>
      </x:c>
      <x:c r="D3" s="39" t="str">
        <x:f>'In_Monthly'!D3</x:f>
        <x:v>aggregate</x:v>
      </x:c>
      <x:c r="E3" s="39" t="str">
        <x:f>'In_Monthly'!E3</x:f>
        <x:v>2023-02</x:v>
      </x:c>
      <x:c r="F3" s="65" t="n">
        <x:f>'In_Monthly'!F3</x:f>
        <x:v>28</x:v>
      </x:c>
      <x:c r="G3" s="65" t="n">
        <x:f>F3*24</x:f>
        <x:v>672</x:v>
      </x:c>
      <x:c r="H3" s="65" t="n">
        <x:f>'In_Monthly'!G3</x:f>
        <x:v>3.8903273809523813</x:v>
      </x:c>
      <x:c r="I3" s="65" t="n">
        <x:f>'In_Monthly'!K3</x:f>
        <x:v>1</x:v>
      </x:c>
      <x:c r="J3" s="65" t="n">
        <x:f>'In_Monthly'!L3</x:f>
        <x:v>0</x:v>
      </x:c>
      <x:c r="K3" s="65" t="n">
        <x:f>'In_Monthly'!J3*G3/1000</x:f>
        <x:v>19017.11487369299</x:v>
      </x:c>
      <x:c r="L3" s="65" t="n">
        <x:f>'Calc_Case'!E2+'Calc_Case'!F2+'Calc_Case'!G2</x:f>
        <x:v>4473.333005701532</x:v>
      </x:c>
      <x:c r="M3" s="65" t="n">
        <x:f>'Calc_Case'!H2</x:f>
        <x:v>4652.78534419043</x:v>
      </x:c>
      <x:c r="N3" s="65" t="n">
        <x:f>(L3*('In_Cases'!O2-H3)+M3*('In_Cases'!O2-'In_Cases'!U2))*G3*I3/1000</x:f>
        <x:v>45239.99338279484</x:v>
      </x:c>
      <x:c r="O3" s="65" t="n">
        <x:f>IF(N3&lt;=0,"",K3/N3)</x:f>
        <x:v>0.4203606908776729</x:v>
      </x:c>
      <x:c r="P3" s="65" t="n">
        <x:f>IF(N3&lt;=0,0,IF(ABS(O3-1)&lt;1E-9,'Calc_Case'!N2/('Calc_Case'!N2+1),(1-POWER(O3,'Calc_Case'!N2))/(1-POWER(O3,'Calc_Case'!N2+1))))</x:f>
        <x:v>0.9261504079350203</x:v>
      </x:c>
      <x:c r="Q3" s="65" t="n">
        <x:f>IF(N3&lt;=0,0,MAX(0,N3-P3*K3))</x:f>
        <x:v>27627.284684776936</x:v>
      </x:c>
      <x:c r="R3" s="65" t="n">
        <x:f>IF(J3&lt;=0,0,MAX(1E-12,(L3*('In_Cases'!P2-H3)+M3*('In_Cases'!P2-'In_Cases'!V2))*G3*J3/1000))</x:f>
        <x:v>0</x:v>
      </x:c>
      <x:c r="S3" s="65" t="str">
        <x:f>IF(J3&lt;=0,"",K3/R3)</x:f>
      </x:c>
      <x:c r="T3" s="65" t="n">
        <x:f>IF(J3&lt;=0,0,IF(ABS(S3-1)&lt;1E-9,'Calc_Case'!N2/('Calc_Case'!N2+1),(1-POWER(S3,-'Calc_Case'!N2))/(1-POWER(S3,-'Calc_Case'!N2-1))))</x:f>
        <x:v>0</x:v>
      </x:c>
      <x:c r="U3" s="65" t="n">
        <x:f>IF(J3&lt;=0,0,'In_Cases'!Q2*MAX(0,K3-T3*R3))</x:f>
        <x:v>0</x:v>
      </x:c>
      <x:c r="V3" s="65" t="n">
        <x:f>MAX(0,1-I3-J3)</x:f>
        <x:v>0</x:v>
      </x:c>
      <x:c r="W3" s="65" t="n">
        <x:f>'In_Cases'!T2*(H3+'In_Cases'!S2*('In_Cases'!O2-H3))+(1-'In_Cases'!T2)*'In_Cases'!O2</x:f>
        <x:v>13.856130952380951</x:v>
      </x:c>
      <x:c r="X3" s="65" t="n">
        <x:f>'In_Cases'!T2*(H3+'In_Cases'!S2*('In_Cases'!P2-H3))+(1-'In_Cases'!T2)*'In_Cases'!P2</x:f>
        <x:v>17.15613095238095</x:v>
      </x:c>
      <x:c r="Y3" s="65" t="n">
        <x:f>'In_Cases'!T2*(H3+'In_Cases'!S2*((('In_Cases'!O2+'In_Cases'!P2)/2)-H3))+(1-'In_Cases'!T2)*(('In_Cases'!O2+'In_Cases'!P2)/2)</x:f>
        <x:v>15.50613095238095</x:v>
      </x:c>
      <x:c r="Z3" s="65" t="n">
        <x:f>'In_Cases'!R2*M3*('In_Cases'!U2-W3)*G3*I3/1000</x:f>
        <x:v>25463.20529744407</x:v>
      </x:c>
      <x:c r="AA3" s="65" t="n">
        <x:f>'In_Cases'!R2*M3*('In_Cases'!V2-X3)*G3*J3/1000</x:f>
        <x:v>0</x:v>
      </x:c>
      <x:c r="AB3" s="65" t="n">
        <x:f>'In_Cases'!R2*M3*('In_Cases'!V2-Y3)*G3*V3/1000</x:f>
        <x:v>0</x:v>
      </x:c>
      <x:c r="AC3" s="65" t="n">
        <x:f>MAX(0,Z3)+MAX(0,AA3)+MAX(0,AB3)</x:f>
        <x:v>25463.20529744407</x:v>
      </x:c>
      <x:c r="AD3" s="65" t="n">
        <x:f>MAX(0,-Z3)+MAX(0,-AA3)+MAX(0,-AB3)</x:f>
        <x:v>0</x:v>
      </x:c>
      <x:c r="AE3" s="65" t="n">
        <x:f>Q3+AC3</x:f>
        <x:v>53090.489982221006</x:v>
      </x:c>
      <x:c r="AF3" s="65" t="n">
        <x:f>U3+AD3</x:f>
        <x:v>0</x:v>
      </x:c>
    </x:row>
    <x:row r="4">
      <x:c r="A4" s="39" t="str">
        <x:f>'In_Monthly'!A4</x:f>
        <x:v>1|aggregate</x:v>
      </x:c>
      <x:c r="B4" s="39" t="str">
        <x:f>'In_Monthly'!B4</x:f>
        <x:v>1</x:v>
      </x:c>
      <x:c r="C4" s="39" t="str">
        <x:f>'In_Monthly'!C4</x:f>
        <x:v>Test building 1</x:v>
      </x:c>
      <x:c r="D4" s="39" t="str">
        <x:f>'In_Monthly'!D4</x:f>
        <x:v>aggregate</x:v>
      </x:c>
      <x:c r="E4" s="39" t="str">
        <x:f>'In_Monthly'!E4</x:f>
        <x:v>2023-03</x:v>
      </x:c>
      <x:c r="F4" s="65" t="n">
        <x:f>'In_Monthly'!F4</x:f>
        <x:v>31</x:v>
      </x:c>
      <x:c r="G4" s="65" t="n">
        <x:f>F4*24</x:f>
        <x:v>744</x:v>
      </x:c>
      <x:c r="H4" s="65" t="n">
        <x:f>'In_Monthly'!G4</x:f>
        <x:v>7.746908602150539</x:v>
      </x:c>
      <x:c r="I4" s="65" t="n">
        <x:f>'In_Monthly'!K4</x:f>
        <x:v>1</x:v>
      </x:c>
      <x:c r="J4" s="65" t="n">
        <x:f>'In_Monthly'!L4</x:f>
        <x:v>0</x:v>
      </x:c>
      <x:c r="K4" s="65" t="n">
        <x:f>'In_Monthly'!J4*G4/1000</x:f>
        <x:v>25416.43838840937</x:v>
      </x:c>
      <x:c r="L4" s="65" t="n">
        <x:f>'Calc_Case'!E2+'Calc_Case'!F2+'Calc_Case'!G2</x:f>
        <x:v>4473.333005701532</x:v>
      </x:c>
      <x:c r="M4" s="65" t="n">
        <x:f>'Calc_Case'!H2</x:f>
        <x:v>4652.78534419043</x:v>
      </x:c>
      <x:c r="N4" s="65" t="n">
        <x:f>(L4*('In_Cases'!O2-H4)+M4*('In_Cases'!O2-'In_Cases'!U2))*G4*I4/1000</x:f>
        <x:v>37251.817113881334</x:v>
      </x:c>
      <x:c r="O4" s="65" t="n">
        <x:f>IF(N4&lt;=0,"",K4/N4)</x:f>
        <x:v>0.6822872105999445</x:v>
      </x:c>
      <x:c r="P4" s="65" t="n">
        <x:f>IF(N4&lt;=0,0,IF(ABS(O4-1)&lt;1E-9,'Calc_Case'!N2/('Calc_Case'!N2+1),(1-POWER(O4,'Calc_Case'!N2))/(1-POWER(O4,'Calc_Case'!N2+1))))</x:f>
        <x:v>0.8289180115882235</x:v>
      </x:c>
      <x:c r="Q4" s="65" t="n">
        <x:f>IF(N4&lt;=0,0,MAX(0,N4-P4*K4))</x:f>
        <x:v>16183.673543306446</x:v>
      </x:c>
      <x:c r="R4" s="65" t="n">
        <x:f>IF(J4&lt;=0,0,MAX(1E-12,(L4*('In_Cases'!P2-H4)+M4*('In_Cases'!P2-'In_Cases'!V2))*G4*J4/1000))</x:f>
        <x:v>0</x:v>
      </x:c>
      <x:c r="S4" s="65" t="str">
        <x:f>IF(J4&lt;=0,"",K4/R4)</x:f>
      </x:c>
      <x:c r="T4" s="65" t="n">
        <x:f>IF(J4&lt;=0,0,IF(ABS(S4-1)&lt;1E-9,'Calc_Case'!N2/('Calc_Case'!N2+1),(1-POWER(S4,-'Calc_Case'!N2))/(1-POWER(S4,-'Calc_Case'!N2-1))))</x:f>
        <x:v>0</x:v>
      </x:c>
      <x:c r="U4" s="65" t="n">
        <x:f>IF(J4&lt;=0,0,'In_Cases'!Q2*MAX(0,K4-T4*R4))</x:f>
        <x:v>0</x:v>
      </x:c>
      <x:c r="V4" s="65" t="n">
        <x:f>MAX(0,1-I4-J4)</x:f>
        <x:v>0</x:v>
      </x:c>
      <x:c r="W4" s="65" t="n">
        <x:f>'In_Cases'!T2*(H4+'In_Cases'!S2*('In_Cases'!O2-H4))+(1-'In_Cases'!T2)*'In_Cases'!O2</x:f>
        <x:v>15.398763440860215</x:v>
      </x:c>
      <x:c r="X4" s="65" t="n">
        <x:f>'In_Cases'!T2*(H4+'In_Cases'!S2*('In_Cases'!P2-H4))+(1-'In_Cases'!T2)*'In_Cases'!P2</x:f>
        <x:v>18.698763440860212</x:v>
      </x:c>
      <x:c r="Y4" s="65" t="n">
        <x:f>'In_Cases'!T2*(H4+'In_Cases'!S2*((('In_Cases'!O2+'In_Cases'!P2)/2)-H4))+(1-'In_Cases'!T2)*(('In_Cases'!O2+'In_Cases'!P2)/2)</x:f>
        <x:v>17.048763440860213</x:v>
      </x:c>
      <x:c r="Z4" s="65" t="n">
        <x:f>'In_Cases'!R2*M4*('In_Cases'!U2-W4)*G4*I4/1000</x:f>
        <x:v>22851.317716629335</x:v>
      </x:c>
      <x:c r="AA4" s="65" t="n">
        <x:f>'In_Cases'!R2*M4*('In_Cases'!V2-X4)*G4*J4/1000</x:f>
        <x:v>0</x:v>
      </x:c>
      <x:c r="AB4" s="65" t="n">
        <x:f>'In_Cases'!R2*M4*('In_Cases'!V2-Y4)*G4*V4/1000</x:f>
        <x:v>0</x:v>
      </x:c>
      <x:c r="AC4" s="65" t="n">
        <x:f>MAX(0,Z4)+MAX(0,AA4)+MAX(0,AB4)</x:f>
        <x:v>22851.317716629335</x:v>
      </x:c>
      <x:c r="AD4" s="65" t="n">
        <x:f>MAX(0,-Z4)+MAX(0,-AA4)+MAX(0,-AB4)</x:f>
        <x:v>0</x:v>
      </x:c>
      <x:c r="AE4" s="65" t="n">
        <x:f>Q4+AC4</x:f>
        <x:v>39034.99125993578</x:v>
      </x:c>
      <x:c r="AF4" s="65" t="n">
        <x:f>U4+AD4</x:f>
        <x:v>0</x:v>
      </x:c>
    </x:row>
    <x:row r="5">
      <x:c r="A5" s="39" t="str">
        <x:f>'In_Monthly'!A5</x:f>
        <x:v>1|aggregate</x:v>
      </x:c>
      <x:c r="B5" s="39" t="str">
        <x:f>'In_Monthly'!B5</x:f>
        <x:v>1</x:v>
      </x:c>
      <x:c r="C5" s="39" t="str">
        <x:f>'In_Monthly'!C5</x:f>
        <x:v>Test building 1</x:v>
      </x:c>
      <x:c r="D5" s="39" t="str">
        <x:f>'In_Monthly'!D5</x:f>
        <x:v>aggregate</x:v>
      </x:c>
      <x:c r="E5" s="39" t="str">
        <x:f>'In_Monthly'!E5</x:f>
        <x:v>2023-04</x:v>
      </x:c>
      <x:c r="F5" s="65" t="n">
        <x:f>'In_Monthly'!F5</x:f>
        <x:v>30</x:v>
      </x:c>
      <x:c r="G5" s="65" t="n">
        <x:f>F5*24</x:f>
        <x:v>720</x:v>
      </x:c>
      <x:c r="H5" s="65" t="n">
        <x:f>'In_Monthly'!G5</x:f>
        <x:v>12.03041666666667</x:v>
      </x:c>
      <x:c r="I5" s="65" t="n">
        <x:f>'In_Monthly'!K5</x:f>
        <x:v>1</x:v>
      </x:c>
      <x:c r="J5" s="65" t="n">
        <x:f>'In_Monthly'!L5</x:f>
        <x:v>0</x:v>
      </x:c>
      <x:c r="K5" s="65" t="n">
        <x:f>'In_Monthly'!J5*G5/1000</x:f>
        <x:v>27544.376754177127</x:v>
      </x:c>
      <x:c r="L5" s="65" t="n">
        <x:f>'Calc_Case'!E2+'Calc_Case'!F2+'Calc_Case'!G2</x:f>
        <x:v>4473.333005701532</x:v>
      </x:c>
      <x:c r="M5" s="65" t="n">
        <x:f>'Calc_Case'!H2</x:f>
        <x:v>4652.78534419043</x:v>
      </x:c>
      <x:c r="N5" s="65" t="n">
        <x:f>(L5*('In_Cases'!O2-H5)+M5*('In_Cases'!O2-'In_Cases'!U2))*G5*I5/1000</x:f>
        <x:v>22253.82383034285</x:v>
      </x:c>
      <x:c r="O5" s="65" t="n">
        <x:f>IF(N5&lt;=0,"",K5/N5)</x:f>
        <x:v>1.2377368026352695</x:v>
      </x:c>
      <x:c r="P5" s="65" t="n">
        <x:f>IF(N5&lt;=0,0,IF(ABS(O5-1)&lt;1E-9,'Calc_Case'!N2/('Calc_Case'!N2+1),(1-POWER(O5,'Calc_Case'!N2))/(1-POWER(O5,'Calc_Case'!N2+1))))</x:f>
        <x:v>0.6303620292495234</x:v>
      </x:c>
      <x:c r="Q5" s="65" t="n">
        <x:f>IF(N5&lt;=0,0,MAX(0,N5-P5*K5))</x:f>
        <x:v>4890.894605166355</x:v>
      </x:c>
      <x:c r="R5" s="65" t="n">
        <x:f>IF(J5&lt;=0,0,MAX(1E-12,(L5*('In_Cases'!P2-H5)+M5*('In_Cases'!P2-'In_Cases'!V2))*G5*J5/1000))</x:f>
        <x:v>0</x:v>
      </x:c>
      <x:c r="S5" s="65" t="str">
        <x:f>IF(J5&lt;=0,"",K5/R5)</x:f>
      </x:c>
      <x:c r="T5" s="65" t="n">
        <x:f>IF(J5&lt;=0,0,IF(ABS(S5-1)&lt;1E-9,'Calc_Case'!N2/('Calc_Case'!N2+1),(1-POWER(S5,-'Calc_Case'!N2))/(1-POWER(S5,-'Calc_Case'!N2-1))))</x:f>
        <x:v>0</x:v>
      </x:c>
      <x:c r="U5" s="65" t="n">
        <x:f>IF(J5&lt;=0,0,'In_Cases'!Q2*MAX(0,K5-T5*R5))</x:f>
        <x:v>0</x:v>
      </x:c>
      <x:c r="V5" s="65" t="n">
        <x:f>MAX(0,1-I5-J5)</x:f>
        <x:v>0</x:v>
      </x:c>
      <x:c r="W5" s="65" t="n">
        <x:f>'In_Cases'!T2*(H5+'In_Cases'!S2*('In_Cases'!O2-H5))+(1-'In_Cases'!T2)*'In_Cases'!O2</x:f>
        <x:v>17.112166666666667</x:v>
      </x:c>
      <x:c r="X5" s="65" t="n">
        <x:f>'In_Cases'!T2*(H5+'In_Cases'!S2*('In_Cases'!P2-H5))+(1-'In_Cases'!T2)*'In_Cases'!P2</x:f>
        <x:v>20.412166666666664</x:v>
      </x:c>
      <x:c r="Y5" s="65" t="n">
        <x:f>'In_Cases'!T2*(H5+'In_Cases'!S2*((('In_Cases'!O2+'In_Cases'!P2)/2)-H5))+(1-'In_Cases'!T2)*(('In_Cases'!O2+'In_Cases'!P2)/2)</x:f>
        <x:v>18.762166666666666</x:v>
      </x:c>
      <x:c r="Z5" s="65" t="n">
        <x:f>'In_Cases'!R2*M5*('In_Cases'!U2-W5)*G5*I5/1000</x:f>
        <x:v>16374.268294688714</x:v>
      </x:c>
      <x:c r="AA5" s="65" t="n">
        <x:f>'In_Cases'!R2*M5*('In_Cases'!V2-X5)*G5*J5/1000</x:f>
        <x:v>0</x:v>
      </x:c>
      <x:c r="AB5" s="65" t="n">
        <x:f>'In_Cases'!R2*M5*('In_Cases'!V2-Y5)*G5*V5/1000</x:f>
        <x:v>0</x:v>
      </x:c>
      <x:c r="AC5" s="65" t="n">
        <x:f>MAX(0,Z5)+MAX(0,AA5)+MAX(0,AB5)</x:f>
        <x:v>16374.268294688714</x:v>
      </x:c>
      <x:c r="AD5" s="65" t="n">
        <x:f>MAX(0,-Z5)+MAX(0,-AA5)+MAX(0,-AB5)</x:f>
        <x:v>0</x:v>
      </x:c>
      <x:c r="AE5" s="65" t="n">
        <x:f>Q5+AC5</x:f>
        <x:v>21265.16289985507</x:v>
      </x:c>
      <x:c r="AF5" s="65" t="n">
        <x:f>U5+AD5</x:f>
        <x:v>0</x:v>
      </x:c>
    </x:row>
    <x:row r="6">
      <x:c r="A6" s="39" t="str">
        <x:f>'In_Monthly'!A6</x:f>
        <x:v>1|aggregate</x:v>
      </x:c>
      <x:c r="B6" s="39" t="str">
        <x:f>'In_Monthly'!B6</x:f>
        <x:v>1</x:v>
      </x:c>
      <x:c r="C6" s="39" t="str">
        <x:f>'In_Monthly'!C6</x:f>
        <x:v>Test building 1</x:v>
      </x:c>
      <x:c r="D6" s="39" t="str">
        <x:f>'In_Monthly'!D6</x:f>
        <x:v>aggregate</x:v>
      </x:c>
      <x:c r="E6" s="39" t="str">
        <x:f>'In_Monthly'!E6</x:f>
        <x:v>2023-05</x:v>
      </x:c>
      <x:c r="F6" s="65" t="n">
        <x:f>'In_Monthly'!F6</x:f>
        <x:v>31</x:v>
      </x:c>
      <x:c r="G6" s="65" t="n">
        <x:f>F6*24</x:f>
        <x:v>744</x:v>
      </x:c>
      <x:c r="H6" s="65" t="n">
        <x:f>'In_Monthly'!G6</x:f>
        <x:v>17.244086021505375</x:v>
      </x:c>
      <x:c r="I6" s="65" t="n">
        <x:f>'In_Monthly'!K6</x:f>
        <x:v>0</x:v>
      </x:c>
      <x:c r="J6" s="65" t="n">
        <x:f>'In_Monthly'!L6</x:f>
        <x:v>0</x:v>
      </x:c>
      <x:c r="K6" s="65" t="n">
        <x:f>'In_Monthly'!J6*G6/1000</x:f>
        <x:v>31845.070513880477</x:v>
      </x:c>
      <x:c r="L6" s="65" t="n">
        <x:f>'Calc_Case'!E2+'Calc_Case'!F2+'Calc_Case'!G2</x:f>
        <x:v>4473.333005701532</x:v>
      </x:c>
      <x:c r="M6" s="65" t="n">
        <x:f>'Calc_Case'!H2</x:f>
        <x:v>4652.78534419043</x:v>
      </x:c>
      <x:c r="N6" s="65" t="n">
        <x:f>(L6*('In_Cases'!O2-H6)+M6*('In_Cases'!O2-'In_Cases'!U2))*G6*I6/1000</x:f>
        <x:v>0</x:v>
      </x:c>
      <x:c r="O6" s="65" t="str">
        <x:f>IF(N6&lt;=0,"",K6/N6)</x:f>
      </x:c>
      <x:c r="P6" s="65" t="n">
        <x:f>IF(N6&lt;=0,0,IF(ABS(O6-1)&lt;1E-9,'Calc_Case'!N2/('Calc_Case'!N2+1),(1-POWER(O6,'Calc_Case'!N2))/(1-POWER(O6,'Calc_Case'!N2+1))))</x:f>
        <x:v>0</x:v>
      </x:c>
      <x:c r="Q6" s="65" t="n">
        <x:f>IF(N6&lt;=0,0,MAX(0,N6-P6*K6))</x:f>
        <x:v>0</x:v>
      </x:c>
      <x:c r="R6" s="65" t="n">
        <x:f>IF(J6&lt;=0,0,MAX(1E-12,(L6*('In_Cases'!P2-H6)+M6*('In_Cases'!P2-'In_Cases'!V2))*G6*J6/1000))</x:f>
        <x:v>0</x:v>
      </x:c>
      <x:c r="S6" s="65" t="str">
        <x:f>IF(J6&lt;=0,"",K6/R6)</x:f>
      </x:c>
      <x:c r="T6" s="65" t="n">
        <x:f>IF(J6&lt;=0,0,IF(ABS(S6-1)&lt;1E-9,'Calc_Case'!N2/('Calc_Case'!N2+1),(1-POWER(S6,-'Calc_Case'!N2))/(1-POWER(S6,-'Calc_Case'!N2-1))))</x:f>
        <x:v>0</x:v>
      </x:c>
      <x:c r="U6" s="65" t="n">
        <x:f>IF(J6&lt;=0,0,'In_Cases'!Q2*MAX(0,K6-T6*R6))</x:f>
        <x:v>0</x:v>
      </x:c>
      <x:c r="V6" s="65" t="n">
        <x:f>MAX(0,1-I6-J6)</x:f>
        <x:v>1</x:v>
      </x:c>
      <x:c r="W6" s="65" t="n">
        <x:f>'In_Cases'!T2*(H6+'In_Cases'!S2*('In_Cases'!O2-H6))+(1-'In_Cases'!T2)*'In_Cases'!O2</x:f>
        <x:v>19.19763440860215</x:v>
      </x:c>
      <x:c r="X6" s="65" t="n">
        <x:f>'In_Cases'!T2*(H6+'In_Cases'!S2*('In_Cases'!P2-H6))+(1-'In_Cases'!T2)*'In_Cases'!P2</x:f>
        <x:v>22.49763440860215</x:v>
      </x:c>
      <x:c r="Y6" s="65" t="n">
        <x:f>'In_Cases'!T2*(H6+'In_Cases'!S2*((('In_Cases'!O2+'In_Cases'!P2)/2)-H6))+(1-'In_Cases'!T2)*(('In_Cases'!O2+'In_Cases'!P2)/2)</x:f>
        <x:v>20.84763440860215</x:v>
      </x:c>
      <x:c r="Z6" s="65" t="n">
        <x:f>'In_Cases'!R2*M6*('In_Cases'!U2-W6)*G6*I6/1000</x:f>
        <x:v>0</x:v>
      </x:c>
      <x:c r="AA6" s="65" t="n">
        <x:f>'In_Cases'!R2*M6*('In_Cases'!V2-X6)*G6*J6/1000</x:f>
        <x:v>0</x:v>
      </x:c>
      <x:c r="AB6" s="65" t="n">
        <x:f>'In_Cases'!R2*M6*('In_Cases'!V2-Y6)*G6*V6/1000</x:f>
        <x:v>7450.7843387727735</x:v>
      </x:c>
      <x:c r="AC6" s="65" t="n">
        <x:f>MAX(0,Z6)+MAX(0,AA6)+MAX(0,AB6)</x:f>
        <x:v>7450.7843387727735</x:v>
      </x:c>
      <x:c r="AD6" s="65" t="n">
        <x:f>MAX(0,-Z6)+MAX(0,-AA6)+MAX(0,-AB6)</x:f>
        <x:v>0</x:v>
      </x:c>
      <x:c r="AE6" s="65" t="n">
        <x:f>Q6+AC6</x:f>
        <x:v>7450.7843387727735</x:v>
      </x:c>
      <x:c r="AF6" s="65" t="n">
        <x:f>U6+AD6</x:f>
        <x:v>0</x:v>
      </x:c>
    </x:row>
    <x:row r="7">
      <x:c r="A7" s="39" t="str">
        <x:f>'In_Monthly'!A7</x:f>
        <x:v>1|aggregate</x:v>
      </x:c>
      <x:c r="B7" s="39" t="str">
        <x:f>'In_Monthly'!B7</x:f>
        <x:v>1</x:v>
      </x:c>
      <x:c r="C7" s="39" t="str">
        <x:f>'In_Monthly'!C7</x:f>
        <x:v>Test building 1</x:v>
      </x:c>
      <x:c r="D7" s="39" t="str">
        <x:f>'In_Monthly'!D7</x:f>
        <x:v>aggregate</x:v>
      </x:c>
      <x:c r="E7" s="39" t="str">
        <x:f>'In_Monthly'!E7</x:f>
        <x:v>2023-06</x:v>
      </x:c>
      <x:c r="F7" s="65" t="n">
        <x:f>'In_Monthly'!F7</x:f>
        <x:v>30</x:v>
      </x:c>
      <x:c r="G7" s="65" t="n">
        <x:f>F7*24</x:f>
        <x:v>720</x:v>
      </x:c>
      <x:c r="H7" s="65" t="n">
        <x:f>'In_Monthly'!G7</x:f>
        <x:v>20.758194444444445</x:v>
      </x:c>
      <x:c r="I7" s="65" t="n">
        <x:f>'In_Monthly'!K7</x:f>
        <x:v>0</x:v>
      </x:c>
      <x:c r="J7" s="65" t="n">
        <x:f>'In_Monthly'!L7</x:f>
        <x:v>1</x:v>
      </x:c>
      <x:c r="K7" s="65" t="n">
        <x:f>'In_Monthly'!J7*G7/1000</x:f>
        <x:v>31759.032267147748</x:v>
      </x:c>
      <x:c r="L7" s="65" t="n">
        <x:f>'Calc_Case'!E2+'Calc_Case'!F2+'Calc_Case'!G2</x:f>
        <x:v>4473.333005701532</x:v>
      </x:c>
      <x:c r="M7" s="65" t="n">
        <x:f>'Calc_Case'!H2</x:f>
        <x:v>4652.78534419043</x:v>
      </x:c>
      <x:c r="N7" s="65" t="n">
        <x:f>(L7*('In_Cases'!O2-H7)+M7*('In_Cases'!O2-'In_Cases'!U2))*G7*I7/1000</x:f>
        <x:v>0</x:v>
      </x:c>
      <x:c r="O7" s="65" t="str">
        <x:f>IF(N7&lt;=0,"",K7/N7)</x:f>
      </x:c>
      <x:c r="P7" s="65" t="n">
        <x:f>IF(N7&lt;=0,0,IF(ABS(O7-1)&lt;1E-9,'Calc_Case'!N2/('Calc_Case'!N2+1),(1-POWER(O7,'Calc_Case'!N2))/(1-POWER(O7,'Calc_Case'!N2+1))))</x:f>
        <x:v>0</x:v>
      </x:c>
      <x:c r="Q7" s="65" t="n">
        <x:f>IF(N7&lt;=0,0,MAX(0,N7-P7*K7))</x:f>
        <x:v>0</x:v>
      </x:c>
      <x:c r="R7" s="65" t="n">
        <x:f>IF(J7&lt;=0,0,MAX(1E-12,(L7*('In_Cases'!P2-H7)+M7*('In_Cases'!P2-'In_Cases'!V2))*G7*J7/1000))</x:f>
        <x:v>26932.82244026949</x:v>
      </x:c>
      <x:c r="S7" s="65" t="n">
        <x:f>IF(J7&lt;=0,"",K7/R7)</x:f>
        <x:v>1.1791943580210216</x:v>
      </x:c>
      <x:c r="T7" s="65" t="n">
        <x:f>IF(J7&lt;=0,0,IF(ABS(S7-1)&lt;1E-9,'Calc_Case'!N2/('Calc_Case'!N2+1),(1-POWER(S7,-'Calc_Case'!N2))/(1-POWER(S7,-'Calc_Case'!N2-1))))</x:f>
        <x:v>0.7649340739480871</x:v>
      </x:c>
      <x:c r="U7" s="65" t="n">
        <x:f>IF(J7&lt;=0,0,'In_Cases'!Q2*MAX(0,K7-T7*R7))</x:f>
        <x:v>11157.198674991945</x:v>
      </x:c>
      <x:c r="V7" s="65" t="n">
        <x:f>MAX(0,1-I7-J7)</x:f>
        <x:v>0</x:v>
      </x:c>
      <x:c r="W7" s="65" t="n">
        <x:f>'In_Cases'!T2*(H7+'In_Cases'!S2*('In_Cases'!O2-H7))+(1-'In_Cases'!T2)*'In_Cases'!O2</x:f>
        <x:v>20.603277777777777</x:v>
      </x:c>
      <x:c r="X7" s="65" t="n">
        <x:f>'In_Cases'!T2*(H7+'In_Cases'!S2*('In_Cases'!P2-H7))+(1-'In_Cases'!T2)*'In_Cases'!P2</x:f>
        <x:v>23.903277777777777</x:v>
      </x:c>
      <x:c r="Y7" s="65" t="n">
        <x:f>'In_Cases'!T2*(H7+'In_Cases'!S2*((('In_Cases'!O2+'In_Cases'!P2)/2)-H7))+(1-'In_Cases'!T2)*(('In_Cases'!O2+'In_Cases'!P2)/2)</x:f>
        <x:v>22.25327777777778</x:v>
      </x:c>
      <x:c r="Z7" s="65" t="n">
        <x:f>'In_Cases'!R2*M7*('In_Cases'!U2-W7)*G7*I7/1000</x:f>
        <x:v>0</x:v>
      </x:c>
      <x:c r="AA7" s="65" t="n">
        <x:f>'In_Cases'!R2*M7*('In_Cases'!V2-X7)*G7*J7/1000</x:f>
        <x:v>-3025.985476447698</x:v>
      </x:c>
      <x:c r="AB7" s="65" t="n">
        <x:f>'In_Cases'!R2*M7*('In_Cases'!V2-Y7)*G7*V7/1000</x:f>
        <x:v>0</x:v>
      </x:c>
      <x:c r="AC7" s="65" t="n">
        <x:f>MAX(0,Z7)+MAX(0,AA7)+MAX(0,AB7)</x:f>
        <x:v>0</x:v>
      </x:c>
      <x:c r="AD7" s="65" t="n">
        <x:f>MAX(0,-Z7)+MAX(0,-AA7)+MAX(0,-AB7)</x:f>
        <x:v>3025.985476447698</x:v>
      </x:c>
      <x:c r="AE7" s="65" t="n">
        <x:f>Q7+AC7</x:f>
        <x:v>0</x:v>
      </x:c>
      <x:c r="AF7" s="65" t="n">
        <x:f>U7+AD7</x:f>
        <x:v>14183.184151439644</x:v>
      </x:c>
    </x:row>
    <x:row r="8">
      <x:c r="A8" s="39" t="str">
        <x:f>'In_Monthly'!A8</x:f>
        <x:v>1|aggregate</x:v>
      </x:c>
      <x:c r="B8" s="39" t="str">
        <x:f>'In_Monthly'!B8</x:f>
        <x:v>1</x:v>
      </x:c>
      <x:c r="C8" s="39" t="str">
        <x:f>'In_Monthly'!C8</x:f>
        <x:v>Test building 1</x:v>
      </x:c>
      <x:c r="D8" s="39" t="str">
        <x:f>'In_Monthly'!D8</x:f>
        <x:v>aggregate</x:v>
      </x:c>
      <x:c r="E8" s="39" t="str">
        <x:f>'In_Monthly'!E8</x:f>
        <x:v>2023-07</x:v>
      </x:c>
      <x:c r="F8" s="65" t="n">
        <x:f>'In_Monthly'!F8</x:f>
        <x:v>31</x:v>
      </x:c>
      <x:c r="G8" s="65" t="n">
        <x:f>F8*24</x:f>
        <x:v>744</x:v>
      </x:c>
      <x:c r="H8" s="65" t="n">
        <x:f>'In_Monthly'!G8</x:f>
        <x:v>23.824193548387097</x:v>
      </x:c>
      <x:c r="I8" s="65" t="n">
        <x:f>'In_Monthly'!K8</x:f>
        <x:v>0</x:v>
      </x:c>
      <x:c r="J8" s="65" t="n">
        <x:f>'In_Monthly'!L8</x:f>
        <x:v>1</x:v>
      </x:c>
      <x:c r="K8" s="65" t="n">
        <x:f>'In_Monthly'!J8*G8/1000</x:f>
        <x:v>33446.22063567044</x:v>
      </x:c>
      <x:c r="L8" s="65" t="n">
        <x:f>'Calc_Case'!E2+'Calc_Case'!F2+'Calc_Case'!G2</x:f>
        <x:v>4473.333005701532</x:v>
      </x:c>
      <x:c r="M8" s="65" t="n">
        <x:f>'Calc_Case'!H2</x:f>
        <x:v>4652.78534419043</x:v>
      </x:c>
      <x:c r="N8" s="65" t="n">
        <x:f>(L8*('In_Cases'!O2-H8)+M8*('In_Cases'!O2-'In_Cases'!U2))*G8*I8/1000</x:f>
        <x:v>0</x:v>
      </x:c>
      <x:c r="O8" s="65" t="str">
        <x:f>IF(N8&lt;=0,"",K8/N8)</x:f>
      </x:c>
      <x:c r="P8" s="65" t="n">
        <x:f>IF(N8&lt;=0,0,IF(ABS(O8-1)&lt;1E-9,'Calc_Case'!N2/('Calc_Case'!N2+1),(1-POWER(O8,'Calc_Case'!N2))/(1-POWER(O8,'Calc_Case'!N2+1))))</x:f>
        <x:v>0</x:v>
      </x:c>
      <x:c r="Q8" s="65" t="n">
        <x:f>IF(N8&lt;=0,0,MAX(0,N8-P8*K8))</x:f>
        <x:v>0</x:v>
      </x:c>
      <x:c r="R8" s="65" t="n">
        <x:f>IF(J8&lt;=0,0,MAX(1E-12,(L8*('In_Cases'!P2-H8)+M8*('In_Cases'!P2-'In_Cases'!V2))*G8*J8/1000))</x:f>
        <x:v>17626.448357862693</x:v>
      </x:c>
      <x:c r="S8" s="65" t="n">
        <x:f>IF(J8&lt;=0,"",K8/R8)</x:f>
        <x:v>1.89750197865306</x:v>
      </x:c>
      <x:c r="T8" s="65" t="n">
        <x:f>IF(J8&lt;=0,0,IF(ABS(S8-1)&lt;1E-9,'Calc_Case'!N2/('Calc_Case'!N2+1),(1-POWER(S8,-'Calc_Case'!N2))/(1-POWER(S8,-'Calc_Case'!N2-1))))</x:f>
        <x:v>0.8884043035543489</x:v>
      </x:c>
      <x:c r="U8" s="65" t="n">
        <x:f>IF(J8&lt;=0,0,'In_Cases'!Q2*MAX(0,K8-T8*R8))</x:f>
        <x:v>17786.80805816674</x:v>
      </x:c>
      <x:c r="V8" s="65" t="n">
        <x:f>MAX(0,1-I8-J8)</x:f>
        <x:v>0</x:v>
      </x:c>
      <x:c r="W8" s="65" t="n">
        <x:f>'In_Cases'!T2*(H8+'In_Cases'!S2*('In_Cases'!O2-H8))+(1-'In_Cases'!T2)*'In_Cases'!O2</x:f>
        <x:v>21.829677419354837</x:v>
      </x:c>
      <x:c r="X8" s="65" t="n">
        <x:f>'In_Cases'!T2*(H8+'In_Cases'!S2*('In_Cases'!P2-H8))+(1-'In_Cases'!T2)*'In_Cases'!P2</x:f>
        <x:v>25.129677419354838</x:v>
      </x:c>
      <x:c r="Y8" s="65" t="n">
        <x:f>'In_Cases'!T2*(H8+'In_Cases'!S2*((('In_Cases'!O2+'In_Cases'!P2)/2)-H8))+(1-'In_Cases'!T2)*(('In_Cases'!O2+'In_Cases'!P2)/2)</x:f>
        <x:v>23.47967741935484</x:v>
      </x:c>
      <x:c r="Z8" s="65" t="n">
        <x:f>'In_Cases'!R2*M8*('In_Cases'!U2-W8)*G8*I8/1000</x:f>
        <x:v>0</x:v>
      </x:c>
      <x:c r="AA8" s="65" t="n">
        <x:f>'In_Cases'!R2*M8*('In_Cases'!V2-X8)*G8*J8/1000</x:f>
        <x:v>-7372.245322162863</x:v>
      </x:c>
      <x:c r="AB8" s="65" t="n">
        <x:f>'In_Cases'!R2*M8*('In_Cases'!V2-Y8)*G8*V8/1000</x:f>
        <x:v>0</x:v>
      </x:c>
      <x:c r="AC8" s="65" t="n">
        <x:f>MAX(0,Z8)+MAX(0,AA8)+MAX(0,AB8)</x:f>
        <x:v>0</x:v>
      </x:c>
      <x:c r="AD8" s="65" t="n">
        <x:f>MAX(0,-Z8)+MAX(0,-AA8)+MAX(0,-AB8)</x:f>
        <x:v>7372.245322162863</x:v>
      </x:c>
      <x:c r="AE8" s="65" t="n">
        <x:f>Q8+AC8</x:f>
        <x:v>0</x:v>
      </x:c>
      <x:c r="AF8" s="65" t="n">
        <x:f>U8+AD8</x:f>
        <x:v>25159.053380329602</x:v>
      </x:c>
    </x:row>
    <x:row r="9">
      <x:c r="A9" s="39" t="str">
        <x:f>'In_Monthly'!A9</x:f>
        <x:v>1|aggregate</x:v>
      </x:c>
      <x:c r="B9" s="39" t="str">
        <x:f>'In_Monthly'!B9</x:f>
        <x:v>1</x:v>
      </x:c>
      <x:c r="C9" s="39" t="str">
        <x:f>'In_Monthly'!C9</x:f>
        <x:v>Test building 1</x:v>
      </x:c>
      <x:c r="D9" s="39" t="str">
        <x:f>'In_Monthly'!D9</x:f>
        <x:v>aggregate</x:v>
      </x:c>
      <x:c r="E9" s="39" t="str">
        <x:f>'In_Monthly'!E9</x:f>
        <x:v>2023-08</x:v>
      </x:c>
      <x:c r="F9" s="65" t="n">
        <x:f>'In_Monthly'!F9</x:f>
        <x:v>31</x:v>
      </x:c>
      <x:c r="G9" s="65" t="n">
        <x:f>F9*24</x:f>
        <x:v>744</x:v>
      </x:c>
      <x:c r="H9" s="65" t="n">
        <x:f>'In_Monthly'!G9</x:f>
        <x:v>22.74717741935484</x:v>
      </x:c>
      <x:c r="I9" s="65" t="n">
        <x:f>'In_Monthly'!K9</x:f>
        <x:v>0</x:v>
      </x:c>
      <x:c r="J9" s="65" t="n">
        <x:f>'In_Monthly'!L9</x:f>
        <x:v>1</x:v>
      </x:c>
      <x:c r="K9" s="65" t="n">
        <x:f>'In_Monthly'!J9*G9/1000</x:f>
        <x:v>31195.850360730863</x:v>
      </x:c>
      <x:c r="L9" s="65" t="n">
        <x:f>'Calc_Case'!E2+'Calc_Case'!F2+'Calc_Case'!G2</x:f>
        <x:v>4473.333005701532</x:v>
      </x:c>
      <x:c r="M9" s="65" t="n">
        <x:f>'Calc_Case'!H2</x:f>
        <x:v>4652.78534419043</x:v>
      </x:c>
      <x:c r="N9" s="65" t="n">
        <x:f>(L9*('In_Cases'!O2-H9)+M9*('In_Cases'!O2-'In_Cases'!U2))*G9*I9/1000</x:f>
        <x:v>0</x:v>
      </x:c>
      <x:c r="O9" s="65" t="str">
        <x:f>IF(N9&lt;=0,"",K9/N9)</x:f>
      </x:c>
      <x:c r="P9" s="65" t="n">
        <x:f>IF(N9&lt;=0,0,IF(ABS(O9-1)&lt;1E-9,'Calc_Case'!N2/('Calc_Case'!N2+1),(1-POWER(O9,'Calc_Case'!N2))/(1-POWER(O9,'Calc_Case'!N2+1))))</x:f>
        <x:v>0</x:v>
      </x:c>
      <x:c r="Q9" s="65" t="n">
        <x:f>IF(N9&lt;=0,0,MAX(0,N9-P9*K9))</x:f>
        <x:v>0</x:v>
      </x:c>
      <x:c r="R9" s="65" t="n">
        <x:f>IF(J9&lt;=0,0,MAX(1E-12,(L9*('In_Cases'!P2-H9)+M9*('In_Cases'!P2-'In_Cases'!V2))*G9*J9/1000))</x:f>
        <x:v>21210.93009533132</x:v>
      </x:c>
      <x:c r="S9" s="65" t="n">
        <x:f>IF(J9&lt;=0,"",K9/R9)</x:f>
        <x:v>1.4707441031827875</x:v>
      </x:c>
      <x:c r="T9" s="65" t="n">
        <x:f>IF(J9&lt;=0,0,IF(ABS(S9-1)&lt;1E-9,'Calc_Case'!N2/('Calc_Case'!N2+1),(1-POWER(S9,-'Calc_Case'!N2))/(1-POWER(S9,-'Calc_Case'!N2-1))))</x:f>
        <x:v>0.8298367611498614</x:v>
      </x:c>
      <x:c r="U9" s="65" t="n">
        <x:f>IF(J9&lt;=0,0,'In_Cases'!Q2*MAX(0,K9-T9*R9))</x:f>
        <x:v>13594.240829445</x:v>
      </x:c>
      <x:c r="V9" s="65" t="n">
        <x:f>MAX(0,1-I9-J9)</x:f>
        <x:v>0</x:v>
      </x:c>
      <x:c r="W9" s="65" t="n">
        <x:f>'In_Cases'!T2*(H9+'In_Cases'!S2*('In_Cases'!O2-H9))+(1-'In_Cases'!T2)*'In_Cases'!O2</x:f>
        <x:v>21.398870967741935</x:v>
      </x:c>
      <x:c r="X9" s="65" t="n">
        <x:f>'In_Cases'!T2*(H9+'In_Cases'!S2*('In_Cases'!P2-H9))+(1-'In_Cases'!T2)*'In_Cases'!P2</x:f>
        <x:v>24.698870967741936</x:v>
      </x:c>
      <x:c r="Y9" s="65" t="n">
        <x:f>'In_Cases'!T2*(H9+'In_Cases'!S2*((('In_Cases'!O2+'In_Cases'!P2)/2)-H9))+(1-'In_Cases'!T2)*(('In_Cases'!O2+'In_Cases'!P2)/2)</x:f>
        <x:v>23.048870967741937</x:v>
      </x:c>
      <x:c r="Z9" s="65" t="n">
        <x:f>'In_Cases'!R2*M9*('In_Cases'!U2-W9)*G9*I9/1000</x:f>
        <x:v>0</x:v>
      </x:c>
      <x:c r="AA9" s="65" t="n">
        <x:f>'In_Cases'!R2*M9*('In_Cases'!V2-X9)*G9*J9/1000</x:f>
        <x:v>-5880.934563642949</x:v>
      </x:c>
      <x:c r="AB9" s="65" t="n">
        <x:f>'In_Cases'!R2*M9*('In_Cases'!V2-Y9)*G9*V9/1000</x:f>
        <x:v>0</x:v>
      </x:c>
      <x:c r="AC9" s="65" t="n">
        <x:f>MAX(0,Z9)+MAX(0,AA9)+MAX(0,AB9)</x:f>
        <x:v>0</x:v>
      </x:c>
      <x:c r="AD9" s="65" t="n">
        <x:f>MAX(0,-Z9)+MAX(0,-AA9)+MAX(0,-AB9)</x:f>
        <x:v>5880.934563642949</x:v>
      </x:c>
      <x:c r="AE9" s="65" t="n">
        <x:f>Q9+AC9</x:f>
        <x:v>0</x:v>
      </x:c>
      <x:c r="AF9" s="65" t="n">
        <x:f>U9+AD9</x:f>
        <x:v>19475.17539308795</x:v>
      </x:c>
    </x:row>
    <x:row r="10">
      <x:c r="A10" s="39" t="str">
        <x:f>'In_Monthly'!A10</x:f>
        <x:v>1|aggregate</x:v>
      </x:c>
      <x:c r="B10" s="39" t="str">
        <x:f>'In_Monthly'!B10</x:f>
        <x:v>1</x:v>
      </x:c>
      <x:c r="C10" s="39" t="str">
        <x:f>'In_Monthly'!C10</x:f>
        <x:v>Test building 1</x:v>
      </x:c>
      <x:c r="D10" s="39" t="str">
        <x:f>'In_Monthly'!D10</x:f>
        <x:v>aggregate</x:v>
      </x:c>
      <x:c r="E10" s="39" t="str">
        <x:f>'In_Monthly'!E10</x:f>
        <x:v>2023-09</x:v>
      </x:c>
      <x:c r="F10" s="65" t="n">
        <x:f>'In_Monthly'!F10</x:f>
        <x:v>30</x:v>
      </x:c>
      <x:c r="G10" s="65" t="n">
        <x:f>F10*24</x:f>
        <x:v>720</x:v>
      </x:c>
      <x:c r="H10" s="65" t="n">
        <x:f>'In_Monthly'!G10</x:f>
        <x:v>19.61638888888889</x:v>
      </x:c>
      <x:c r="I10" s="65" t="n">
        <x:f>'In_Monthly'!K10</x:f>
        <x:v>0</x:v>
      </x:c>
      <x:c r="J10" s="65" t="n">
        <x:f>'In_Monthly'!L10</x:f>
        <x:v>1</x:v>
      </x:c>
      <x:c r="K10" s="65" t="n">
        <x:f>'In_Monthly'!J10*G10/1000</x:f>
        <x:v>26871.62264345236</x:v>
      </x:c>
      <x:c r="L10" s="65" t="n">
        <x:f>'Calc_Case'!E2+'Calc_Case'!F2+'Calc_Case'!G2</x:f>
        <x:v>4473.333005701532</x:v>
      </x:c>
      <x:c r="M10" s="65" t="n">
        <x:f>'Calc_Case'!H2</x:f>
        <x:v>4652.78534419043</x:v>
      </x:c>
      <x:c r="N10" s="65" t="n">
        <x:f>(L10*('In_Cases'!O2-H10)+M10*('In_Cases'!O2-'In_Cases'!U2))*G10*I10/1000</x:f>
        <x:v>0</x:v>
      </x:c>
      <x:c r="O10" s="65" t="str">
        <x:f>IF(N10&lt;=0,"",K10/N10)</x:f>
      </x:c>
      <x:c r="P10" s="65" t="n">
        <x:f>IF(N10&lt;=0,0,IF(ABS(O10-1)&lt;1E-9,'Calc_Case'!N2/('Calc_Case'!N2+1),(1-POWER(O10,'Calc_Case'!N2))/(1-POWER(O10,'Calc_Case'!N2+1))))</x:f>
        <x:v>0</x:v>
      </x:c>
      <x:c r="Q10" s="65" t="n">
        <x:f>IF(N10&lt;=0,0,MAX(0,N10-P10*K10))</x:f>
        <x:v>0</x:v>
      </x:c>
      <x:c r="R10" s="65" t="n">
        <x:f>IF(J10&lt;=0,0,MAX(1E-12,(L10*('In_Cases'!P2-H10)+M10*('In_Cases'!P2-'In_Cases'!V2))*G10*J10/1000))</x:f>
        <x:v>30610.349504256723</x:v>
      </x:c>
      <x:c r="S10" s="65" t="n">
        <x:f>IF(J10&lt;=0,"",K10/R10)</x:f>
        <x:v>0.877860693479359</x:v>
      </x:c>
      <x:c r="T10" s="65" t="n">
        <x:f>IF(J10&lt;=0,0,IF(ABS(S10-1)&lt;1E-9,'Calc_Case'!N2/('Calc_Case'!N2+1),(1-POWER(S10,-'Calc_Case'!N2))/(1-POWER(S10,-'Calc_Case'!N2-1))))</x:f>
        <x:v>0.6616395943316474</x:v>
      </x:c>
      <x:c r="U10" s="65" t="n">
        <x:f>IF(J10&lt;=0,0,'In_Cases'!Q2*MAX(0,K10-T10*R10))</x:f>
        <x:v>6618.603415105998</x:v>
      </x:c>
      <x:c r="V10" s="65" t="n">
        <x:f>MAX(0,1-I10-J10)</x:f>
        <x:v>0</x:v>
      </x:c>
      <x:c r="W10" s="65" t="n">
        <x:f>'In_Cases'!T2*(H10+'In_Cases'!S2*('In_Cases'!O2-H10))+(1-'In_Cases'!T2)*'In_Cases'!O2</x:f>
        <x:v>20.146555555555555</x:v>
      </x:c>
      <x:c r="X10" s="65" t="n">
        <x:f>'In_Cases'!T2*(H10+'In_Cases'!S2*('In_Cases'!P2-H10))+(1-'In_Cases'!T2)*'In_Cases'!P2</x:f>
        <x:v>23.446555555555555</x:v>
      </x:c>
      <x:c r="Y10" s="65" t="n">
        <x:f>'In_Cases'!T2*(H10+'In_Cases'!S2*((('In_Cases'!O2+'In_Cases'!P2)/2)-H10))+(1-'In_Cases'!T2)*(('In_Cases'!O2+'In_Cases'!P2)/2)</x:f>
        <x:v>21.796555555555557</x:v>
      </x:c>
      <x:c r="Z10" s="65" t="n">
        <x:f>'In_Cases'!R2*M10*('In_Cases'!U2-W10)*G10*I10/1000</x:f>
        <x:v>0</x:v>
      </x:c>
      <x:c r="AA10" s="65" t="n">
        <x:f>'In_Cases'!R2*M10*('In_Cases'!V2-X10)*G10*J10/1000</x:f>
        <x:v>-1495.9635438641185</x:v>
      </x:c>
      <x:c r="AB10" s="65" t="n">
        <x:f>'In_Cases'!R2*M10*('In_Cases'!V2-Y10)*G10*V10/1000</x:f>
        <x:v>0</x:v>
      </x:c>
      <x:c r="AC10" s="65" t="n">
        <x:f>MAX(0,Z10)+MAX(0,AA10)+MAX(0,AB10)</x:f>
        <x:v>0</x:v>
      </x:c>
      <x:c r="AD10" s="65" t="n">
        <x:f>MAX(0,-Z10)+MAX(0,-AA10)+MAX(0,-AB10)</x:f>
        <x:v>1495.9635438641185</x:v>
      </x:c>
      <x:c r="AE10" s="65" t="n">
        <x:f>Q10+AC10</x:f>
        <x:v>0</x:v>
      </x:c>
      <x:c r="AF10" s="65" t="n">
        <x:f>U10+AD10</x:f>
        <x:v>8114.566958970116</x:v>
      </x:c>
    </x:row>
    <x:row r="11">
      <x:c r="A11" s="39" t="str">
        <x:f>'In_Monthly'!A11</x:f>
        <x:v>1|aggregate</x:v>
      </x:c>
      <x:c r="B11" s="39" t="str">
        <x:f>'In_Monthly'!B11</x:f>
        <x:v>1</x:v>
      </x:c>
      <x:c r="C11" s="39" t="str">
        <x:f>'In_Monthly'!C11</x:f>
        <x:v>Test building 1</x:v>
      </x:c>
      <x:c r="D11" s="39" t="str">
        <x:f>'In_Monthly'!D11</x:f>
        <x:v>aggregate</x:v>
      </x:c>
      <x:c r="E11" s="39" t="str">
        <x:f>'In_Monthly'!E11</x:f>
        <x:v>2023-10</x:v>
      </x:c>
      <x:c r="F11" s="65" t="n">
        <x:f>'In_Monthly'!F11</x:f>
        <x:v>31</x:v>
      </x:c>
      <x:c r="G11" s="65" t="n">
        <x:f>F11*24</x:f>
        <x:v>744</x:v>
      </x:c>
      <x:c r="H11" s="65" t="n">
        <x:f>'In_Monthly'!G11</x:f>
        <x:v>13.926209677419354</x:v>
      </x:c>
      <x:c r="I11" s="65" t="n">
        <x:f>'In_Monthly'!K11</x:f>
        <x:v>0.5483870967741935</x:v>
      </x:c>
      <x:c r="J11" s="65" t="n">
        <x:f>'In_Monthly'!L11</x:f>
        <x:v>0</x:v>
      </x:c>
      <x:c r="K11" s="65" t="n">
        <x:f>'In_Monthly'!J11*G11/1000</x:f>
        <x:v>23722.938206860985</x:v>
      </x:c>
      <x:c r="L11" s="65" t="n">
        <x:f>'Calc_Case'!E2+'Calc_Case'!F2+'Calc_Case'!G2</x:f>
        <x:v>4473.333005701532</x:v>
      </x:c>
      <x:c r="M11" s="65" t="n">
        <x:f>'Calc_Case'!H2</x:f>
        <x:v>4652.78534419043</x:v>
      </x:c>
      <x:c r="N11" s="65" t="n">
        <x:f>(L11*('In_Cases'!O2-H11)+M11*('In_Cases'!O2-'In_Cases'!U2))*G11*I11/1000</x:f>
        <x:v>9150.450684160482</x:v>
      </x:c>
      <x:c r="O11" s="65" t="n">
        <x:f>IF(N11&lt;=0,"",K11/N11)</x:f>
        <x:v>2.5925431463092434</x:v>
      </x:c>
      <x:c r="P11" s="65" t="n">
        <x:f>IF(N11&lt;=0,0,IF(ABS(O11-1)&lt;1E-9,'Calc_Case'!N2/('Calc_Case'!N2+1),(1-POWER(O11,'Calc_Case'!N2))/(1-POWER(O11,'Calc_Case'!N2+1))))</x:f>
        <x:v>0.3615739021537141</x:v>
      </x:c>
      <x:c r="Q11" s="65" t="n">
        <x:f>IF(N11&lt;=0,0,MAX(0,N11-P11*K11))</x:f>
        <x:v>572.8553461543215</x:v>
      </x:c>
      <x:c r="R11" s="65" t="n">
        <x:f>IF(J11&lt;=0,0,MAX(1E-12,(L11*('In_Cases'!P2-H11)+M11*('In_Cases'!P2-'In_Cases'!V2))*G11*J11/1000))</x:f>
        <x:v>0</x:v>
      </x:c>
      <x:c r="S11" s="65" t="str">
        <x:f>IF(J11&lt;=0,"",K11/R11)</x:f>
      </x:c>
      <x:c r="T11" s="65" t="n">
        <x:f>IF(J11&lt;=0,0,IF(ABS(S11-1)&lt;1E-9,'Calc_Case'!N2/('Calc_Case'!N2+1),(1-POWER(S11,-'Calc_Case'!N2))/(1-POWER(S11,-'Calc_Case'!N2-1))))</x:f>
        <x:v>0</x:v>
      </x:c>
      <x:c r="U11" s="65" t="n">
        <x:f>IF(J11&lt;=0,0,'In_Cases'!Q2*MAX(0,K11-T11*R11))</x:f>
        <x:v>0</x:v>
      </x:c>
      <x:c r="V11" s="65" t="n">
        <x:f>MAX(0,1-I11-J11)</x:f>
        <x:v>0.4516129032258065</x:v>
      </x:c>
      <x:c r="W11" s="65" t="n">
        <x:f>'In_Cases'!T2*(H11+'In_Cases'!S2*('In_Cases'!O2-H11))+(1-'In_Cases'!T2)*'In_Cases'!O2</x:f>
        <x:v>17.87048387096774</x:v>
      </x:c>
      <x:c r="X11" s="65" t="n">
        <x:f>'In_Cases'!T2*(H11+'In_Cases'!S2*('In_Cases'!P2-H11))+(1-'In_Cases'!T2)*'In_Cases'!P2</x:f>
        <x:v>21.17048387096774</x:v>
      </x:c>
      <x:c r="Y11" s="65" t="n">
        <x:f>'In_Cases'!T2*(H11+'In_Cases'!S2*((('In_Cases'!O2+'In_Cases'!P2)/2)-H11))+(1-'In_Cases'!T2)*(('In_Cases'!O2+'In_Cases'!P2)/2)</x:f>
        <x:v>19.52048387096774</x:v>
      </x:c>
      <x:c r="Z11" s="65" t="n">
        <x:f>'In_Cases'!R2*M11*('In_Cases'!U2-W11)*G11*I11/1000</x:f>
        <x:v>7839.210866493787</x:v>
      </x:c>
      <x:c r="AA11" s="65" t="n">
        <x:f>'In_Cases'!R2*M11*('In_Cases'!V2-X11)*G11*J11/1000</x:f>
        <x:v>0</x:v>
      </x:c>
      <x:c r="AB11" s="65" t="n">
        <x:f>'In_Cases'!R2*M11*('In_Cases'!V2-Y11)*G11*V11/1000</x:f>
        <x:v>5439.652394411927</x:v>
      </x:c>
      <x:c r="AC11" s="65" t="n">
        <x:f>MAX(0,Z11)+MAX(0,AA11)+MAX(0,AB11)</x:f>
        <x:v>13278.863260905713</x:v>
      </x:c>
      <x:c r="AD11" s="65" t="n">
        <x:f>MAX(0,-Z11)+MAX(0,-AA11)+MAX(0,-AB11)</x:f>
        <x:v>0</x:v>
      </x:c>
      <x:c r="AE11" s="65" t="n">
        <x:f>Q11+AC11</x:f>
        <x:v>13851.718607060035</x:v>
      </x:c>
      <x:c r="AF11" s="65" t="n">
        <x:f>U11+AD11</x:f>
        <x:v>0</x:v>
      </x:c>
    </x:row>
    <x:row r="12">
      <x:c r="A12" s="39" t="str">
        <x:f>'In_Monthly'!A12</x:f>
        <x:v>1|aggregate</x:v>
      </x:c>
      <x:c r="B12" s="39" t="str">
        <x:f>'In_Monthly'!B12</x:f>
        <x:v>1</x:v>
      </x:c>
      <x:c r="C12" s="39" t="str">
        <x:f>'In_Monthly'!C12</x:f>
        <x:v>Test building 1</x:v>
      </x:c>
      <x:c r="D12" s="39" t="str">
        <x:f>'In_Monthly'!D12</x:f>
        <x:v>aggregate</x:v>
      </x:c>
      <x:c r="E12" s="39" t="str">
        <x:f>'In_Monthly'!E12</x:f>
        <x:v>2023-11</x:v>
      </x:c>
      <x:c r="F12" s="65" t="n">
        <x:f>'In_Monthly'!F12</x:f>
        <x:v>30</x:v>
      </x:c>
      <x:c r="G12" s="65" t="n">
        <x:f>F12*24</x:f>
        <x:v>720</x:v>
      </x:c>
      <x:c r="H12" s="65" t="n">
        <x:f>'In_Monthly'!G12</x:f>
        <x:v>8.68388888888889</x:v>
      </x:c>
      <x:c r="I12" s="65" t="n">
        <x:f>'In_Monthly'!K12</x:f>
        <x:v>1</x:v>
      </x:c>
      <x:c r="J12" s="65" t="n">
        <x:f>'In_Monthly'!L12</x:f>
        <x:v>0</x:v>
      </x:c>
      <x:c r="K12" s="65" t="n">
        <x:f>'In_Monthly'!J12*G12/1000</x:f>
        <x:v>19416.607936240052</x:v>
      </x:c>
      <x:c r="L12" s="65" t="n">
        <x:f>'Calc_Case'!E2+'Calc_Case'!F2+'Calc_Case'!G2</x:f>
        <x:v>4473.333005701532</x:v>
      </x:c>
      <x:c r="M12" s="65" t="n">
        <x:f>'Calc_Case'!H2</x:f>
        <x:v>4652.78534419043</x:v>
      </x:c>
      <x:c r="N12" s="65" t="n">
        <x:f>(L12*('In_Cases'!O2-H12)+M12*('In_Cases'!O2-'In_Cases'!U2))*G12*I12/1000</x:f>
        <x:v>33032.319707580704</x:v>
      </x:c>
      <x:c r="O12" s="65" t="n">
        <x:f>IF(N12&lt;=0,"",K12/N12)</x:f>
        <x:v>0.5878063698864014</x:v>
      </x:c>
      <x:c r="P12" s="65" t="n">
        <x:f>IF(N12&lt;=0,0,IF(ABS(O12-1)&lt;1E-9,'Calc_Case'!N2/('Calc_Case'!N2+1),(1-POWER(O12,'Calc_Case'!N2))/(1-POWER(O12,'Calc_Case'!N2+1))))</x:f>
        <x:v>0.8654765380158781</x:v>
      </x:c>
      <x:c r="Q12" s="65" t="n">
        <x:f>IF(N12&lt;=0,0,MAX(0,N12-P12*K12))</x:f>
        <x:v>16227.70109091204</x:v>
      </x:c>
      <x:c r="R12" s="65" t="n">
        <x:f>IF(J12&lt;=0,0,MAX(1E-12,(L12*('In_Cases'!P2-H12)+M12*('In_Cases'!P2-'In_Cases'!V2))*G12*J12/1000))</x:f>
        <x:v>0</x:v>
      </x:c>
      <x:c r="S12" s="65" t="str">
        <x:f>IF(J12&lt;=0,"",K12/R12)</x:f>
      </x:c>
      <x:c r="T12" s="65" t="n">
        <x:f>IF(J12&lt;=0,0,IF(ABS(S12-1)&lt;1E-9,'Calc_Case'!N2/('Calc_Case'!N2+1),(1-POWER(S12,-'Calc_Case'!N2))/(1-POWER(S12,-'Calc_Case'!N2-1))))</x:f>
        <x:v>0</x:v>
      </x:c>
      <x:c r="U12" s="65" t="n">
        <x:f>IF(J12&lt;=0,0,'In_Cases'!Q2*MAX(0,K12-T12*R12))</x:f>
        <x:v>0</x:v>
      </x:c>
      <x:c r="V12" s="65" t="n">
        <x:f>MAX(0,1-I12-J12)</x:f>
        <x:v>0</x:v>
      </x:c>
      <x:c r="W12" s="65" t="n">
        <x:f>'In_Cases'!T2*(H12+'In_Cases'!S2*('In_Cases'!O2-H12))+(1-'In_Cases'!T2)*'In_Cases'!O2</x:f>
        <x:v>15.773555555555554</x:v>
      </x:c>
      <x:c r="X12" s="65" t="n">
        <x:f>'In_Cases'!T2*(H12+'In_Cases'!S2*('In_Cases'!P2-H12))+(1-'In_Cases'!T2)*'In_Cases'!P2</x:f>
        <x:v>19.073555555555554</x:v>
      </x:c>
      <x:c r="Y12" s="65" t="n">
        <x:f>'In_Cases'!T2*(H12+'In_Cases'!S2*((('In_Cases'!O2+'In_Cases'!P2)/2)-H12))+(1-'In_Cases'!T2)*(('In_Cases'!O2+'In_Cases'!P2)/2)</x:f>
        <x:v>17.423555555555552</x:v>
      </x:c>
      <x:c r="Z12" s="65" t="n">
        <x:f>'In_Cases'!R2*M12*('In_Cases'!U2-W12)*G12*I12/1000</x:f>
        <x:v>20858.62280941946</x:v>
      </x:c>
      <x:c r="AA12" s="65" t="n">
        <x:f>'In_Cases'!R2*M12*('In_Cases'!V2-X12)*G12*J12/1000</x:f>
        <x:v>0</x:v>
      </x:c>
      <x:c r="AB12" s="65" t="n">
        <x:f>'In_Cases'!R2*M12*('In_Cases'!V2-Y12)*G12*V12/1000</x:f>
        <x:v>0</x:v>
      </x:c>
      <x:c r="AC12" s="65" t="n">
        <x:f>MAX(0,Z12)+MAX(0,AA12)+MAX(0,AB12)</x:f>
        <x:v>20858.62280941946</x:v>
      </x:c>
      <x:c r="AD12" s="65" t="n">
        <x:f>MAX(0,-Z12)+MAX(0,-AA12)+MAX(0,-AB12)</x:f>
        <x:v>0</x:v>
      </x:c>
      <x:c r="AE12" s="65" t="n">
        <x:f>Q12+AC12</x:f>
        <x:v>37086.323900331496</x:v>
      </x:c>
      <x:c r="AF12" s="65" t="n">
        <x:f>U12+AD12</x:f>
        <x:v>0</x:v>
      </x:c>
    </x:row>
    <x:row r="13">
      <x:c r="A13" s="39" t="str">
        <x:f>'In_Monthly'!A13</x:f>
        <x:v>1|aggregate</x:v>
      </x:c>
      <x:c r="B13" s="39" t="str">
        <x:f>'In_Monthly'!B13</x:f>
        <x:v>1</x:v>
      </x:c>
      <x:c r="C13" s="39" t="str">
        <x:f>'In_Monthly'!C13</x:f>
        <x:v>Test building 1</x:v>
      </x:c>
      <x:c r="D13" s="39" t="str">
        <x:f>'In_Monthly'!D13</x:f>
        <x:v>aggregate</x:v>
      </x:c>
      <x:c r="E13" s="39" t="str">
        <x:f>'In_Monthly'!E13</x:f>
        <x:v>2023-12</x:v>
      </x:c>
      <x:c r="F13" s="65" t="n">
        <x:f>'In_Monthly'!F13</x:f>
        <x:v>31</x:v>
      </x:c>
      <x:c r="G13" s="65" t="n">
        <x:f>F13*24</x:f>
        <x:v>744</x:v>
      </x:c>
      <x:c r="H13" s="65" t="n">
        <x:f>'In_Monthly'!G13</x:f>
        <x:v>3.9963709677419357</x:v>
      </x:c>
      <x:c r="I13" s="65" t="n">
        <x:f>'In_Monthly'!K13</x:f>
        <x:v>1</x:v>
      </x:c>
      <x:c r="J13" s="65" t="n">
        <x:f>'In_Monthly'!L13</x:f>
        <x:v>0</x:v>
      </x:c>
      <x:c r="K13" s="65" t="n">
        <x:f>'In_Monthly'!J13*G13/1000</x:f>
        <x:v>19394.523393062173</x:v>
      </x:c>
      <x:c r="L13" s="65" t="n">
        <x:f>'Calc_Case'!E2+'Calc_Case'!F2+'Calc_Case'!G2</x:f>
        <x:v>4473.333005701532</x:v>
      </x:c>
      <x:c r="M13" s="65" t="n">
        <x:f>'Calc_Case'!H2</x:f>
        <x:v>4652.78534419043</x:v>
      </x:c>
      <x:c r="N13" s="65" t="n">
        <x:f>(L13*('In_Cases'!O2-H13)+M13*('In_Cases'!O2-'In_Cases'!U2))*G13*I13/1000</x:f>
        <x:v>49734.20553299089</x:v>
      </x:c>
      <x:c r="O13" s="65" t="n">
        <x:f>IF(N13&lt;=0,"",K13/N13)</x:f>
        <x:v>0.3899634705172264</x:v>
      </x:c>
      <x:c r="P13" s="65" t="n">
        <x:f>IF(N13&lt;=0,0,IF(ABS(O13-1)&lt;1E-9,'Calc_Case'!N2/('Calc_Case'!N2+1),(1-POWER(O13,'Calc_Case'!N2))/(1-POWER(O13,'Calc_Case'!N2+1))))</x:f>
        <x:v>0.9360521094059046</x:v>
      </x:c>
      <x:c r="Q13" s="65" t="n">
        <x:f>IF(N13&lt;=0,0,MAX(0,N13-P13*K13))</x:f>
        <x:v>31579.920999992883</x:v>
      </x:c>
      <x:c r="R13" s="65" t="n">
        <x:f>IF(J13&lt;=0,0,MAX(1E-12,(L13*('In_Cases'!P2-H13)+M13*('In_Cases'!P2-'In_Cases'!V2))*G13*J13/1000))</x:f>
        <x:v>0</x:v>
      </x:c>
      <x:c r="S13" s="65" t="str">
        <x:f>IF(J13&lt;=0,"",K13/R13)</x:f>
      </x:c>
      <x:c r="T13" s="65" t="n">
        <x:f>IF(J13&lt;=0,0,IF(ABS(S13-1)&lt;1E-9,'Calc_Case'!N2/('Calc_Case'!N2+1),(1-POWER(S13,-'Calc_Case'!N2))/(1-POWER(S13,-'Calc_Case'!N2-1))))</x:f>
        <x:v>0</x:v>
      </x:c>
      <x:c r="U13" s="65" t="n">
        <x:f>IF(J13&lt;=0,0,'In_Cases'!Q2*MAX(0,K13-T13*R13))</x:f>
        <x:v>0</x:v>
      </x:c>
      <x:c r="V13" s="65" t="n">
        <x:f>MAX(0,1-I13-J13)</x:f>
        <x:v>0</x:v>
      </x:c>
      <x:c r="W13" s="65" t="n">
        <x:f>'In_Cases'!T2*(H13+'In_Cases'!S2*('In_Cases'!O2-H13))+(1-'In_Cases'!T2)*'In_Cases'!O2</x:f>
        <x:v>13.898548387096772</x:v>
      </x:c>
      <x:c r="X13" s="65" t="n">
        <x:f>'In_Cases'!T2*(H13+'In_Cases'!S2*('In_Cases'!P2-H13))+(1-'In_Cases'!T2)*'In_Cases'!P2</x:f>
        <x:v>17.19854838709677</x:v>
      </x:c>
      <x:c r="Y13" s="65" t="n">
        <x:f>'In_Cases'!T2*(H13+'In_Cases'!S2*((('In_Cases'!O2+'In_Cases'!P2)/2)-H13))+(1-'In_Cases'!T2)*(('In_Cases'!O2+'In_Cases'!P2)/2)</x:f>
        <x:v>15.548548387096771</x:v>
      </x:c>
      <x:c r="Z13" s="65" t="n">
        <x:f>'In_Cases'!R2*M13*('In_Cases'!U2-W13)*G13*I13/1000</x:f>
        <x:v>28044.57060640093</x:v>
      </x:c>
      <x:c r="AA13" s="65" t="n">
        <x:f>'In_Cases'!R2*M13*('In_Cases'!V2-X13)*G13*J13/1000</x:f>
        <x:v>0</x:v>
      </x:c>
      <x:c r="AB13" s="65" t="n">
        <x:f>'In_Cases'!R2*M13*('In_Cases'!V2-Y13)*G13*V13/1000</x:f>
        <x:v>0</x:v>
      </x:c>
      <x:c r="AC13" s="65" t="n">
        <x:f>MAX(0,Z13)+MAX(0,AA13)+MAX(0,AB13)</x:f>
        <x:v>28044.57060640093</x:v>
      </x:c>
      <x:c r="AD13" s="65" t="n">
        <x:f>MAX(0,-Z13)+MAX(0,-AA13)+MAX(0,-AB13)</x:f>
        <x:v>0</x:v>
      </x:c>
      <x:c r="AE13" s="65" t="n">
        <x:f>Q13+AC13</x:f>
        <x:v>59624.491606393814</x:v>
      </x:c>
      <x:c r="AF13" s="65" t="n">
        <x:f>U13+AD13</x:f>
        <x:v>0</x:v>
      </x:c>
    </x:row>
    <x:row r="14">
      <x:c r="A14" s="39" t="str">
        <x:f>'In_Monthly'!A14</x:f>
        <x:v>1|lower</x:v>
      </x:c>
      <x:c r="B14" s="39" t="str">
        <x:f>'In_Monthly'!B14</x:f>
        <x:v>1</x:v>
      </x:c>
      <x:c r="C14" s="39" t="str">
        <x:f>'In_Monthly'!C14</x:f>
        <x:v>Test building 1</x:v>
      </x:c>
      <x:c r="D14" s="39" t="str">
        <x:f>'In_Monthly'!D14</x:f>
        <x:v>lower</x:v>
      </x:c>
      <x:c r="E14" s="39" t="str">
        <x:f>'In_Monthly'!E14</x:f>
        <x:v>2023-01</x:v>
      </x:c>
      <x:c r="F14" s="65" t="n">
        <x:f>'In_Monthly'!F14</x:f>
        <x:v>31</x:v>
      </x:c>
      <x:c r="G14" s="65" t="n">
        <x:f>F14*24</x:f>
        <x:v>744</x:v>
      </x:c>
      <x:c r="H14" s="65" t="n">
        <x:f>'In_Monthly'!G14</x:f>
        <x:v>2.638440860215054</x:v>
      </x:c>
      <x:c r="I14" s="65" t="n">
        <x:f>'In_Monthly'!K14</x:f>
        <x:v>1</x:v>
      </x:c>
      <x:c r="J14" s="65" t="n">
        <x:f>'In_Monthly'!L14</x:f>
        <x:v>0</x:v>
      </x:c>
      <x:c r="K14" s="65" t="n">
        <x:f>'In_Monthly'!J14*G14/1000</x:f>
        <x:v>17380.990246649653</x:v>
      </x:c>
      <x:c r="L14" s="65" t="n">
        <x:f>'Calc_Case'!E3+'Calc_Case'!F3+'Calc_Case'!G3</x:f>
        <x:v>1762.3006158051226</x:v>
      </x:c>
      <x:c r="M14" s="65" t="n">
        <x:f>'Calc_Case'!H3</x:f>
        <x:v>2496.222032862305</x:v>
      </x:c>
      <x:c r="N14" s="65" t="n">
        <x:f>(L14*('In_Cases'!O3-H14)+M14*('In_Cases'!O3-'In_Cases'!U3))*G14*I14/1000</x:f>
        <x:v>25385.94037067279</x:v>
      </x:c>
      <x:c r="O14" s="65" t="n">
        <x:f>IF(N14&lt;=0,"",K14/N14)</x:f>
        <x:v>0.684669939063164</x:v>
      </x:c>
      <x:c r="P14" s="65" t="n">
        <x:f>IF(N14&lt;=0,0,IF(ABS(O14-1)&lt;1E-9,'Calc_Case'!N3/('Calc_Case'!N3+1),(1-POWER(O14,'Calc_Case'!N3))/(1-POWER(O14,'Calc_Case'!N3+1))))</x:f>
        <x:v>0.8150317869396334</x:v>
      </x:c>
      <x:c r="Q14" s="65" t="n">
        <x:f>IF(N14&lt;=0,0,MAX(0,N14-P14*K14))</x:f>
        <x:v>11219.880831165583</x:v>
      </x:c>
      <x:c r="R14" s="65" t="n">
        <x:f>IF(J14&lt;=0,0,MAX(1E-12,(L14*('In_Cases'!P3-H14)+M14*('In_Cases'!P3-'In_Cases'!V3))*G14*J14/1000))</x:f>
        <x:v>0</x:v>
      </x:c>
      <x:c r="S14" s="65" t="str">
        <x:f>IF(J14&lt;=0,"",K14/R14)</x:f>
      </x:c>
      <x:c r="T14" s="65" t="n">
        <x:f>IF(J14&lt;=0,0,IF(ABS(S14-1)&lt;1E-9,'Calc_Case'!N3/('Calc_Case'!N3+1),(1-POWER(S14,-'Calc_Case'!N3))/(1-POWER(S14,-'Calc_Case'!N3-1))))</x:f>
        <x:v>0</x:v>
      </x:c>
      <x:c r="U14" s="65" t="n">
        <x:f>IF(J14&lt;=0,0,'In_Cases'!Q3*MAX(0,K14-T14*R14))</x:f>
        <x:v>0</x:v>
      </x:c>
      <x:c r="V14" s="65" t="n">
        <x:f>MAX(0,1-I14-J14)</x:f>
        <x:v>0</x:v>
      </x:c>
      <x:c r="W14" s="65" t="n">
        <x:f>'In_Cases'!T3*(H14+'In_Cases'!S3*('In_Cases'!O3-H14))+(1-'In_Cases'!T3)*'In_Cases'!O3</x:f>
        <x:v>14.25537634408602</x:v>
      </x:c>
      <x:c r="X14" s="65" t="n">
        <x:f>'In_Cases'!T3*(H14+'In_Cases'!S3*('In_Cases'!P3-H14))+(1-'In_Cases'!T3)*'In_Cases'!P3</x:f>
        <x:v>16.655376344086022</x:v>
      </x:c>
      <x:c r="Y14" s="65" t="n">
        <x:f>'In_Cases'!T3*(H14+'In_Cases'!S3*((('In_Cases'!O3+'In_Cases'!P3)/2)-H14))+(1-'In_Cases'!T3)*(('In_Cases'!O3+'In_Cases'!P3)/2)</x:f>
        <x:v>15.45537634408602</x:v>
      </x:c>
      <x:c r="Z14" s="65" t="n">
        <x:f>'In_Cases'!R3*M14*('In_Cases'!U3-W14)*G14*I14/1000</x:f>
        <x:v>14383.231353352603</x:v>
      </x:c>
      <x:c r="AA14" s="65" t="n">
        <x:f>'In_Cases'!R3*M14*('In_Cases'!V3-X14)*G14*J14/1000</x:f>
        <x:v>0</x:v>
      </x:c>
      <x:c r="AB14" s="65" t="n">
        <x:f>'In_Cases'!R3*M14*('In_Cases'!V3-Y14)*G14*V14/1000</x:f>
        <x:v>0</x:v>
      </x:c>
      <x:c r="AC14" s="65" t="n">
        <x:f>MAX(0,Z14)+MAX(0,AA14)+MAX(0,AB14)</x:f>
        <x:v>14383.231353352603</x:v>
      </x:c>
      <x:c r="AD14" s="65" t="n">
        <x:f>MAX(0,-Z14)+MAX(0,-AA14)+MAX(0,-AB14)</x:f>
        <x:v>0</x:v>
      </x:c>
      <x:c r="AE14" s="65" t="n">
        <x:f>Q14+AC14</x:f>
        <x:v>25603.112184518184</x:v>
      </x:c>
      <x:c r="AF14" s="65" t="n">
        <x:f>U14+AD14</x:f>
        <x:v>0</x:v>
      </x:c>
    </x:row>
    <x:row r="15">
      <x:c r="A15" s="39" t="str">
        <x:f>'In_Monthly'!A15</x:f>
        <x:v>1|lower</x:v>
      </x:c>
      <x:c r="B15" s="39" t="str">
        <x:f>'In_Monthly'!B15</x:f>
        <x:v>1</x:v>
      </x:c>
      <x:c r="C15" s="39" t="str">
        <x:f>'In_Monthly'!C15</x:f>
        <x:v>Test building 1</x:v>
      </x:c>
      <x:c r="D15" s="39" t="str">
        <x:f>'In_Monthly'!D15</x:f>
        <x:v>lower</x:v>
      </x:c>
      <x:c r="E15" s="39" t="str">
        <x:f>'In_Monthly'!E15</x:f>
        <x:v>2023-02</x:v>
      </x:c>
      <x:c r="F15" s="65" t="n">
        <x:f>'In_Monthly'!F15</x:f>
        <x:v>28</x:v>
      </x:c>
      <x:c r="G15" s="65" t="n">
        <x:f>F15*24</x:f>
        <x:v>672</x:v>
      </x:c>
      <x:c r="H15" s="65" t="n">
        <x:f>'In_Monthly'!G15</x:f>
        <x:v>3.8903273809523813</x:v>
      </x:c>
      <x:c r="I15" s="65" t="n">
        <x:f>'In_Monthly'!K15</x:f>
        <x:v>1</x:v>
      </x:c>
      <x:c r="J15" s="65" t="n">
        <x:f>'In_Monthly'!L15</x:f>
        <x:v>0</x:v>
      </x:c>
      <x:c r="K15" s="65" t="n">
        <x:f>'In_Monthly'!J15*G15/1000</x:f>
        <x:v>15903.42097904507</x:v>
      </x:c>
      <x:c r="L15" s="65" t="n">
        <x:f>'Calc_Case'!E3+'Calc_Case'!F3+'Calc_Case'!G3</x:f>
        <x:v>1762.3006158051226</x:v>
      </x:c>
      <x:c r="M15" s="65" t="n">
        <x:f>'Calc_Case'!H3</x:f>
        <x:v>2496.222032862305</x:v>
      </x:c>
      <x:c r="N15" s="65" t="n">
        <x:f>(L15*('In_Cases'!O3-H15)+M15*('In_Cases'!O3-'In_Cases'!U3))*G15*I15/1000</x:f>
        <x:v>21446.669804163597</x:v>
      </x:c>
      <x:c r="O15" s="65" t="n">
        <x:f>IF(N15&lt;=0,"",K15/N15)</x:f>
        <x:v>0.7415333533953893</x:v>
      </x:c>
      <x:c r="P15" s="65" t="n">
        <x:f>IF(N15&lt;=0,0,IF(ABS(O15-1)&lt;1E-9,'Calc_Case'!N3/('Calc_Case'!N3+1),(1-POWER(O15,'Calc_Case'!N3))/(1-POWER(O15,'Calc_Case'!N3+1))))</x:f>
        <x:v>0.7927987572242289</x:v>
      </x:c>
      <x:c r="Q15" s="65" t="n">
        <x:f>IF(N15&lt;=0,0,MAX(0,N15-P15*K15))</x:f>
        <x:v>8838.457416362937</x:v>
      </x:c>
      <x:c r="R15" s="65" t="n">
        <x:f>IF(J15&lt;=0,0,MAX(1E-12,(L15*('In_Cases'!P3-H15)+M15*('In_Cases'!P3-'In_Cases'!V3))*G15*J15/1000))</x:f>
        <x:v>0</x:v>
      </x:c>
      <x:c r="S15" s="65" t="str">
        <x:f>IF(J15&lt;=0,"",K15/R15)</x:f>
      </x:c>
      <x:c r="T15" s="65" t="n">
        <x:f>IF(J15&lt;=0,0,IF(ABS(S15-1)&lt;1E-9,'Calc_Case'!N3/('Calc_Case'!N3+1),(1-POWER(S15,-'Calc_Case'!N3))/(1-POWER(S15,-'Calc_Case'!N3-1))))</x:f>
        <x:v>0</x:v>
      </x:c>
      <x:c r="U15" s="65" t="n">
        <x:f>IF(J15&lt;=0,0,'In_Cases'!Q3*MAX(0,K15-T15*R15))</x:f>
        <x:v>0</x:v>
      </x:c>
      <x:c r="V15" s="65" t="n">
        <x:f>MAX(0,1-I15-J15)</x:f>
        <x:v>0</x:v>
      </x:c>
      <x:c r="W15" s="65" t="n">
        <x:f>'In_Cases'!T3*(H15+'In_Cases'!S3*('In_Cases'!O3-H15))+(1-'In_Cases'!T3)*'In_Cases'!O3</x:f>
        <x:v>14.756130952380952</x:v>
      </x:c>
      <x:c r="X15" s="65" t="n">
        <x:f>'In_Cases'!T3*(H15+'In_Cases'!S3*('In_Cases'!P3-H15))+(1-'In_Cases'!T3)*'In_Cases'!P3</x:f>
        <x:v>17.156130952380952</x:v>
      </x:c>
      <x:c r="Y15" s="65" t="n">
        <x:f>'In_Cases'!T3*(H15+'In_Cases'!S3*((('In_Cases'!O3+'In_Cases'!P3)/2)-H15))+(1-'In_Cases'!T3)*(('In_Cases'!O3+'In_Cases'!P3)/2)</x:f>
        <x:v>15.956130952380953</x:v>
      </x:c>
      <x:c r="Z15" s="65" t="n">
        <x:f>'In_Cases'!R3*M15*('In_Cases'!U3-W15)*G15*I15/1000</x:f>
        <x:v>12151.309309329756</x:v>
      </x:c>
      <x:c r="AA15" s="65" t="n">
        <x:f>'In_Cases'!R3*M15*('In_Cases'!V3-X15)*G15*J15/1000</x:f>
        <x:v>0</x:v>
      </x:c>
      <x:c r="AB15" s="65" t="n">
        <x:f>'In_Cases'!R3*M15*('In_Cases'!V3-Y15)*G15*V15/1000</x:f>
        <x:v>0</x:v>
      </x:c>
      <x:c r="AC15" s="65" t="n">
        <x:f>MAX(0,Z15)+MAX(0,AA15)+MAX(0,AB15)</x:f>
        <x:v>12151.309309329756</x:v>
      </x:c>
      <x:c r="AD15" s="65" t="n">
        <x:f>MAX(0,-Z15)+MAX(0,-AA15)+MAX(0,-AB15)</x:f>
        <x:v>0</x:v>
      </x:c>
      <x:c r="AE15" s="65" t="n">
        <x:f>Q15+AC15</x:f>
        <x:v>20989.766725692694</x:v>
      </x:c>
      <x:c r="AF15" s="65" t="n">
        <x:f>U15+AD15</x:f>
        <x:v>0</x:v>
      </x:c>
    </x:row>
    <x:row r="16">
      <x:c r="A16" s="39" t="str">
        <x:f>'In_Monthly'!A16</x:f>
        <x:v>1|lower</x:v>
      </x:c>
      <x:c r="B16" s="39" t="str">
        <x:f>'In_Monthly'!B16</x:f>
        <x:v>1</x:v>
      </x:c>
      <x:c r="C16" s="39" t="str">
        <x:f>'In_Monthly'!C16</x:f>
        <x:v>Test building 1</x:v>
      </x:c>
      <x:c r="D16" s="39" t="str">
        <x:f>'In_Monthly'!D16</x:f>
        <x:v>lower</x:v>
      </x:c>
      <x:c r="E16" s="39" t="str">
        <x:f>'In_Monthly'!E16</x:f>
        <x:v>2023-03</x:v>
      </x:c>
      <x:c r="F16" s="65" t="n">
        <x:f>'In_Monthly'!F16</x:f>
        <x:v>31</x:v>
      </x:c>
      <x:c r="G16" s="65" t="n">
        <x:f>F16*24</x:f>
        <x:v>744</x:v>
      </x:c>
      <x:c r="H16" s="65" t="n">
        <x:f>'In_Monthly'!G16</x:f>
        <x:v>7.746908602150539</x:v>
      </x:c>
      <x:c r="I16" s="65" t="n">
        <x:f>'In_Monthly'!K16</x:f>
        <x:v>1</x:v>
      </x:c>
      <x:c r="J16" s="65" t="n">
        <x:f>'In_Monthly'!L16</x:f>
        <x:v>0</x:v>
      </x:c>
      <x:c r="K16" s="65" t="n">
        <x:f>'In_Monthly'!J16*G16/1000</x:f>
        <x:v>18431.15222991399</x:v>
      </x:c>
      <x:c r="L16" s="65" t="n">
        <x:f>'Calc_Case'!E3+'Calc_Case'!F3+'Calc_Case'!G3</x:f>
        <x:v>1762.3006158051226</x:v>
      </x:c>
      <x:c r="M16" s="65" t="n">
        <x:f>'Calc_Case'!H3</x:f>
        <x:v>2496.222032862305</x:v>
      </x:c>
      <x:c r="N16" s="65" t="n">
        <x:f>(L16*('In_Cases'!O3-H16)+M16*('In_Cases'!O3-'In_Cases'!U3))*G16*I16/1000</x:f>
        <x:v>18687.964420182263</x:v>
      </x:c>
      <x:c r="O16" s="65" t="n">
        <x:f>IF(N16&lt;=0,"",K16/N16)</x:f>
        <x:v>0.9862578831758195</x:v>
      </x:c>
      <x:c r="P16" s="65" t="n">
        <x:f>IF(N16&lt;=0,0,IF(ABS(O16-1)&lt;1E-9,'Calc_Case'!N3/('Calc_Case'!N3+1),(1-POWER(O16,'Calc_Case'!N3))/(1-POWER(O16,'Calc_Case'!N3+1))))</x:f>
        <x:v>0.7017236788844807</x:v>
      </x:c>
      <x:c r="Q16" s="65" t="n">
        <x:f>IF(N16&lt;=0,0,MAX(0,N16-P16*K16))</x:f>
        <x:v>5754.388471327116</x:v>
      </x:c>
      <x:c r="R16" s="65" t="n">
        <x:f>IF(J16&lt;=0,0,MAX(1E-12,(L16*('In_Cases'!P3-H16)+M16*('In_Cases'!P3-'In_Cases'!V3))*G16*J16/1000))</x:f>
        <x:v>0</x:v>
      </x:c>
      <x:c r="S16" s="65" t="str">
        <x:f>IF(J16&lt;=0,"",K16/R16)</x:f>
      </x:c>
      <x:c r="T16" s="65" t="n">
        <x:f>IF(J16&lt;=0,0,IF(ABS(S16-1)&lt;1E-9,'Calc_Case'!N3/('Calc_Case'!N3+1),(1-POWER(S16,-'Calc_Case'!N3))/(1-POWER(S16,-'Calc_Case'!N3-1))))</x:f>
        <x:v>0</x:v>
      </x:c>
      <x:c r="U16" s="65" t="n">
        <x:f>IF(J16&lt;=0,0,'In_Cases'!Q3*MAX(0,K16-T16*R16))</x:f>
        <x:v>0</x:v>
      </x:c>
      <x:c r="V16" s="65" t="n">
        <x:f>MAX(0,1-I16-J16)</x:f>
        <x:v>0</x:v>
      </x:c>
      <x:c r="W16" s="65" t="n">
        <x:f>'In_Cases'!T3*(H16+'In_Cases'!S3*('In_Cases'!O3-H16))+(1-'In_Cases'!T3)*'In_Cases'!O3</x:f>
        <x:v>16.298763440860213</x:v>
      </x:c>
      <x:c r="X16" s="65" t="n">
        <x:f>'In_Cases'!T3*(H16+'In_Cases'!S3*('In_Cases'!P3-H16))+(1-'In_Cases'!T3)*'In_Cases'!P3</x:f>
        <x:v>18.698763440860212</x:v>
      </x:c>
      <x:c r="Y16" s="65" t="n">
        <x:f>'In_Cases'!T3*(H16+'In_Cases'!S3*((('In_Cases'!O3+'In_Cases'!P3)/2)-H16))+(1-'In_Cases'!T3)*(('In_Cases'!O3+'In_Cases'!P3)/2)</x:f>
        <x:v>17.498763440860216</x:v>
      </x:c>
      <x:c r="Z16" s="65" t="n">
        <x:f>'In_Cases'!R3*M16*('In_Cases'!U3-W16)*G16*I16/1000</x:f>
        <x:v>10588.274921232698</x:v>
      </x:c>
      <x:c r="AA16" s="65" t="n">
        <x:f>'In_Cases'!R3*M16*('In_Cases'!V3-X16)*G16*J16/1000</x:f>
        <x:v>0</x:v>
      </x:c>
      <x:c r="AB16" s="65" t="n">
        <x:f>'In_Cases'!R3*M16*('In_Cases'!V3-Y16)*G16*V16/1000</x:f>
        <x:v>0</x:v>
      </x:c>
      <x:c r="AC16" s="65" t="n">
        <x:f>MAX(0,Z16)+MAX(0,AA16)+MAX(0,AB16)</x:f>
        <x:v>10588.274921232698</x:v>
      </x:c>
      <x:c r="AD16" s="65" t="n">
        <x:f>MAX(0,-Z16)+MAX(0,-AA16)+MAX(0,-AB16)</x:f>
        <x:v>0</x:v>
      </x:c>
      <x:c r="AE16" s="65" t="n">
        <x:f>Q16+AC16</x:f>
        <x:v>16342.663392559814</x:v>
      </x:c>
      <x:c r="AF16" s="65" t="n">
        <x:f>U16+AD16</x:f>
        <x:v>0</x:v>
      </x:c>
    </x:row>
    <x:row r="17">
      <x:c r="A17" s="39" t="str">
        <x:f>'In_Monthly'!A17</x:f>
        <x:v>1|lower</x:v>
      </x:c>
      <x:c r="B17" s="39" t="str">
        <x:f>'In_Monthly'!B17</x:f>
        <x:v>1</x:v>
      </x:c>
      <x:c r="C17" s="39" t="str">
        <x:f>'In_Monthly'!C17</x:f>
        <x:v>Test building 1</x:v>
      </x:c>
      <x:c r="D17" s="39" t="str">
        <x:f>'In_Monthly'!D17</x:f>
        <x:v>lower</x:v>
      </x:c>
      <x:c r="E17" s="39" t="str">
        <x:f>'In_Monthly'!E17</x:f>
        <x:v>2023-04</x:v>
      </x:c>
      <x:c r="F17" s="65" t="n">
        <x:f>'In_Monthly'!F17</x:f>
        <x:v>30</x:v>
      </x:c>
      <x:c r="G17" s="65" t="n">
        <x:f>F17*24</x:f>
        <x:v>720</x:v>
      </x:c>
      <x:c r="H17" s="65" t="n">
        <x:f>'In_Monthly'!G17</x:f>
        <x:v>12.03041666666667</x:v>
      </x:c>
      <x:c r="I17" s="65" t="n">
        <x:f>'In_Monthly'!K17</x:f>
        <x:v>1</x:v>
      </x:c>
      <x:c r="J17" s="65" t="n">
        <x:f>'In_Monthly'!L17</x:f>
        <x:v>0</x:v>
      </x:c>
      <x:c r="K17" s="65" t="n">
        <x:f>'In_Monthly'!J17*G17/1000</x:f>
        <x:v>18430.491225736587</x:v>
      </x:c>
      <x:c r="L17" s="65" t="n">
        <x:f>'Calc_Case'!E3+'Calc_Case'!F3+'Calc_Case'!G3</x:f>
        <x:v>1762.3006158051226</x:v>
      </x:c>
      <x:c r="M17" s="65" t="n">
        <x:f>'Calc_Case'!H3</x:f>
        <x:v>2496.222032862305</x:v>
      </x:c>
      <x:c r="N17" s="65" t="n">
        <x:f>(L17*('In_Cases'!O3-H17)+M17*('In_Cases'!O3-'In_Cases'!U3))*G17*I17/1000</x:f>
        <x:v>12649.970050310747</x:v>
      </x:c>
      <x:c r="O17" s="65" t="n">
        <x:f>IF(N17&lt;=0,"",K17/N17)</x:f>
        <x:v>1.4569592775663402</x:v>
      </x:c>
      <x:c r="P17" s="65" t="n">
        <x:f>IF(N17&lt;=0,0,IF(ABS(O17-1)&lt;1E-9,'Calc_Case'!N3/('Calc_Case'!N3+1),(1-POWER(O17,'Calc_Case'!N3))/(1-POWER(O17,'Calc_Case'!N3+1))))</x:f>
        <x:v>0.5589503735916944</x:v>
      </x:c>
      <x:c r="Q17" s="65" t="n">
        <x:f>IF(N17&lt;=0,0,MAX(0,N17-P17*K17))</x:f>
        <x:v>2348.240094206836</x:v>
      </x:c>
      <x:c r="R17" s="65" t="n">
        <x:f>IF(J17&lt;=0,0,MAX(1E-12,(L17*('In_Cases'!P3-H17)+M17*('In_Cases'!P3-'In_Cases'!V3))*G17*J17/1000))</x:f>
        <x:v>0</x:v>
      </x:c>
      <x:c r="S17" s="65" t="str">
        <x:f>IF(J17&lt;=0,"",K17/R17)</x:f>
      </x:c>
      <x:c r="T17" s="65" t="n">
        <x:f>IF(J17&lt;=0,0,IF(ABS(S17-1)&lt;1E-9,'Calc_Case'!N3/('Calc_Case'!N3+1),(1-POWER(S17,-'Calc_Case'!N3))/(1-POWER(S17,-'Calc_Case'!N3-1))))</x:f>
        <x:v>0</x:v>
      </x:c>
      <x:c r="U17" s="65" t="n">
        <x:f>IF(J17&lt;=0,0,'In_Cases'!Q3*MAX(0,K17-T17*R17))</x:f>
        <x:v>0</x:v>
      </x:c>
      <x:c r="V17" s="65" t="n">
        <x:f>MAX(0,1-I17-J17)</x:f>
        <x:v>0</x:v>
      </x:c>
      <x:c r="W17" s="65" t="n">
        <x:f>'In_Cases'!T3*(H17+'In_Cases'!S3*('In_Cases'!O3-H17))+(1-'In_Cases'!T3)*'In_Cases'!O3</x:f>
        <x:v>18.012166666666666</x:v>
      </x:c>
      <x:c r="X17" s="65" t="n">
        <x:f>'In_Cases'!T3*(H17+'In_Cases'!S3*('In_Cases'!P3-H17))+(1-'In_Cases'!T3)*'In_Cases'!P3</x:f>
        <x:v>20.412166666666668</x:v>
      </x:c>
      <x:c r="Y17" s="65" t="n">
        <x:f>'In_Cases'!T3*(H17+'In_Cases'!S3*((('In_Cases'!O3+'In_Cases'!P3)/2)-H17))+(1-'In_Cases'!T3)*(('In_Cases'!O3+'In_Cases'!P3)/2)</x:f>
        <x:v>19.21216666666667</x:v>
      </x:c>
      <x:c r="Z17" s="65" t="n">
        <x:f>'In_Cases'!R3*M17*('In_Cases'!U3-W17)*G17*I17/1000</x:f>
        <x:v>7167.252549635565</x:v>
      </x:c>
      <x:c r="AA17" s="65" t="n">
        <x:f>'In_Cases'!R3*M17*('In_Cases'!V3-X17)*G17*J17/1000</x:f>
        <x:v>0</x:v>
      </x:c>
      <x:c r="AB17" s="65" t="n">
        <x:f>'In_Cases'!R3*M17*('In_Cases'!V3-Y17)*G17*V17/1000</x:f>
        <x:v>0</x:v>
      </x:c>
      <x:c r="AC17" s="65" t="n">
        <x:f>MAX(0,Z17)+MAX(0,AA17)+MAX(0,AB17)</x:f>
        <x:v>7167.252549635565</x:v>
      </x:c>
      <x:c r="AD17" s="65" t="n">
        <x:f>MAX(0,-Z17)+MAX(0,-AA17)+MAX(0,-AB17)</x:f>
        <x:v>0</x:v>
      </x:c>
      <x:c r="AE17" s="65" t="n">
        <x:f>Q17+AC17</x:f>
        <x:v>9515.4926438424</x:v>
      </x:c>
      <x:c r="AF17" s="65" t="n">
        <x:f>U17+AD17</x:f>
        <x:v>0</x:v>
      </x:c>
    </x:row>
    <x:row r="18">
      <x:c r="A18" s="39" t="str">
        <x:f>'In_Monthly'!A18</x:f>
        <x:v>1|lower</x:v>
      </x:c>
      <x:c r="B18" s="39" t="str">
        <x:f>'In_Monthly'!B18</x:f>
        <x:v>1</x:v>
      </x:c>
      <x:c r="C18" s="39" t="str">
        <x:f>'In_Monthly'!C18</x:f>
        <x:v>Test building 1</x:v>
      </x:c>
      <x:c r="D18" s="39" t="str">
        <x:f>'In_Monthly'!D18</x:f>
        <x:v>lower</x:v>
      </x:c>
      <x:c r="E18" s="39" t="str">
        <x:f>'In_Monthly'!E18</x:f>
        <x:v>2023-05</x:v>
      </x:c>
      <x:c r="F18" s="65" t="n">
        <x:f>'In_Monthly'!F18</x:f>
        <x:v>31</x:v>
      </x:c>
      <x:c r="G18" s="65" t="n">
        <x:f>F18*24</x:f>
        <x:v>744</x:v>
      </x:c>
      <x:c r="H18" s="65" t="n">
        <x:f>'In_Monthly'!G18</x:f>
        <x:v>17.244086021505375</x:v>
      </x:c>
      <x:c r="I18" s="65" t="n">
        <x:f>'In_Monthly'!K18</x:f>
        <x:v>0</x:v>
      </x:c>
      <x:c r="J18" s="65" t="n">
        <x:f>'In_Monthly'!L18</x:f>
        <x:v>0</x:v>
      </x:c>
      <x:c r="K18" s="65" t="n">
        <x:f>'In_Monthly'!J18*G18/1000</x:f>
        <x:v>19607.673133232936</x:v>
      </x:c>
      <x:c r="L18" s="65" t="n">
        <x:f>'Calc_Case'!E3+'Calc_Case'!F3+'Calc_Case'!G3</x:f>
        <x:v>1762.3006158051226</x:v>
      </x:c>
      <x:c r="M18" s="65" t="n">
        <x:f>'Calc_Case'!H3</x:f>
        <x:v>2496.222032862305</x:v>
      </x:c>
      <x:c r="N18" s="65" t="n">
        <x:f>(L18*('In_Cases'!O3-H18)+M18*('In_Cases'!O3-'In_Cases'!U3))*G18*I18/1000</x:f>
        <x:v>0</x:v>
      </x:c>
      <x:c r="O18" s="65" t="str">
        <x:f>IF(N18&lt;=0,"",K18/N18)</x:f>
      </x:c>
      <x:c r="P18" s="65" t="n">
        <x:f>IF(N18&lt;=0,0,IF(ABS(O18-1)&lt;1E-9,'Calc_Case'!N3/('Calc_Case'!N3+1),(1-POWER(O18,'Calc_Case'!N3))/(1-POWER(O18,'Calc_Case'!N3+1))))</x:f>
        <x:v>0</x:v>
      </x:c>
      <x:c r="Q18" s="65" t="n">
        <x:f>IF(N18&lt;=0,0,MAX(0,N18-P18*K18))</x:f>
        <x:v>0</x:v>
      </x:c>
      <x:c r="R18" s="65" t="n">
        <x:f>IF(J18&lt;=0,0,MAX(1E-12,(L18*('In_Cases'!P3-H18)+M18*('In_Cases'!P3-'In_Cases'!V3))*G18*J18/1000))</x:f>
        <x:v>0</x:v>
      </x:c>
      <x:c r="S18" s="65" t="str">
        <x:f>IF(J18&lt;=0,"",K18/R18)</x:f>
      </x:c>
      <x:c r="T18" s="65" t="n">
        <x:f>IF(J18&lt;=0,0,IF(ABS(S18-1)&lt;1E-9,'Calc_Case'!N3/('Calc_Case'!N3+1),(1-POWER(S18,-'Calc_Case'!N3))/(1-POWER(S18,-'Calc_Case'!N3-1))))</x:f>
        <x:v>0</x:v>
      </x:c>
      <x:c r="U18" s="65" t="n">
        <x:f>IF(J18&lt;=0,0,'In_Cases'!Q3*MAX(0,K18-T18*R18))</x:f>
        <x:v>0</x:v>
      </x:c>
      <x:c r="V18" s="65" t="n">
        <x:f>MAX(0,1-I18-J18)</x:f>
        <x:v>1</x:v>
      </x:c>
      <x:c r="W18" s="65" t="n">
        <x:f>'In_Cases'!T3*(H18+'In_Cases'!S3*('In_Cases'!O3-H18))+(1-'In_Cases'!T3)*'In_Cases'!O3</x:f>
        <x:v>20.09763440860215</x:v>
      </x:c>
      <x:c r="X18" s="65" t="n">
        <x:f>'In_Cases'!T3*(H18+'In_Cases'!S3*('In_Cases'!P3-H18))+(1-'In_Cases'!T3)*'In_Cases'!P3</x:f>
        <x:v>22.49763440860215</x:v>
      </x:c>
      <x:c r="Y18" s="65" t="n">
        <x:f>'In_Cases'!T3*(H18+'In_Cases'!S3*((('In_Cases'!O3+'In_Cases'!P3)/2)-H18))+(1-'In_Cases'!T3)*(('In_Cases'!O3+'In_Cases'!P3)/2)</x:f>
        <x:v>21.29763440860215</x:v>
      </x:c>
      <x:c r="Z18" s="65" t="n">
        <x:f>'In_Cases'!R3*M18*('In_Cases'!U3-W18)*G18*I18/1000</x:f>
        <x:v>0</x:v>
      </x:c>
      <x:c r="AA18" s="65" t="n">
        <x:f>'In_Cases'!R3*M18*('In_Cases'!V3-X18)*G18*J18/1000</x:f>
        <x:v>0</x:v>
      </x:c>
      <x:c r="AB18" s="65" t="n">
        <x:f>'In_Cases'!R3*M18*('In_Cases'!V3-Y18)*G18*V18/1000</x:f>
        <x:v>3161.614977942082</x:v>
      </x:c>
      <x:c r="AC18" s="65" t="n">
        <x:f>MAX(0,Z18)+MAX(0,AA18)+MAX(0,AB18)</x:f>
        <x:v>3161.614977942082</x:v>
      </x:c>
      <x:c r="AD18" s="65" t="n">
        <x:f>MAX(0,-Z18)+MAX(0,-AA18)+MAX(0,-AB18)</x:f>
        <x:v>0</x:v>
      </x:c>
      <x:c r="AE18" s="65" t="n">
        <x:f>Q18+AC18</x:f>
        <x:v>3161.614977942082</x:v>
      </x:c>
      <x:c r="AF18" s="65" t="n">
        <x:f>U18+AD18</x:f>
        <x:v>0</x:v>
      </x:c>
    </x:row>
    <x:row r="19">
      <x:c r="A19" s="39" t="str">
        <x:f>'In_Monthly'!A19</x:f>
        <x:v>1|lower</x:v>
      </x:c>
      <x:c r="B19" s="39" t="str">
        <x:f>'In_Monthly'!B19</x:f>
        <x:v>1</x:v>
      </x:c>
      <x:c r="C19" s="39" t="str">
        <x:f>'In_Monthly'!C19</x:f>
        <x:v>Test building 1</x:v>
      </x:c>
      <x:c r="D19" s="39" t="str">
        <x:f>'In_Monthly'!D19</x:f>
        <x:v>lower</x:v>
      </x:c>
      <x:c r="E19" s="39" t="str">
        <x:f>'In_Monthly'!E19</x:f>
        <x:v>2023-06</x:v>
      </x:c>
      <x:c r="F19" s="65" t="n">
        <x:f>'In_Monthly'!F19</x:f>
        <x:v>30</x:v>
      </x:c>
      <x:c r="G19" s="65" t="n">
        <x:f>F19*24</x:f>
        <x:v>720</x:v>
      </x:c>
      <x:c r="H19" s="65" t="n">
        <x:f>'In_Monthly'!G19</x:f>
        <x:v>20.758194444444445</x:v>
      </x:c>
      <x:c r="I19" s="65" t="n">
        <x:f>'In_Monthly'!K19</x:f>
        <x:v>0</x:v>
      </x:c>
      <x:c r="J19" s="65" t="n">
        <x:f>'In_Monthly'!L19</x:f>
        <x:v>1</x:v>
      </x:c>
      <x:c r="K19" s="65" t="n">
        <x:f>'In_Monthly'!J19*G19/1000</x:f>
        <x:v>19139.567404276975</x:v>
      </x:c>
      <x:c r="L19" s="65" t="n">
        <x:f>'Calc_Case'!E3+'Calc_Case'!F3+'Calc_Case'!G3</x:f>
        <x:v>1762.3006158051226</x:v>
      </x:c>
      <x:c r="M19" s="65" t="n">
        <x:f>'Calc_Case'!H3</x:f>
        <x:v>2496.222032862305</x:v>
      </x:c>
      <x:c r="N19" s="65" t="n">
        <x:f>(L19*('In_Cases'!O3-H19)+M19*('In_Cases'!O3-'In_Cases'!U3))*G19*I19/1000</x:f>
        <x:v>0</x:v>
      </x:c>
      <x:c r="O19" s="65" t="str">
        <x:f>IF(N19&lt;=0,"",K19/N19)</x:f>
      </x:c>
      <x:c r="P19" s="65" t="n">
        <x:f>IF(N19&lt;=0,0,IF(ABS(O19-1)&lt;1E-9,'Calc_Case'!N3/('Calc_Case'!N3+1),(1-POWER(O19,'Calc_Case'!N3))/(1-POWER(O19,'Calc_Case'!N3+1))))</x:f>
        <x:v>0</x:v>
      </x:c>
      <x:c r="Q19" s="65" t="n">
        <x:f>IF(N19&lt;=0,0,MAX(0,N19-P19*K19))</x:f>
        <x:v>0</x:v>
      </x:c>
      <x:c r="R19" s="65" t="n">
        <x:f>IF(J19&lt;=0,0,MAX(1E-12,(L19*('In_Cases'!P3-H19)+M19*('In_Cases'!P3-'In_Cases'!V3))*G19*J19/1000))</x:f>
        <x:v>12042.938345092689</x:v>
      </x:c>
      <x:c r="S19" s="65" t="n">
        <x:f>IF(J19&lt;=0,"",K19/R19)</x:f>
        <x:v>1.589277205930067</x:v>
      </x:c>
      <x:c r="T19" s="65" t="n">
        <x:f>IF(J19&lt;=0,0,IF(ABS(S19-1)&lt;1E-9,'Calc_Case'!N3/('Calc_Case'!N3+1),(1-POWER(S19,-'Calc_Case'!N3))/(1-POWER(S19,-'Calc_Case'!N3-1))))</x:f>
        <x:v>0.8368332130189806</x:v>
      </x:c>
      <x:c r="U19" s="65" t="n">
        <x:f>IF(J19&lt;=0,0,'In_Cases'!Q3*MAX(0,K19-T19*R19))</x:f>
        <x:v>9061.636614763574</x:v>
      </x:c>
      <x:c r="V19" s="65" t="n">
        <x:f>MAX(0,1-I19-J19)</x:f>
        <x:v>0</x:v>
      </x:c>
      <x:c r="W19" s="65" t="n">
        <x:f>'In_Cases'!T3*(H19+'In_Cases'!S3*('In_Cases'!O3-H19))+(1-'In_Cases'!T3)*'In_Cases'!O3</x:f>
        <x:v>21.50327777777778</x:v>
      </x:c>
      <x:c r="X19" s="65" t="n">
        <x:f>'In_Cases'!T3*(H19+'In_Cases'!S3*('In_Cases'!P3-H19))+(1-'In_Cases'!T3)*'In_Cases'!P3</x:f>
        <x:v>23.903277777777777</x:v>
      </x:c>
      <x:c r="Y19" s="65" t="n">
        <x:f>'In_Cases'!T3*(H19+'In_Cases'!S3*((('In_Cases'!O3+'In_Cases'!P3)/2)-H19))+(1-'In_Cases'!T3)*(('In_Cases'!O3+'In_Cases'!P3)/2)</x:f>
        <x:v>22.703277777777778</x:v>
      </x:c>
      <x:c r="Z19" s="65" t="n">
        <x:f>'In_Cases'!R3*M19*('In_Cases'!U3-W19)*G19*I19/1000</x:f>
        <x:v>0</x:v>
      </x:c>
      <x:c r="AA19" s="65" t="n">
        <x:f>'In_Cases'!R3*M19*('In_Cases'!V3-X19)*G19*J19/1000</x:f>
        <x:v>-1623.442961292328</x:v>
      </x:c>
      <x:c r="AB19" s="65" t="n">
        <x:f>'In_Cases'!R3*M19*('In_Cases'!V3-Y19)*G19*V19/1000</x:f>
        <x:v>0</x:v>
      </x:c>
      <x:c r="AC19" s="65" t="n">
        <x:f>MAX(0,Z19)+MAX(0,AA19)+MAX(0,AB19)</x:f>
        <x:v>0</x:v>
      </x:c>
      <x:c r="AD19" s="65" t="n">
        <x:f>MAX(0,-Z19)+MAX(0,-AA19)+MAX(0,-AB19)</x:f>
        <x:v>1623.442961292328</x:v>
      </x:c>
      <x:c r="AE19" s="65" t="n">
        <x:f>Q19+AC19</x:f>
        <x:v>0</x:v>
      </x:c>
      <x:c r="AF19" s="65" t="n">
        <x:f>U19+AD19</x:f>
        <x:v>10685.079576055903</x:v>
      </x:c>
    </x:row>
    <x:row r="20">
      <x:c r="A20" s="39" t="str">
        <x:f>'In_Monthly'!A20</x:f>
        <x:v>1|lower</x:v>
      </x:c>
      <x:c r="B20" s="39" t="str">
        <x:f>'In_Monthly'!B20</x:f>
        <x:v>1</x:v>
      </x:c>
      <x:c r="C20" s="39" t="str">
        <x:f>'In_Monthly'!C20</x:f>
        <x:v>Test building 1</x:v>
      </x:c>
      <x:c r="D20" s="39" t="str">
        <x:f>'In_Monthly'!D20</x:f>
        <x:v>lower</x:v>
      </x:c>
      <x:c r="E20" s="39" t="str">
        <x:f>'In_Monthly'!E20</x:f>
        <x:v>2023-07</x:v>
      </x:c>
      <x:c r="F20" s="65" t="n">
        <x:f>'In_Monthly'!F20</x:f>
        <x:v>31</x:v>
      </x:c>
      <x:c r="G20" s="65" t="n">
        <x:f>F20*24</x:f>
        <x:v>744</x:v>
      </x:c>
      <x:c r="H20" s="65" t="n">
        <x:f>'In_Monthly'!G20</x:f>
        <x:v>23.824193548387097</x:v>
      </x:c>
      <x:c r="I20" s="65" t="n">
        <x:f>'In_Monthly'!K20</x:f>
        <x:v>0</x:v>
      </x:c>
      <x:c r="J20" s="65" t="n">
        <x:f>'In_Monthly'!L20</x:f>
        <x:v>1</x:v>
      </x:c>
      <x:c r="K20" s="65" t="n">
        <x:f>'In_Monthly'!J20*G20/1000</x:f>
        <x:v>19937.342065288765</x:v>
      </x:c>
      <x:c r="L20" s="65" t="n">
        <x:f>'Calc_Case'!E3+'Calc_Case'!F3+'Calc_Case'!G3</x:f>
        <x:v>1762.3006158051226</x:v>
      </x:c>
      <x:c r="M20" s="65" t="n">
        <x:f>'Calc_Case'!H3</x:f>
        <x:v>2496.222032862305</x:v>
      </x:c>
      <x:c r="N20" s="65" t="n">
        <x:f>(L20*('In_Cases'!O3-H20)+M20*('In_Cases'!O3-'In_Cases'!U3))*G20*I20/1000</x:f>
        <x:v>0</x:v>
      </x:c>
      <x:c r="O20" s="65" t="str">
        <x:f>IF(N20&lt;=0,"",K20/N20)</x:f>
      </x:c>
      <x:c r="P20" s="65" t="n">
        <x:f>IF(N20&lt;=0,0,IF(ABS(O20-1)&lt;1E-9,'Calc_Case'!N3/('Calc_Case'!N3+1),(1-POWER(O20,'Calc_Case'!N3))/(1-POWER(O20,'Calc_Case'!N3+1))))</x:f>
        <x:v>0</x:v>
      </x:c>
      <x:c r="Q20" s="65" t="n">
        <x:f>IF(N20&lt;=0,0,MAX(0,N20-P20*K20))</x:f>
        <x:v>0</x:v>
      </x:c>
      <x:c r="R20" s="65" t="n">
        <x:f>IF(J20&lt;=0,0,MAX(1E-12,(L20*('In_Cases'!P3-H20)+M20*('In_Cases'!P3-'In_Cases'!V3))*G20*J20/1000))</x:f>
        <x:v>8424.379814213997</x:v>
      </x:c>
      <x:c r="S20" s="65" t="n">
        <x:f>IF(J20&lt;=0,"",K20/R20)</x:f>
        <x:v>2.3666243100352116</x:v>
      </x:c>
      <x:c r="T20" s="65" t="n">
        <x:f>IF(J20&lt;=0,0,IF(ABS(S20-1)&lt;1E-9,'Calc_Case'!N3/('Calc_Case'!N3+1),(1-POWER(S20,-'Calc_Case'!N3))/(1-POWER(S20,-'Calc_Case'!N3-1))))</x:f>
        <x:v>0.9154095261611781</x:v>
      </x:c>
      <x:c r="U20" s="65" t="n">
        <x:f>IF(J20&lt;=0,0,'In_Cases'!Q3*MAX(0,K20-T20*R20))</x:f>
        <x:v>12225.584531357337</x:v>
      </x:c>
      <x:c r="V20" s="65" t="n">
        <x:f>MAX(0,1-I20-J20)</x:f>
        <x:v>0</x:v>
      </x:c>
      <x:c r="W20" s="65" t="n">
        <x:f>'In_Cases'!T3*(H20+'In_Cases'!S3*('In_Cases'!O3-H20))+(1-'In_Cases'!T3)*'In_Cases'!O3</x:f>
        <x:v>22.72967741935484</x:v>
      </x:c>
      <x:c r="X20" s="65" t="n">
        <x:f>'In_Cases'!T3*(H20+'In_Cases'!S3*('In_Cases'!P3-H20))+(1-'In_Cases'!T3)*'In_Cases'!P3</x:f>
        <x:v>25.129677419354838</x:v>
      </x:c>
      <x:c r="Y20" s="65" t="n">
        <x:f>'In_Cases'!T3*(H20+'In_Cases'!S3*((('In_Cases'!O3+'In_Cases'!P3)/2)-H20))+(1-'In_Cases'!T3)*(('In_Cases'!O3+'In_Cases'!P3)/2)</x:f>
        <x:v>23.92967741935484</x:v>
      </x:c>
      <x:c r="Z20" s="65" t="n">
        <x:f>'In_Cases'!R3*M20*('In_Cases'!U3-W20)*G20*I20/1000</x:f>
        <x:v>0</x:v>
      </x:c>
      <x:c r="AA20" s="65" t="n">
        <x:f>'In_Cases'!R3*M20*('In_Cases'!V3-X20)*G20*J20/1000</x:f>
        <x:v>-3955.213886629663</x:v>
      </x:c>
      <x:c r="AB20" s="65" t="n">
        <x:f>'In_Cases'!R3*M20*('In_Cases'!V3-Y20)*G20*V20/1000</x:f>
        <x:v>0</x:v>
      </x:c>
      <x:c r="AC20" s="65" t="n">
        <x:f>MAX(0,Z20)+MAX(0,AA20)+MAX(0,AB20)</x:f>
        <x:v>0</x:v>
      </x:c>
      <x:c r="AD20" s="65" t="n">
        <x:f>MAX(0,-Z20)+MAX(0,-AA20)+MAX(0,-AB20)</x:f>
        <x:v>3955.213886629663</x:v>
      </x:c>
      <x:c r="AE20" s="65" t="n">
        <x:f>Q20+AC20</x:f>
        <x:v>0</x:v>
      </x:c>
      <x:c r="AF20" s="65" t="n">
        <x:f>U20+AD20</x:f>
        <x:v>16180.798417987</x:v>
      </x:c>
    </x:row>
    <x:row r="21">
      <x:c r="A21" s="39" t="str">
        <x:f>'In_Monthly'!A21</x:f>
        <x:v>1|lower</x:v>
      </x:c>
      <x:c r="B21" s="39" t="str">
        <x:f>'In_Monthly'!B21</x:f>
        <x:v>1</x:v>
      </x:c>
      <x:c r="C21" s="39" t="str">
        <x:f>'In_Monthly'!C21</x:f>
        <x:v>Test building 1</x:v>
      </x:c>
      <x:c r="D21" s="39" t="str">
        <x:f>'In_Monthly'!D21</x:f>
        <x:v>lower</x:v>
      </x:c>
      <x:c r="E21" s="39" t="str">
        <x:f>'In_Monthly'!E21</x:f>
        <x:v>2023-08</x:v>
      </x:c>
      <x:c r="F21" s="65" t="n">
        <x:f>'In_Monthly'!F21</x:f>
        <x:v>31</x:v>
      </x:c>
      <x:c r="G21" s="65" t="n">
        <x:f>F21*24</x:f>
        <x:v>744</x:v>
      </x:c>
      <x:c r="H21" s="65" t="n">
        <x:f>'In_Monthly'!G21</x:f>
        <x:v>22.74717741935484</x:v>
      </x:c>
      <x:c r="I21" s="65" t="n">
        <x:f>'In_Monthly'!K21</x:f>
        <x:v>0</x:v>
      </x:c>
      <x:c r="J21" s="65" t="n">
        <x:f>'In_Monthly'!L21</x:f>
        <x:v>1</x:v>
      </x:c>
      <x:c r="K21" s="65" t="n">
        <x:f>'In_Monthly'!J21*G21/1000</x:f>
        <x:v>19504.8245186347</x:v>
      </x:c>
      <x:c r="L21" s="65" t="n">
        <x:f>'Calc_Case'!E3+'Calc_Case'!F3+'Calc_Case'!G3</x:f>
        <x:v>1762.3006158051226</x:v>
      </x:c>
      <x:c r="M21" s="65" t="n">
        <x:f>'Calc_Case'!H3</x:f>
        <x:v>2496.222032862305</x:v>
      </x:c>
      <x:c r="N21" s="65" t="n">
        <x:f>(L21*('In_Cases'!O3-H21)+M21*('In_Cases'!O3-'In_Cases'!U3))*G21*I21/1000</x:f>
        <x:v>0</x:v>
      </x:c>
      <x:c r="O21" s="65" t="str">
        <x:f>IF(N21&lt;=0,"",K21/N21)</x:f>
      </x:c>
      <x:c r="P21" s="65" t="n">
        <x:f>IF(N21&lt;=0,0,IF(ABS(O21-1)&lt;1E-9,'Calc_Case'!N3/('Calc_Case'!N3+1),(1-POWER(O21,'Calc_Case'!N3))/(1-POWER(O21,'Calc_Case'!N3+1))))</x:f>
        <x:v>0</x:v>
      </x:c>
      <x:c r="Q21" s="65" t="n">
        <x:f>IF(N21&lt;=0,0,MAX(0,N21-P21*K21))</x:f>
        <x:v>0</x:v>
      </x:c>
      <x:c r="R21" s="65" t="n">
        <x:f>IF(J21&lt;=0,0,MAX(1E-12,(L21*('In_Cases'!P3-H21)+M21*('In_Cases'!P3-'In_Cases'!V3))*G21*J21/1000))</x:f>
        <x:v>9836.511297658637</x:v>
      </x:c>
      <x:c r="S21" s="65" t="n">
        <x:f>IF(J21&lt;=0,"",K21/R21)</x:f>
        <x:v>1.9829006370660491</x:v>
      </x:c>
      <x:c r="T21" s="65" t="n">
        <x:f>IF(J21&lt;=0,0,IF(ABS(S21-1)&lt;1E-9,'Calc_Case'!N3/('Calc_Case'!N3+1),(1-POWER(S21,-'Calc_Case'!N3))/(1-POWER(S21,-'Calc_Case'!N3-1))))</x:f>
        <x:v>0.885311840577055</x:v>
      </x:c>
      <x:c r="U21" s="65" t="n">
        <x:f>IF(J21&lt;=0,0,'In_Cases'!Q3*MAX(0,K21-T21*R21))</x:f>
        <x:v>10796.444596847537</x:v>
      </x:c>
      <x:c r="V21" s="65" t="n">
        <x:f>MAX(0,1-I21-J21)</x:f>
        <x:v>0</x:v>
      </x:c>
      <x:c r="W21" s="65" t="n">
        <x:f>'In_Cases'!T3*(H21+'In_Cases'!S3*('In_Cases'!O3-H21))+(1-'In_Cases'!T3)*'In_Cases'!O3</x:f>
        <x:v>22.298870967741937</x:v>
      </x:c>
      <x:c r="X21" s="65" t="n">
        <x:f>'In_Cases'!T3*(H21+'In_Cases'!S3*('In_Cases'!P3-H21))+(1-'In_Cases'!T3)*'In_Cases'!P3</x:f>
        <x:v>24.698870967741936</x:v>
      </x:c>
      <x:c r="Y21" s="65" t="n">
        <x:f>'In_Cases'!T3*(H21+'In_Cases'!S3*((('In_Cases'!O3+'In_Cases'!P3)/2)-H21))+(1-'In_Cases'!T3)*(('In_Cases'!O3+'In_Cases'!P3)/2)</x:f>
        <x:v>23.498870967741937</x:v>
      </x:c>
      <x:c r="Z21" s="65" t="n">
        <x:f>'In_Cases'!R3*M21*('In_Cases'!U3-W21)*G21*I21/1000</x:f>
        <x:v>0</x:v>
      </x:c>
      <x:c r="AA21" s="65" t="n">
        <x:f>'In_Cases'!R3*M21*('In_Cases'!V3-X21)*G21*J21/1000</x:f>
        <x:v>-3155.124800656639</x:v>
      </x:c>
      <x:c r="AB21" s="65" t="n">
        <x:f>'In_Cases'!R3*M21*('In_Cases'!V3-Y21)*G21*V21/1000</x:f>
        <x:v>0</x:v>
      </x:c>
      <x:c r="AC21" s="65" t="n">
        <x:f>MAX(0,Z21)+MAX(0,AA21)+MAX(0,AB21)</x:f>
        <x:v>0</x:v>
      </x:c>
      <x:c r="AD21" s="65" t="n">
        <x:f>MAX(0,-Z21)+MAX(0,-AA21)+MAX(0,-AB21)</x:f>
        <x:v>3155.124800656639</x:v>
      </x:c>
      <x:c r="AE21" s="65" t="n">
        <x:f>Q21+AC21</x:f>
        <x:v>0</x:v>
      </x:c>
      <x:c r="AF21" s="65" t="n">
        <x:f>U21+AD21</x:f>
        <x:v>13951.569397504176</x:v>
      </x:c>
    </x:row>
    <x:row r="22">
      <x:c r="A22" s="39" t="str">
        <x:f>'In_Monthly'!A22</x:f>
        <x:v>1|lower</x:v>
      </x:c>
      <x:c r="B22" s="39" t="str">
        <x:f>'In_Monthly'!B22</x:f>
        <x:v>1</x:v>
      </x:c>
      <x:c r="C22" s="39" t="str">
        <x:f>'In_Monthly'!C22</x:f>
        <x:v>Test building 1</x:v>
      </x:c>
      <x:c r="D22" s="39" t="str">
        <x:f>'In_Monthly'!D22</x:f>
        <x:v>lower</x:v>
      </x:c>
      <x:c r="E22" s="39" t="str">
        <x:f>'In_Monthly'!E22</x:f>
        <x:v>2023-09</x:v>
      </x:c>
      <x:c r="F22" s="65" t="n">
        <x:f>'In_Monthly'!F22</x:f>
        <x:v>30</x:v>
      </x:c>
      <x:c r="G22" s="65" t="n">
        <x:f>F22*24</x:f>
        <x:v>720</x:v>
      </x:c>
      <x:c r="H22" s="65" t="n">
        <x:f>'In_Monthly'!G22</x:f>
        <x:v>19.61638888888889</x:v>
      </x:c>
      <x:c r="I22" s="65" t="n">
        <x:f>'In_Monthly'!K22</x:f>
        <x:v>0</x:v>
      </x:c>
      <x:c r="J22" s="65" t="n">
        <x:f>'In_Monthly'!L22</x:f>
        <x:v>1</x:v>
      </x:c>
      <x:c r="K22" s="65" t="n">
        <x:f>'In_Monthly'!J22*G22/1000</x:f>
        <x:v>18296.575462897654</x:v>
      </x:c>
      <x:c r="L22" s="65" t="n">
        <x:f>'Calc_Case'!E3+'Calc_Case'!F3+'Calc_Case'!G3</x:f>
        <x:v>1762.3006158051226</x:v>
      </x:c>
      <x:c r="M22" s="65" t="n">
        <x:f>'Calc_Case'!H3</x:f>
        <x:v>2496.222032862305</x:v>
      </x:c>
      <x:c r="N22" s="65" t="n">
        <x:f>(L22*('In_Cases'!O3-H22)+M22*('In_Cases'!O3-'In_Cases'!U3))*G22*I22/1000</x:f>
        <x:v>0</x:v>
      </x:c>
      <x:c r="O22" s="65" t="str">
        <x:f>IF(N22&lt;=0,"",K22/N22)</x:f>
      </x:c>
      <x:c r="P22" s="65" t="n">
        <x:f>IF(N22&lt;=0,0,IF(ABS(O22-1)&lt;1E-9,'Calc_Case'!N3/('Calc_Case'!N3+1),(1-POWER(O22,'Calc_Case'!N3))/(1-POWER(O22,'Calc_Case'!N3+1))))</x:f>
        <x:v>0</x:v>
      </x:c>
      <x:c r="Q22" s="65" t="n">
        <x:f>IF(N22&lt;=0,0,MAX(0,N22-P22*K22))</x:f>
        <x:v>0</x:v>
      </x:c>
      <x:c r="R22" s="65" t="n">
        <x:f>IF(J22&lt;=0,0,MAX(1E-12,(L22*('In_Cases'!P3-H22)+M22*('In_Cases'!P3-'In_Cases'!V3))*G22*J22/1000))</x:f>
        <x:v>13491.725681346084</x:v>
      </x:c>
      <x:c r="S22" s="65" t="n">
        <x:f>IF(J22&lt;=0,"",K22/R22)</x:f>
        <x:v>1.3561330770454996</x:v>
      </x:c>
      <x:c r="T22" s="65" t="n">
        <x:f>IF(J22&lt;=0,0,IF(ABS(S22-1)&lt;1E-9,'Calc_Case'!N3/('Calc_Case'!N3+1),(1-POWER(S22,-'Calc_Case'!N3))/(1-POWER(S22,-'Calc_Case'!N3-1))))</x:f>
        <x:v>0.7944105755150811</x:v>
      </x:c>
      <x:c r="U22" s="65" t="n">
        <x:f>IF(J22&lt;=0,0,'In_Cases'!Q3*MAX(0,K22-T22*R22))</x:f>
        <x:v>7578.605899687911</x:v>
      </x:c>
      <x:c r="V22" s="65" t="n">
        <x:f>MAX(0,1-I22-J22)</x:f>
        <x:v>0</x:v>
      </x:c>
      <x:c r="W22" s="65" t="n">
        <x:f>'In_Cases'!T3*(H22+'In_Cases'!S3*('In_Cases'!O3-H22))+(1-'In_Cases'!T3)*'In_Cases'!O3</x:f>
        <x:v>21.046555555555557</x:v>
      </x:c>
      <x:c r="X22" s="65" t="n">
        <x:f>'In_Cases'!T3*(H22+'In_Cases'!S3*('In_Cases'!P3-H22))+(1-'In_Cases'!T3)*'In_Cases'!P3</x:f>
        <x:v>23.446555555555555</x:v>
      </x:c>
      <x:c r="Y22" s="65" t="n">
        <x:f>'In_Cases'!T3*(H22+'In_Cases'!S3*((('In_Cases'!O3+'In_Cases'!P3)/2)-H22))+(1-'In_Cases'!T3)*(('In_Cases'!O3+'In_Cases'!P3)/2)</x:f>
        <x:v>22.246555555555556</x:v>
      </x:c>
      <x:c r="Z22" s="65" t="n">
        <x:f>'In_Cases'!R3*M22*('In_Cases'!U3-W22)*G22*I22/1000</x:f>
        <x:v>0</x:v>
      </x:c>
      <x:c r="AA22" s="65" t="n">
        <x:f>'In_Cases'!R3*M22*('In_Cases'!V3-X22)*G22*J22/1000</x:f>
        <x:v>-802.585308005888</x:v>
      </x:c>
      <x:c r="AB22" s="65" t="n">
        <x:f>'In_Cases'!R3*M22*('In_Cases'!V3-Y22)*G22*V22/1000</x:f>
        <x:v>0</x:v>
      </x:c>
      <x:c r="AC22" s="65" t="n">
        <x:f>MAX(0,Z22)+MAX(0,AA22)+MAX(0,AB22)</x:f>
        <x:v>0</x:v>
      </x:c>
      <x:c r="AD22" s="65" t="n">
        <x:f>MAX(0,-Z22)+MAX(0,-AA22)+MAX(0,-AB22)</x:f>
        <x:v>802.585308005888</x:v>
      </x:c>
      <x:c r="AE22" s="65" t="n">
        <x:f>Q22+AC22</x:f>
        <x:v>0</x:v>
      </x:c>
      <x:c r="AF22" s="65" t="n">
        <x:f>U22+AD22</x:f>
        <x:v>8381.191207693799</x:v>
      </x:c>
    </x:row>
    <x:row r="23">
      <x:c r="A23" s="39" t="str">
        <x:f>'In_Monthly'!A23</x:f>
        <x:v>1|lower</x:v>
      </x:c>
      <x:c r="B23" s="39" t="str">
        <x:f>'In_Monthly'!B23</x:f>
        <x:v>1</x:v>
      </x:c>
      <x:c r="C23" s="39" t="str">
        <x:f>'In_Monthly'!C23</x:f>
        <x:v>Test building 1</x:v>
      </x:c>
      <x:c r="D23" s="39" t="str">
        <x:f>'In_Monthly'!D23</x:f>
        <x:v>lower</x:v>
      </x:c>
      <x:c r="E23" s="39" t="str">
        <x:f>'In_Monthly'!E23</x:f>
        <x:v>2023-10</x:v>
      </x:c>
      <x:c r="F23" s="65" t="n">
        <x:f>'In_Monthly'!F23</x:f>
        <x:v>31</x:v>
      </x:c>
      <x:c r="G23" s="65" t="n">
        <x:f>F23*24</x:f>
        <x:v>744</x:v>
      </x:c>
      <x:c r="H23" s="65" t="n">
        <x:f>'In_Monthly'!G23</x:f>
        <x:v>13.926209677419354</x:v>
      </x:c>
      <x:c r="I23" s="65" t="n">
        <x:f>'In_Monthly'!K23</x:f>
        <x:v>0.5483870967741935</x:v>
      </x:c>
      <x:c r="J23" s="65" t="n">
        <x:f>'In_Monthly'!L23</x:f>
        <x:v>0</x:v>
      </x:c>
      <x:c r="K23" s="65" t="n">
        <x:f>'In_Monthly'!J23*G23/1000</x:f>
        <x:v>18139.916899489846</x:v>
      </x:c>
      <x:c r="L23" s="65" t="n">
        <x:f>'Calc_Case'!E3+'Calc_Case'!F3+'Calc_Case'!G3</x:f>
        <x:v>1762.3006158051226</x:v>
      </x:c>
      <x:c r="M23" s="65" t="n">
        <x:f>'Calc_Case'!H3</x:f>
        <x:v>2496.222032862305</x:v>
      </x:c>
      <x:c r="N23" s="65" t="n">
        <x:f>(L23*('In_Cases'!O3-H23)+M23*('In_Cases'!O3-'In_Cases'!U3))*G23*I23/1000</x:f>
        <x:v>5805.2058282050475</x:v>
      </x:c>
      <x:c r="O23" s="65" t="n">
        <x:f>IF(N23&lt;=0,"",K23/N23)</x:f>
        <x:v>3.124767223817567</x:v>
      </x:c>
      <x:c r="P23" s="65" t="n">
        <x:f>IF(N23&lt;=0,0,IF(ABS(O23-1)&lt;1E-9,'Calc_Case'!N3/('Calc_Case'!N3+1),(1-POWER(O23,'Calc_Case'!N3))/(1-POWER(O23,'Calc_Case'!N3+1))))</x:f>
        <x:v>0.3038012057392326</x:v>
      </x:c>
      <x:c r="Q23" s="65" t="n">
        <x:f>IF(N23&lt;=0,0,MAX(0,N23-P23*K23))</x:f>
        <x:v>294.2772021305509</x:v>
      </x:c>
      <x:c r="R23" s="65" t="n">
        <x:f>IF(J23&lt;=0,0,MAX(1E-12,(L23*('In_Cases'!P3-H23)+M23*('In_Cases'!P3-'In_Cases'!V3))*G23*J23/1000))</x:f>
        <x:v>0</x:v>
      </x:c>
      <x:c r="S23" s="65" t="str">
        <x:f>IF(J23&lt;=0,"",K23/R23)</x:f>
      </x:c>
      <x:c r="T23" s="65" t="n">
        <x:f>IF(J23&lt;=0,0,IF(ABS(S23-1)&lt;1E-9,'Calc_Case'!N3/('Calc_Case'!N3+1),(1-POWER(S23,-'Calc_Case'!N3))/(1-POWER(S23,-'Calc_Case'!N3-1))))</x:f>
        <x:v>0</x:v>
      </x:c>
      <x:c r="U23" s="65" t="n">
        <x:f>IF(J23&lt;=0,0,'In_Cases'!Q3*MAX(0,K23-T23*R23))</x:f>
        <x:v>0</x:v>
      </x:c>
      <x:c r="V23" s="65" t="n">
        <x:f>MAX(0,1-I23-J23)</x:f>
        <x:v>0.4516129032258065</x:v>
      </x:c>
      <x:c r="W23" s="65" t="n">
        <x:f>'In_Cases'!T3*(H23+'In_Cases'!S3*('In_Cases'!O3-H23))+(1-'In_Cases'!T3)*'In_Cases'!O3</x:f>
        <x:v>18.77048387096774</x:v>
      </x:c>
      <x:c r="X23" s="65" t="n">
        <x:f>'In_Cases'!T3*(H23+'In_Cases'!S3*('In_Cases'!P3-H23))+(1-'In_Cases'!T3)*'In_Cases'!P3</x:f>
        <x:v>21.170483870967743</x:v>
      </x:c>
      <x:c r="Y23" s="65" t="n">
        <x:f>'In_Cases'!T3*(H23+'In_Cases'!S3*((('In_Cases'!O3+'In_Cases'!P3)/2)-H23))+(1-'In_Cases'!T3)*(('In_Cases'!O3+'In_Cases'!P3)/2)</x:f>
        <x:v>19.97048387096774</x:v>
      </x:c>
      <x:c r="Z23" s="65" t="n">
        <x:f>'In_Cases'!R3*M23*('In_Cases'!U3-W23)*G23*I23/1000</x:f>
        <x:v>3289.1284412439986</x:v>
      </x:c>
      <x:c r="AA23" s="65" t="n">
        <x:f>'In_Cases'!R3*M23*('In_Cases'!V3-X23)*G23*J23/1000</x:f>
        <x:v>0</x:v>
      </x:c>
      <x:c r="AB23" s="65" t="n">
        <x:f>'In_Cases'!R3*M23*('In_Cases'!V3-Y23)*G23*V23/1000</x:f>
        <x:v>2540.947889827888</x:v>
      </x:c>
      <x:c r="AC23" s="65" t="n">
        <x:f>MAX(0,Z23)+MAX(0,AA23)+MAX(0,AB23)</x:f>
        <x:v>5830.076331071887</x:v>
      </x:c>
      <x:c r="AD23" s="65" t="n">
        <x:f>MAX(0,-Z23)+MAX(0,-AA23)+MAX(0,-AB23)</x:f>
        <x:v>0</x:v>
      </x:c>
      <x:c r="AE23" s="65" t="n">
        <x:f>Q23+AC23</x:f>
        <x:v>6124.353533202438</x:v>
      </x:c>
      <x:c r="AF23" s="65" t="n">
        <x:f>U23+AD23</x:f>
        <x:v>0</x:v>
      </x:c>
    </x:row>
    <x:row r="24">
      <x:c r="A24" s="39" t="str">
        <x:f>'In_Monthly'!A24</x:f>
        <x:v>1|lower</x:v>
      </x:c>
      <x:c r="B24" s="39" t="str">
        <x:f>'In_Monthly'!B24</x:f>
        <x:v>1</x:v>
      </x:c>
      <x:c r="C24" s="39" t="str">
        <x:f>'In_Monthly'!C24</x:f>
        <x:v>Test building 1</x:v>
      </x:c>
      <x:c r="D24" s="39" t="str">
        <x:f>'In_Monthly'!D24</x:f>
        <x:v>lower</x:v>
      </x:c>
      <x:c r="E24" s="39" t="str">
        <x:f>'In_Monthly'!E24</x:f>
        <x:v>2023-11</x:v>
      </x:c>
      <x:c r="F24" s="65" t="n">
        <x:f>'In_Monthly'!F24</x:f>
        <x:v>30</x:v>
      </x:c>
      <x:c r="G24" s="65" t="n">
        <x:f>F24*24</x:f>
        <x:v>720</x:v>
      </x:c>
      <x:c r="H24" s="65" t="n">
        <x:f>'In_Monthly'!G24</x:f>
        <x:v>8.68388888888889</x:v>
      </x:c>
      <x:c r="I24" s="65" t="n">
        <x:f>'In_Monthly'!K24</x:f>
        <x:v>1</x:v>
      </x:c>
      <x:c r="J24" s="65" t="n">
        <x:f>'In_Monthly'!L24</x:f>
        <x:v>0</x:v>
      </x:c>
      <x:c r="K24" s="65" t="n">
        <x:f>'In_Monthly'!J24*G24/1000</x:f>
        <x:v>16827.354398343163</x:v>
      </x:c>
      <x:c r="L24" s="65" t="n">
        <x:f>'Calc_Case'!E3+'Calc_Case'!F3+'Calc_Case'!G3</x:f>
        <x:v>1762.3006158051226</x:v>
      </x:c>
      <x:c r="M24" s="65" t="n">
        <x:f>'Calc_Case'!H3</x:f>
        <x:v>2496.222032862305</x:v>
      </x:c>
      <x:c r="N24" s="65" t="n">
        <x:f>(L24*('In_Cases'!O3-H24)+M24*('In_Cases'!O3-'In_Cases'!U3))*G24*I24/1000</x:f>
        <x:v>16896.233384093197</x:v>
      </x:c>
      <x:c r="O24" s="65" t="n">
        <x:f>IF(N24&lt;=0,"",K24/N24)</x:f>
        <x:v>0.9959234117933716</x:v>
      </x:c>
      <x:c r="P24" s="65" t="n">
        <x:f>IF(N24&lt;=0,0,IF(ABS(O24-1)&lt;1E-9,'Calc_Case'!N3/('Calc_Case'!N3+1),(1-POWER(O24,'Calc_Case'!N3))/(1-POWER(O24,'Calc_Case'!N3+1))))</x:f>
        <x:v>0.6983387037997274</x:v>
      </x:c>
      <x:c r="Q24" s="65" t="n">
        <x:f>IF(N24&lt;=0,0,MAX(0,N24-P24*K24))</x:f>
        <x:v>5145.040525175591</x:v>
      </x:c>
      <x:c r="R24" s="65" t="n">
        <x:f>IF(J24&lt;=0,0,MAX(1E-12,(L24*('In_Cases'!P3-H24)+M24*('In_Cases'!P3-'In_Cases'!V3))*G24*J24/1000))</x:f>
        <x:v>0</x:v>
      </x:c>
      <x:c r="S24" s="65" t="str">
        <x:f>IF(J24&lt;=0,"",K24/R24)</x:f>
      </x:c>
      <x:c r="T24" s="65" t="n">
        <x:f>IF(J24&lt;=0,0,IF(ABS(S24-1)&lt;1E-9,'Calc_Case'!N3/('Calc_Case'!N3+1),(1-POWER(S24,-'Calc_Case'!N3))/(1-POWER(S24,-'Calc_Case'!N3-1))))</x:f>
        <x:v>0</x:v>
      </x:c>
      <x:c r="U24" s="65" t="n">
        <x:f>IF(J24&lt;=0,0,'In_Cases'!Q3*MAX(0,K24-T24*R24))</x:f>
        <x:v>0</x:v>
      </x:c>
      <x:c r="V24" s="65" t="n">
        <x:f>MAX(0,1-I24-J24)</x:f>
        <x:v>0</x:v>
      </x:c>
      <x:c r="W24" s="65" t="n">
        <x:f>'In_Cases'!T3*(H24+'In_Cases'!S3*('In_Cases'!O3-H24))+(1-'In_Cases'!T3)*'In_Cases'!O3</x:f>
        <x:v>16.673555555555556</x:v>
      </x:c>
      <x:c r="X24" s="65" t="n">
        <x:f>'In_Cases'!T3*(H24+'In_Cases'!S3*('In_Cases'!P3-H24))+(1-'In_Cases'!T3)*'In_Cases'!P3</x:f>
        <x:v>19.073555555555558</x:v>
      </x:c>
      <x:c r="Y24" s="65" t="n">
        <x:f>'In_Cases'!T3*(H24+'In_Cases'!S3*((('In_Cases'!O3+'In_Cases'!P3)/2)-H24))+(1-'In_Cases'!T3)*(('In_Cases'!O3+'In_Cases'!P3)/2)</x:f>
        <x:v>17.873555555555555</x:v>
      </x:c>
      <x:c r="Z24" s="65" t="n">
        <x:f>'In_Cases'!R3*M24*('In_Cases'!U3-W24)*G24*I24/1000</x:f>
        <x:v>9573.111344908253</x:v>
      </x:c>
      <x:c r="AA24" s="65" t="n">
        <x:f>'In_Cases'!R3*M24*('In_Cases'!V3-X24)*G24*J24/1000</x:f>
        <x:v>0</x:v>
      </x:c>
      <x:c r="AB24" s="65" t="n">
        <x:f>'In_Cases'!R3*M24*('In_Cases'!V3-Y24)*G24*V24/1000</x:f>
        <x:v>0</x:v>
      </x:c>
      <x:c r="AC24" s="65" t="n">
        <x:f>MAX(0,Z24)+MAX(0,AA24)+MAX(0,AB24)</x:f>
        <x:v>9573.111344908253</x:v>
      </x:c>
      <x:c r="AD24" s="65" t="n">
        <x:f>MAX(0,-Z24)+MAX(0,-AA24)+MAX(0,-AB24)</x:f>
        <x:v>0</x:v>
      </x:c>
      <x:c r="AE24" s="65" t="n">
        <x:f>Q24+AC24</x:f>
        <x:v>14718.151870083844</x:v>
      </x:c>
      <x:c r="AF24" s="65" t="n">
        <x:f>U24+AD24</x:f>
        <x:v>0</x:v>
      </x:c>
    </x:row>
    <x:row r="25">
      <x:c r="A25" s="39" t="str">
        <x:f>'In_Monthly'!A25</x:f>
        <x:v>1|lower</x:v>
      </x:c>
      <x:c r="B25" s="39" t="str">
        <x:f>'In_Monthly'!B25</x:f>
        <x:v>1</x:v>
      </x:c>
      <x:c r="C25" s="39" t="str">
        <x:f>'In_Monthly'!C25</x:f>
        <x:v>Test building 1</x:v>
      </x:c>
      <x:c r="D25" s="39" t="str">
        <x:f>'In_Monthly'!D25</x:f>
        <x:v>lower</x:v>
      </x:c>
      <x:c r="E25" s="39" t="str">
        <x:f>'In_Monthly'!E25</x:f>
        <x:v>2023-12</x:v>
      </x:c>
      <x:c r="F25" s="65" t="n">
        <x:f>'In_Monthly'!F25</x:f>
        <x:v>31</x:v>
      </x:c>
      <x:c r="G25" s="65" t="n">
        <x:f>F25*24</x:f>
        <x:v>744</x:v>
      </x:c>
      <x:c r="H25" s="65" t="n">
        <x:f>'In_Monthly'!G25</x:f>
        <x:v>3.9963709677419357</x:v>
      </x:c>
      <x:c r="I25" s="65" t="n">
        <x:f>'In_Monthly'!K25</x:f>
        <x:v>1</x:v>
      </x:c>
      <x:c r="J25" s="65" t="n">
        <x:f>'In_Monthly'!L25</x:f>
        <x:v>0</x:v>
      </x:c>
      <x:c r="K25" s="65" t="n">
        <x:f>'In_Monthly'!J25*G25/1000</x:f>
        <x:v>17292.60662798047</x:v>
      </x:c>
      <x:c r="L25" s="65" t="n">
        <x:f>'Calc_Case'!E3+'Calc_Case'!F3+'Calc_Case'!G3</x:f>
        <x:v>1762.3006158051226</x:v>
      </x:c>
      <x:c r="M25" s="65" t="n">
        <x:f>'Calc_Case'!H3</x:f>
        <x:v>2496.222032862305</x:v>
      </x:c>
      <x:c r="N25" s="65" t="n">
        <x:f>(L25*('In_Cases'!O3-H25)+M25*('In_Cases'!O3-'In_Cases'!U3))*G25*I25/1000</x:f>
        <x:v>23605.488058524876</x:v>
      </x:c>
      <x:c r="O25" s="65" t="n">
        <x:f>IF(N25&lt;=0,"",K25/N25)</x:f>
        <x:v>0.7325672142472575</x:v>
      </x:c>
      <x:c r="P25" s="65" t="n">
        <x:f>IF(N25&lt;=0,0,IF(ABS(O25-1)&lt;1E-9,'Calc_Case'!N3/('Calc_Case'!N3+1),(1-POWER(O25,'Calc_Case'!N3))/(1-POWER(O25,'Calc_Case'!N3+1))))</x:f>
        <x:v>0.7962891938338545</x:v>
      </x:c>
      <x:c r="Q25" s="65" t="n">
        <x:f>IF(N25&lt;=0,0,MAX(0,N25-P25*K25))</x:f>
        <x:v>9835.572267444339</x:v>
      </x:c>
      <x:c r="R25" s="65" t="n">
        <x:f>IF(J25&lt;=0,0,MAX(1E-12,(L25*('In_Cases'!P3-H25)+M25*('In_Cases'!P3-'In_Cases'!V3))*G25*J25/1000))</x:f>
        <x:v>0</x:v>
      </x:c>
      <x:c r="S25" s="65" t="str">
        <x:f>IF(J25&lt;=0,"",K25/R25)</x:f>
      </x:c>
      <x:c r="T25" s="65" t="n">
        <x:f>IF(J25&lt;=0,0,IF(ABS(S25-1)&lt;1E-9,'Calc_Case'!N3/('Calc_Case'!N3+1),(1-POWER(S25,-'Calc_Case'!N3))/(1-POWER(S25,-'Calc_Case'!N3-1))))</x:f>
        <x:v>0</x:v>
      </x:c>
      <x:c r="U25" s="65" t="n">
        <x:f>IF(J25&lt;=0,0,'In_Cases'!Q3*MAX(0,K25-T25*R25))</x:f>
        <x:v>0</x:v>
      </x:c>
      <x:c r="V25" s="65" t="n">
        <x:f>MAX(0,1-I25-J25)</x:f>
        <x:v>0</x:v>
      </x:c>
      <x:c r="W25" s="65" t="n">
        <x:f>'In_Cases'!T3*(H25+'In_Cases'!S3*('In_Cases'!O3-H25))+(1-'In_Cases'!T3)*'In_Cases'!O3</x:f>
        <x:v>14.798548387096774</x:v>
      </x:c>
      <x:c r="X25" s="65" t="n">
        <x:f>'In_Cases'!T3*(H25+'In_Cases'!S3*('In_Cases'!P3-H25))+(1-'In_Cases'!T3)*'In_Cases'!P3</x:f>
        <x:v>17.198548387096775</x:v>
      </x:c>
      <x:c r="Y25" s="65" t="n">
        <x:f>'In_Cases'!T3*(H25+'In_Cases'!S3*((('In_Cases'!O3+'In_Cases'!P3)/2)-H25))+(1-'In_Cases'!T3)*(('In_Cases'!O3+'In_Cases'!P3)/2)</x:f>
        <x:v>15.998548387096774</x:v>
      </x:c>
      <x:c r="Z25" s="65" t="n">
        <x:f>'In_Cases'!R3*M25*('In_Cases'!U3-W25)*G25*I25/1000</x:f>
        <x:v>13374.458105432284</x:v>
      </x:c>
      <x:c r="AA25" s="65" t="n">
        <x:f>'In_Cases'!R3*M25*('In_Cases'!V3-X25)*G25*J25/1000</x:f>
        <x:v>0</x:v>
      </x:c>
      <x:c r="AB25" s="65" t="n">
        <x:f>'In_Cases'!R3*M25*('In_Cases'!V3-Y25)*G25*V25/1000</x:f>
        <x:v>0</x:v>
      </x:c>
      <x:c r="AC25" s="65" t="n">
        <x:f>MAX(0,Z25)+MAX(0,AA25)+MAX(0,AB25)</x:f>
        <x:v>13374.458105432284</x:v>
      </x:c>
      <x:c r="AD25" s="65" t="n">
        <x:f>MAX(0,-Z25)+MAX(0,-AA25)+MAX(0,-AB25)</x:f>
        <x:v>0</x:v>
      </x:c>
      <x:c r="AE25" s="65" t="n">
        <x:f>Q25+AC25</x:f>
        <x:v>23210.030372876623</x:v>
      </x:c>
      <x:c r="AF25" s="65" t="n">
        <x:f>U25+AD25</x:f>
        <x:v>0</x:v>
      </x:c>
    </x:row>
    <x:row r="26">
      <x:c r="A26" s="39" t="str">
        <x:f>'In_Monthly'!A26</x:f>
        <x:v>1|upper</x:v>
      </x:c>
      <x:c r="B26" s="39" t="str">
        <x:f>'In_Monthly'!B26</x:f>
        <x:v>1</x:v>
      </x:c>
      <x:c r="C26" s="39" t="str">
        <x:f>'In_Monthly'!C26</x:f>
        <x:v>Test building 1</x:v>
      </x:c>
      <x:c r="D26" s="39" t="str">
        <x:f>'In_Monthly'!D26</x:f>
        <x:v>upper</x:v>
      </x:c>
      <x:c r="E26" s="39" t="str">
        <x:f>'In_Monthly'!E26</x:f>
        <x:v>2023-01</x:v>
      </x:c>
      <x:c r="F26" s="65" t="n">
        <x:f>'In_Monthly'!F26</x:f>
        <x:v>31</x:v>
      </x:c>
      <x:c r="G26" s="65" t="n">
        <x:f>F26*24</x:f>
        <x:v>744</x:v>
      </x:c>
      <x:c r="H26" s="65" t="n">
        <x:f>'In_Monthly'!G26</x:f>
        <x:v>2.638440860215054</x:v>
      </x:c>
      <x:c r="I26" s="65" t="n">
        <x:f>'In_Monthly'!K26</x:f>
        <x:v>1</x:v>
      </x:c>
      <x:c r="J26" s="65" t="n">
        <x:f>'In_Monthly'!L26</x:f>
        <x:v>0</x:v>
      </x:c>
      <x:c r="K26" s="65" t="n">
        <x:f>'In_Monthly'!J26*G26/1000</x:f>
        <x:v>2550.1710524238356</x:v>
      </x:c>
      <x:c r="L26" s="65" t="n">
        <x:f>'Calc_Case'!E4+'Calc_Case'!F4+'Calc_Case'!G4</x:f>
        <x:v>2711.0323898964098</x:v>
      </x:c>
      <x:c r="M26" s="65" t="n">
        <x:f>'Calc_Case'!H4</x:f>
        <x:v>2156.563311328125</x:v>
      </x:c>
      <x:c r="N26" s="65" t="n">
        <x:f>(L26*('In_Cases'!O4-H26)+M26*('In_Cases'!O4-'In_Cases'!U4))*G26*I26/1000</x:f>
        <x:v>31809.43917303567</x:v>
      </x:c>
      <x:c r="O26" s="65" t="n">
        <x:f>IF(N26&lt;=0,"",K26/N26)</x:f>
        <x:v>0.08017026136649316</x:v>
      </x:c>
      <x:c r="P26" s="65" t="n">
        <x:f>IF(N26&lt;=0,0,IF(ABS(O26-1)&lt;1E-9,'Calc_Case'!N4/('Calc_Case'!N4+1),(1-POWER(O26,'Calc_Case'!N4))/(1-POWER(O26,'Calc_Case'!N4+1))))</x:f>
        <x:v>0.9994069208626429</x:v>
      </x:c>
      <x:c r="Q26" s="65" t="n">
        <x:f>IF(N26&lt;=0,0,MAX(0,N26-P26*K26))</x:f>
        <x:v>29260.780573859716</x:v>
      </x:c>
      <x:c r="R26" s="65" t="n">
        <x:f>IF(J26&lt;=0,0,MAX(1E-12,(L26*('In_Cases'!P4-H26)+M26*('In_Cases'!P4-'In_Cases'!V4))*G26*J26/1000))</x:f>
        <x:v>0</x:v>
      </x:c>
      <x:c r="S26" s="65" t="str">
        <x:f>IF(J26&lt;=0,"",K26/R26)</x:f>
      </x:c>
      <x:c r="T26" s="65" t="n">
        <x:f>IF(J26&lt;=0,0,IF(ABS(S26-1)&lt;1E-9,'Calc_Case'!N4/('Calc_Case'!N4+1),(1-POWER(S26,-'Calc_Case'!N4))/(1-POWER(S26,-'Calc_Case'!N4-1))))</x:f>
        <x:v>0</x:v>
      </x:c>
      <x:c r="U26" s="65" t="n">
        <x:f>IF(J26&lt;=0,0,'In_Cases'!Q4*MAX(0,K26-T26*R26))</x:f>
        <x:v>0</x:v>
      </x:c>
      <x:c r="V26" s="65" t="n">
        <x:f>MAX(0,1-I26-J26)</x:f>
        <x:v>0</x:v>
      </x:c>
      <x:c r="W26" s="65" t="n">
        <x:f>'In_Cases'!T4*(H26+'In_Cases'!S4*('In_Cases'!O4-H26))+(1-'In_Cases'!T4)*'In_Cases'!O4</x:f>
        <x:v>13.05537634408602</x:v>
      </x:c>
      <x:c r="X26" s="65" t="n">
        <x:f>'In_Cases'!T4*(H26+'In_Cases'!S4*('In_Cases'!P4-H26))+(1-'In_Cases'!T4)*'In_Cases'!P4</x:f>
        <x:v>16.655376344086022</x:v>
      </x:c>
      <x:c r="Y26" s="65" t="n">
        <x:f>'In_Cases'!T4*(H26+'In_Cases'!S4*((('In_Cases'!O4+'In_Cases'!P4)/2)-H26))+(1-'In_Cases'!T4)*(('In_Cases'!O4+'In_Cases'!P4)/2)</x:f>
        <x:v>14.85537634408602</x:v>
      </x:c>
      <x:c r="Z26" s="65" t="n">
        <x:f>'In_Cases'!R4*M26*('In_Cases'!U4-W26)*G26*I26/1000</x:f>
        <x:v>14351.497524226408</x:v>
      </x:c>
      <x:c r="AA26" s="65" t="n">
        <x:f>'In_Cases'!R4*M26*('In_Cases'!V4-X26)*G26*J26/1000</x:f>
        <x:v>0</x:v>
      </x:c>
      <x:c r="AB26" s="65" t="n">
        <x:f>'In_Cases'!R4*M26*('In_Cases'!V4-Y26)*G26*V26/1000</x:f>
        <x:v>0</x:v>
      </x:c>
      <x:c r="AC26" s="65" t="n">
        <x:f>MAX(0,Z26)+MAX(0,AA26)+MAX(0,AB26)</x:f>
        <x:v>14351.497524226408</x:v>
      </x:c>
      <x:c r="AD26" s="65" t="n">
        <x:f>MAX(0,-Z26)+MAX(0,-AA26)+MAX(0,-AB26)</x:f>
        <x:v>0</x:v>
      </x:c>
      <x:c r="AE26" s="65" t="n">
        <x:f>Q26+AC26</x:f>
        <x:v>43612.27809808613</x:v>
      </x:c>
      <x:c r="AF26" s="65" t="n">
        <x:f>U26+AD26</x:f>
        <x:v>0</x:v>
      </x:c>
    </x:row>
    <x:row r="27">
      <x:c r="A27" s="39" t="str">
        <x:f>'In_Monthly'!A27</x:f>
        <x:v>1|upper</x:v>
      </x:c>
      <x:c r="B27" s="39" t="str">
        <x:f>'In_Monthly'!B27</x:f>
        <x:v>1</x:v>
      </x:c>
      <x:c r="C27" s="39" t="str">
        <x:f>'In_Monthly'!C27</x:f>
        <x:v>Test building 1</x:v>
      </x:c>
      <x:c r="D27" s="39" t="str">
        <x:f>'In_Monthly'!D27</x:f>
        <x:v>upper</x:v>
      </x:c>
      <x:c r="E27" s="39" t="str">
        <x:f>'In_Monthly'!E27</x:f>
        <x:v>2023-02</x:v>
      </x:c>
      <x:c r="F27" s="65" t="n">
        <x:f>'In_Monthly'!F27</x:f>
        <x:v>28</x:v>
      </x:c>
      <x:c r="G27" s="65" t="n">
        <x:f>F27*24</x:f>
        <x:v>672</x:v>
      </x:c>
      <x:c r="H27" s="65" t="n">
        <x:f>'In_Monthly'!G27</x:f>
        <x:v>3.8903273809523813</x:v>
      </x:c>
      <x:c r="I27" s="65" t="n">
        <x:f>'In_Monthly'!K27</x:f>
        <x:v>1</x:v>
      </x:c>
      <x:c r="J27" s="65" t="n">
        <x:f>'In_Monthly'!L27</x:f>
        <x:v>0</x:v>
      </x:c>
      <x:c r="K27" s="65" t="n">
        <x:f>'In_Monthly'!J27*G27/1000</x:f>
        <x:v>3113.693894647919</x:v>
      </x:c>
      <x:c r="L27" s="65" t="n">
        <x:f>'Calc_Case'!E4+'Calc_Case'!F4+'Calc_Case'!G4</x:f>
        <x:v>2711.0323898964098</x:v>
      </x:c>
      <x:c r="M27" s="65" t="n">
        <x:f>'Calc_Case'!H4</x:f>
        <x:v>2156.563311328125</x:v>
      </x:c>
      <x:c r="N27" s="65" t="n">
        <x:f>(L27*('In_Cases'!O4-H27)+M27*('In_Cases'!O4-'In_Cases'!U4))*G27*I27/1000</x:f>
        <x:v>26450.402252876564</x:v>
      </x:c>
      <x:c r="O27" s="65" t="n">
        <x:f>IF(N27&lt;=0,"",K27/N27)</x:f>
        <x:v>0.11771820575278</x:v>
      </x:c>
      <x:c r="P27" s="65" t="n">
        <x:f>IF(N27&lt;=0,0,IF(ABS(O27-1)&lt;1E-9,'Calc_Case'!N4/('Calc_Case'!N4+1),(1-POWER(O27,'Calc_Case'!N4))/(1-POWER(O27,'Calc_Case'!N4+1))))</x:f>
        <x:v>0.9982591374790799</x:v>
      </x:c>
      <x:c r="Q27" s="65" t="n">
        <x:f>IF(N27&lt;=0,0,MAX(0,N27-P27*K27))</x:f>
        <x:v>23342.128871231456</x:v>
      </x:c>
      <x:c r="R27" s="65" t="n">
        <x:f>IF(J27&lt;=0,0,MAX(1E-12,(L27*('In_Cases'!P4-H27)+M27*('In_Cases'!P4-'In_Cases'!V4))*G27*J27/1000))</x:f>
        <x:v>0</x:v>
      </x:c>
      <x:c r="S27" s="65" t="str">
        <x:f>IF(J27&lt;=0,"",K27/R27)</x:f>
      </x:c>
      <x:c r="T27" s="65" t="n">
        <x:f>IF(J27&lt;=0,0,IF(ABS(S27-1)&lt;1E-9,'Calc_Case'!N4/('Calc_Case'!N4+1),(1-POWER(S27,-'Calc_Case'!N4))/(1-POWER(S27,-'Calc_Case'!N4-1))))</x:f>
        <x:v>0</x:v>
      </x:c>
      <x:c r="U27" s="65" t="n">
        <x:f>IF(J27&lt;=0,0,'In_Cases'!Q4*MAX(0,K27-T27*R27))</x:f>
        <x:v>0</x:v>
      </x:c>
      <x:c r="V27" s="65" t="n">
        <x:f>MAX(0,1-I27-J27)</x:f>
        <x:v>0</x:v>
      </x:c>
      <x:c r="W27" s="65" t="n">
        <x:f>'In_Cases'!T4*(H27+'In_Cases'!S4*('In_Cases'!O4-H27))+(1-'In_Cases'!T4)*'In_Cases'!O4</x:f>
        <x:v>13.556130952380952</x:v>
      </x:c>
      <x:c r="X27" s="65" t="n">
        <x:f>'In_Cases'!T4*(H27+'In_Cases'!S4*('In_Cases'!P4-H27))+(1-'In_Cases'!T4)*'In_Cases'!P4</x:f>
        <x:v>17.156130952380952</x:v>
      </x:c>
      <x:c r="Y27" s="65" t="n">
        <x:f>'In_Cases'!T4*(H27+'In_Cases'!S4*((('In_Cases'!O4+'In_Cases'!P4)/2)-H27))+(1-'In_Cases'!T4)*(('In_Cases'!O4+'In_Cases'!P4)/2)</x:f>
        <x:v>15.356130952380953</x:v>
      </x:c>
      <x:c r="Z27" s="65" t="n">
        <x:f>'In_Cases'!R4*M27*('In_Cases'!U4-W27)*G27*I27/1000</x:f>
        <x:v>12236.944066202954</x:v>
      </x:c>
      <x:c r="AA27" s="65" t="n">
        <x:f>'In_Cases'!R4*M27*('In_Cases'!V4-X27)*G27*J27/1000</x:f>
        <x:v>0</x:v>
      </x:c>
      <x:c r="AB27" s="65" t="n">
        <x:f>'In_Cases'!R4*M27*('In_Cases'!V4-Y27)*G27*V27/1000</x:f>
        <x:v>0</x:v>
      </x:c>
      <x:c r="AC27" s="65" t="n">
        <x:f>MAX(0,Z27)+MAX(0,AA27)+MAX(0,AB27)</x:f>
        <x:v>12236.944066202954</x:v>
      </x:c>
      <x:c r="AD27" s="65" t="n">
        <x:f>MAX(0,-Z27)+MAX(0,-AA27)+MAX(0,-AB27)</x:f>
        <x:v>0</x:v>
      </x:c>
      <x:c r="AE27" s="65" t="n">
        <x:f>Q27+AC27</x:f>
        <x:v>35579.07293743441</x:v>
      </x:c>
      <x:c r="AF27" s="65" t="n">
        <x:f>U27+AD27</x:f>
        <x:v>0</x:v>
      </x:c>
    </x:row>
    <x:row r="28">
      <x:c r="A28" s="39" t="str">
        <x:f>'In_Monthly'!A28</x:f>
        <x:v>1|upper</x:v>
      </x:c>
      <x:c r="B28" s="39" t="str">
        <x:f>'In_Monthly'!B28</x:f>
        <x:v>1</x:v>
      </x:c>
      <x:c r="C28" s="39" t="str">
        <x:f>'In_Monthly'!C28</x:f>
        <x:v>Test building 1</x:v>
      </x:c>
      <x:c r="D28" s="39" t="str">
        <x:f>'In_Monthly'!D28</x:f>
        <x:v>upper</x:v>
      </x:c>
      <x:c r="E28" s="39" t="str">
        <x:f>'In_Monthly'!E28</x:f>
        <x:v>2023-03</x:v>
      </x:c>
      <x:c r="F28" s="65" t="n">
        <x:f>'In_Monthly'!F28</x:f>
        <x:v>31</x:v>
      </x:c>
      <x:c r="G28" s="65" t="n">
        <x:f>F28*24</x:f>
        <x:v>744</x:v>
      </x:c>
      <x:c r="H28" s="65" t="n">
        <x:f>'In_Monthly'!G28</x:f>
        <x:v>7.746908602150539</x:v>
      </x:c>
      <x:c r="I28" s="65" t="n">
        <x:f>'In_Monthly'!K28</x:f>
        <x:v>1</x:v>
      </x:c>
      <x:c r="J28" s="65" t="n">
        <x:f>'In_Monthly'!L28</x:f>
        <x:v>0</x:v>
      </x:c>
      <x:c r="K28" s="65" t="n">
        <x:f>'In_Monthly'!J28*G28/1000</x:f>
        <x:v>6985.286158495376</x:v>
      </x:c>
      <x:c r="L28" s="65" t="n">
        <x:f>'Calc_Case'!E4+'Calc_Case'!F4+'Calc_Case'!G4</x:f>
        <x:v>2711.0323898964098</x:v>
      </x:c>
      <x:c r="M28" s="65" t="n">
        <x:f>'Calc_Case'!H4</x:f>
        <x:v>2156.563311328125</x:v>
      </x:c>
      <x:c r="N28" s="65" t="n">
        <x:f>(L28*('In_Cases'!O4-H28)+M28*('In_Cases'!O4-'In_Cases'!U4))*G28*I28/1000</x:f>
        <x:v>21505.618368756386</x:v>
      </x:c>
      <x:c r="O28" s="65" t="n">
        <x:f>IF(N28&lt;=0,"",K28/N28)</x:f>
        <x:v>0.3248121508862857</x:v>
      </x:c>
      <x:c r="P28" s="65" t="n">
        <x:f>IF(N28&lt;=0,0,IF(ABS(O28-1)&lt;1E-9,'Calc_Case'!N4/('Calc_Case'!N4+1),(1-POWER(O28,'Calc_Case'!N4))/(1-POWER(O28,'Calc_Case'!N4+1))))</x:f>
        <x:v>0.9741135803866607</x:v>
      </x:c>
      <x:c r="Q28" s="65" t="n">
        <x:f>IF(N28&lt;=0,0,MAX(0,N28-P28*K28))</x:f>
        <x:v>14701.156258879073</x:v>
      </x:c>
      <x:c r="R28" s="65" t="n">
        <x:f>IF(J28&lt;=0,0,MAX(1E-12,(L28*('In_Cases'!P4-H28)+M28*('In_Cases'!P4-'In_Cases'!V4))*G28*J28/1000))</x:f>
        <x:v>0</x:v>
      </x:c>
      <x:c r="S28" s="65" t="str">
        <x:f>IF(J28&lt;=0,"",K28/R28)</x:f>
      </x:c>
      <x:c r="T28" s="65" t="n">
        <x:f>IF(J28&lt;=0,0,IF(ABS(S28-1)&lt;1E-9,'Calc_Case'!N4/('Calc_Case'!N4+1),(1-POWER(S28,-'Calc_Case'!N4))/(1-POWER(S28,-'Calc_Case'!N4-1))))</x:f>
        <x:v>0</x:v>
      </x:c>
      <x:c r="U28" s="65" t="n">
        <x:f>IF(J28&lt;=0,0,'In_Cases'!Q4*MAX(0,K28-T28*R28))</x:f>
        <x:v>0</x:v>
      </x:c>
      <x:c r="V28" s="65" t="n">
        <x:f>MAX(0,1-I28-J28)</x:f>
        <x:v>0</x:v>
      </x:c>
      <x:c r="W28" s="65" t="n">
        <x:f>'In_Cases'!T4*(H28+'In_Cases'!S4*('In_Cases'!O4-H28))+(1-'In_Cases'!T4)*'In_Cases'!O4</x:f>
        <x:v>15.098763440860214</x:v>
      </x:c>
      <x:c r="X28" s="65" t="n">
        <x:f>'In_Cases'!T4*(H28+'In_Cases'!S4*('In_Cases'!P4-H28))+(1-'In_Cases'!T4)*'In_Cases'!P4</x:f>
        <x:v>18.698763440860212</x:v>
      </x:c>
      <x:c r="Y28" s="65" t="n">
        <x:f>'In_Cases'!T4*(H28+'In_Cases'!S4*((('In_Cases'!O4+'In_Cases'!P4)/2)-H28))+(1-'In_Cases'!T4)*(('In_Cases'!O4+'In_Cases'!P4)/2)</x:f>
        <x:v>16.898763440860215</x:v>
      </x:c>
      <x:c r="Z28" s="65" t="n">
        <x:f>'In_Cases'!R4*M28*('In_Cases'!U4-W28)*G28*I28/1000</x:f>
        <x:v>11072.917453280486</x:v>
      </x:c>
      <x:c r="AA28" s="65" t="n">
        <x:f>'In_Cases'!R4*M28*('In_Cases'!V4-X28)*G28*J28/1000</x:f>
        <x:v>0</x:v>
      </x:c>
      <x:c r="AB28" s="65" t="n">
        <x:f>'In_Cases'!R4*M28*('In_Cases'!V4-Y28)*G28*V28/1000</x:f>
        <x:v>0</x:v>
      </x:c>
      <x:c r="AC28" s="65" t="n">
        <x:f>MAX(0,Z28)+MAX(0,AA28)+MAX(0,AB28)</x:f>
        <x:v>11072.917453280486</x:v>
      </x:c>
      <x:c r="AD28" s="65" t="n">
        <x:f>MAX(0,-Z28)+MAX(0,-AA28)+MAX(0,-AB28)</x:f>
        <x:v>0</x:v>
      </x:c>
      <x:c r="AE28" s="65" t="n">
        <x:f>Q28+AC28</x:f>
        <x:v>25774.07371215956</x:v>
      </x:c>
      <x:c r="AF28" s="65" t="n">
        <x:f>U28+AD28</x:f>
        <x:v>0</x:v>
      </x:c>
    </x:row>
    <x:row r="29">
      <x:c r="A29" s="39" t="str">
        <x:f>'In_Monthly'!A29</x:f>
        <x:v>1|upper</x:v>
      </x:c>
      <x:c r="B29" s="39" t="str">
        <x:f>'In_Monthly'!B29</x:f>
        <x:v>1</x:v>
      </x:c>
      <x:c r="C29" s="39" t="str">
        <x:f>'In_Monthly'!C29</x:f>
        <x:v>Test building 1</x:v>
      </x:c>
      <x:c r="D29" s="39" t="str">
        <x:f>'In_Monthly'!D29</x:f>
        <x:v>upper</x:v>
      </x:c>
      <x:c r="E29" s="39" t="str">
        <x:f>'In_Monthly'!E29</x:f>
        <x:v>2023-04</x:v>
      </x:c>
      <x:c r="F29" s="65" t="n">
        <x:f>'In_Monthly'!F29</x:f>
        <x:v>30</x:v>
      </x:c>
      <x:c r="G29" s="65" t="n">
        <x:f>F29*24</x:f>
        <x:v>720</x:v>
      </x:c>
      <x:c r="H29" s="65" t="n">
        <x:f>'In_Monthly'!G29</x:f>
        <x:v>12.03041666666667</x:v>
      </x:c>
      <x:c r="I29" s="65" t="n">
        <x:f>'In_Monthly'!K29</x:f>
        <x:v>1</x:v>
      </x:c>
      <x:c r="J29" s="65" t="n">
        <x:f>'In_Monthly'!L29</x:f>
        <x:v>0</x:v>
      </x:c>
      <x:c r="K29" s="65" t="n">
        <x:f>'In_Monthly'!J29*G29/1000</x:f>
        <x:v>9113.88552844054</x:v>
      </x:c>
      <x:c r="L29" s="65" t="n">
        <x:f>'Calc_Case'!E4+'Calc_Case'!F4+'Calc_Case'!G4</x:f>
        <x:v>2711.0323898964098</x:v>
      </x:c>
      <x:c r="M29" s="65" t="n">
        <x:f>'Calc_Case'!H4</x:f>
        <x:v>2156.563311328125</x:v>
      </x:c>
      <x:c r="N29" s="65" t="n">
        <x:f>(L29*('In_Cases'!O4-H29)+M29*('In_Cases'!O4-'In_Cases'!U4))*G29*I29/1000</x:f>
        <x:v>12450.723788152083</x:v>
      </x:c>
      <x:c r="O29" s="65" t="n">
        <x:f>IF(N29&lt;=0,"",K29/N29)</x:f>
        <x:v>0.7319964432198852</x:v>
      </x:c>
      <x:c r="P29" s="65" t="n">
        <x:f>IF(N29&lt;=0,0,IF(ABS(O29-1)&lt;1E-9,'Calc_Case'!N4/('Calc_Case'!N4+1),(1-POWER(O29,'Calc_Case'!N4))/(1-POWER(O29,'Calc_Case'!N4+1))))</x:f>
        <x:v>0.846673901036021</x:v>
      </x:c>
      <x:c r="Q29" s="65" t="n">
        <x:f>IF(N29&lt;=0,0,MAX(0,N29-P29*K29))</x:f>
        <x:v>4734.234774191594</x:v>
      </x:c>
      <x:c r="R29" s="65" t="n">
        <x:f>IF(J29&lt;=0,0,MAX(1E-12,(L29*('In_Cases'!P4-H29)+M29*('In_Cases'!P4-'In_Cases'!V4))*G29*J29/1000))</x:f>
        <x:v>0</x:v>
      </x:c>
      <x:c r="S29" s="65" t="str">
        <x:f>IF(J29&lt;=0,"",K29/R29)</x:f>
      </x:c>
      <x:c r="T29" s="65" t="n">
        <x:f>IF(J29&lt;=0,0,IF(ABS(S29-1)&lt;1E-9,'Calc_Case'!N4/('Calc_Case'!N4+1),(1-POWER(S29,-'Calc_Case'!N4))/(1-POWER(S29,-'Calc_Case'!N4-1))))</x:f>
        <x:v>0</x:v>
      </x:c>
      <x:c r="U29" s="65" t="n">
        <x:f>IF(J29&lt;=0,0,'In_Cases'!Q4*MAX(0,K29-T29*R29))</x:f>
        <x:v>0</x:v>
      </x:c>
      <x:c r="V29" s="65" t="n">
        <x:f>MAX(0,1-I29-J29)</x:f>
        <x:v>0</x:v>
      </x:c>
      <x:c r="W29" s="65" t="n">
        <x:f>'In_Cases'!T4*(H29+'In_Cases'!S4*('In_Cases'!O4-H29))+(1-'In_Cases'!T4)*'In_Cases'!O4</x:f>
        <x:v>16.812166666666666</x:v>
      </x:c>
      <x:c r="X29" s="65" t="n">
        <x:f>'In_Cases'!T4*(H29+'In_Cases'!S4*('In_Cases'!P4-H29))+(1-'In_Cases'!T4)*'In_Cases'!P4</x:f>
        <x:v>20.412166666666668</x:v>
      </x:c>
      <x:c r="Y29" s="65" t="n">
        <x:f>'In_Cases'!T4*(H29+'In_Cases'!S4*((('In_Cases'!O4+'In_Cases'!P4)/2)-H29))+(1-'In_Cases'!T4)*(('In_Cases'!O4+'In_Cases'!P4)/2)</x:f>
        <x:v>18.612166666666667</x:v>
      </x:c>
      <x:c r="Z29" s="65" t="n">
        <x:f>'In_Cases'!R4*M29*('In_Cases'!U4-W29)*G29*I29/1000</x:f>
        <x:v>8055.281543005267</x:v>
      </x:c>
      <x:c r="AA29" s="65" t="n">
        <x:f>'In_Cases'!R4*M29*('In_Cases'!V4-X29)*G29*J29/1000</x:f>
        <x:v>0</x:v>
      </x:c>
      <x:c r="AB29" s="65" t="n">
        <x:f>'In_Cases'!R4*M29*('In_Cases'!V4-Y29)*G29*V29/1000</x:f>
        <x:v>0</x:v>
      </x:c>
      <x:c r="AC29" s="65" t="n">
        <x:f>MAX(0,Z29)+MAX(0,AA29)+MAX(0,AB29)</x:f>
        <x:v>8055.281543005267</x:v>
      </x:c>
      <x:c r="AD29" s="65" t="n">
        <x:f>MAX(0,-Z29)+MAX(0,-AA29)+MAX(0,-AB29)</x:f>
        <x:v>0</x:v>
      </x:c>
      <x:c r="AE29" s="65" t="n">
        <x:f>Q29+AC29</x:f>
        <x:v>12789.51631719686</x:v>
      </x:c>
      <x:c r="AF29" s="65" t="n">
        <x:f>U29+AD29</x:f>
        <x:v>0</x:v>
      </x:c>
    </x:row>
    <x:row r="30">
      <x:c r="A30" s="39" t="str">
        <x:f>'In_Monthly'!A30</x:f>
        <x:v>1|upper</x:v>
      </x:c>
      <x:c r="B30" s="39" t="str">
        <x:f>'In_Monthly'!B30</x:f>
        <x:v>1</x:v>
      </x:c>
      <x:c r="C30" s="39" t="str">
        <x:f>'In_Monthly'!C30</x:f>
        <x:v>Test building 1</x:v>
      </x:c>
      <x:c r="D30" s="39" t="str">
        <x:f>'In_Monthly'!D30</x:f>
        <x:v>upper</x:v>
      </x:c>
      <x:c r="E30" s="39" t="str">
        <x:f>'In_Monthly'!E30</x:f>
        <x:v>2023-05</x:v>
      </x:c>
      <x:c r="F30" s="65" t="n">
        <x:f>'In_Monthly'!F30</x:f>
        <x:v>31</x:v>
      </x:c>
      <x:c r="G30" s="65" t="n">
        <x:f>F30*24</x:f>
        <x:v>744</x:v>
      </x:c>
      <x:c r="H30" s="65" t="n">
        <x:f>'In_Monthly'!G30</x:f>
        <x:v>17.244086021505375</x:v>
      </x:c>
      <x:c r="I30" s="65" t="n">
        <x:f>'In_Monthly'!K30</x:f>
        <x:v>0</x:v>
      </x:c>
      <x:c r="J30" s="65" t="n">
        <x:f>'In_Monthly'!L30</x:f>
        <x:v>0</x:v>
      </x:c>
      <x:c r="K30" s="65" t="n">
        <x:f>'In_Monthly'!J30*G30/1000</x:f>
        <x:v>12237.397380647539</x:v>
      </x:c>
      <x:c r="L30" s="65" t="n">
        <x:f>'Calc_Case'!E4+'Calc_Case'!F4+'Calc_Case'!G4</x:f>
        <x:v>2711.0323898964098</x:v>
      </x:c>
      <x:c r="M30" s="65" t="n">
        <x:f>'Calc_Case'!H4</x:f>
        <x:v>2156.563311328125</x:v>
      </x:c>
      <x:c r="N30" s="65" t="n">
        <x:f>(L30*('In_Cases'!O4-H30)+M30*('In_Cases'!O4-'In_Cases'!U4))*G30*I30/1000</x:f>
        <x:v>0</x:v>
      </x:c>
      <x:c r="O30" s="65" t="str">
        <x:f>IF(N30&lt;=0,"",K30/N30)</x:f>
      </x:c>
      <x:c r="P30" s="65" t="n">
        <x:f>IF(N30&lt;=0,0,IF(ABS(O30-1)&lt;1E-9,'Calc_Case'!N4/('Calc_Case'!N4+1),(1-POWER(O30,'Calc_Case'!N4))/(1-POWER(O30,'Calc_Case'!N4+1))))</x:f>
        <x:v>0</x:v>
      </x:c>
      <x:c r="Q30" s="65" t="n">
        <x:f>IF(N30&lt;=0,0,MAX(0,N30-P30*K30))</x:f>
        <x:v>0</x:v>
      </x:c>
      <x:c r="R30" s="65" t="n">
        <x:f>IF(J30&lt;=0,0,MAX(1E-12,(L30*('In_Cases'!P4-H30)+M30*('In_Cases'!P4-'In_Cases'!V4))*G30*J30/1000))</x:f>
        <x:v>0</x:v>
      </x:c>
      <x:c r="S30" s="65" t="str">
        <x:f>IF(J30&lt;=0,"",K30/R30)</x:f>
      </x:c>
      <x:c r="T30" s="65" t="n">
        <x:f>IF(J30&lt;=0,0,IF(ABS(S30-1)&lt;1E-9,'Calc_Case'!N4/('Calc_Case'!N4+1),(1-POWER(S30,-'Calc_Case'!N4))/(1-POWER(S30,-'Calc_Case'!N4-1))))</x:f>
        <x:v>0</x:v>
      </x:c>
      <x:c r="U30" s="65" t="n">
        <x:f>IF(J30&lt;=0,0,'In_Cases'!Q4*MAX(0,K30-T30*R30))</x:f>
        <x:v>0</x:v>
      </x:c>
      <x:c r="V30" s="65" t="n">
        <x:f>MAX(0,1-I30-J30)</x:f>
        <x:v>1</x:v>
      </x:c>
      <x:c r="W30" s="65" t="n">
        <x:f>'In_Cases'!T4*(H30+'In_Cases'!S4*('In_Cases'!O4-H30))+(1-'In_Cases'!T4)*'In_Cases'!O4</x:f>
        <x:v>18.89763440860215</x:v>
      </x:c>
      <x:c r="X30" s="65" t="n">
        <x:f>'In_Cases'!T4*(H30+'In_Cases'!S4*('In_Cases'!P4-H30))+(1-'In_Cases'!T4)*'In_Cases'!P4</x:f>
        <x:v>22.49763440860215</x:v>
      </x:c>
      <x:c r="Y30" s="65" t="n">
        <x:f>'In_Cases'!T4*(H30+'In_Cases'!S4*((('In_Cases'!O4+'In_Cases'!P4)/2)-H30))+(1-'In_Cases'!T4)*(('In_Cases'!O4+'In_Cases'!P4)/2)</x:f>
        <x:v>20.69763440860215</x:v>
      </x:c>
      <x:c r="Z30" s="65" t="n">
        <x:f>'In_Cases'!R4*M30*('In_Cases'!U4-W30)*G30*I30/1000</x:f>
        <x:v>0</x:v>
      </x:c>
      <x:c r="AA30" s="65" t="n">
        <x:f>'In_Cases'!R4*M30*('In_Cases'!V4-X30)*G30*J30/1000</x:f>
        <x:v>0</x:v>
      </x:c>
      <x:c r="AB30" s="65" t="n">
        <x:f>'In_Cases'!R4*M30*('In_Cases'!V4-Y30)*G30*V30/1000</x:f>
        <x:v>3694.106689772628</x:v>
      </x:c>
      <x:c r="AC30" s="65" t="n">
        <x:f>MAX(0,Z30)+MAX(0,AA30)+MAX(0,AB30)</x:f>
        <x:v>3694.106689772628</x:v>
      </x:c>
      <x:c r="AD30" s="65" t="n">
        <x:f>MAX(0,-Z30)+MAX(0,-AA30)+MAX(0,-AB30)</x:f>
        <x:v>0</x:v>
      </x:c>
      <x:c r="AE30" s="65" t="n">
        <x:f>Q30+AC30</x:f>
        <x:v>3694.106689772628</x:v>
      </x:c>
      <x:c r="AF30" s="65" t="n">
        <x:f>U30+AD30</x:f>
        <x:v>0</x:v>
      </x:c>
    </x:row>
    <x:row r="31">
      <x:c r="A31" s="39" t="str">
        <x:f>'In_Monthly'!A31</x:f>
        <x:v>1|upper</x:v>
      </x:c>
      <x:c r="B31" s="39" t="str">
        <x:f>'In_Monthly'!B31</x:f>
        <x:v>1</x:v>
      </x:c>
      <x:c r="C31" s="39" t="str">
        <x:f>'In_Monthly'!C31</x:f>
        <x:v>Test building 1</x:v>
      </x:c>
      <x:c r="D31" s="39" t="str">
        <x:f>'In_Monthly'!D31</x:f>
        <x:v>upper</x:v>
      </x:c>
      <x:c r="E31" s="39" t="str">
        <x:f>'In_Monthly'!E31</x:f>
        <x:v>2023-06</x:v>
      </x:c>
      <x:c r="F31" s="65" t="n">
        <x:f>'In_Monthly'!F31</x:f>
        <x:v>30</x:v>
      </x:c>
      <x:c r="G31" s="65" t="n">
        <x:f>F31*24</x:f>
        <x:v>720</x:v>
      </x:c>
      <x:c r="H31" s="65" t="n">
        <x:f>'In_Monthly'!G31</x:f>
        <x:v>20.758194444444445</x:v>
      </x:c>
      <x:c r="I31" s="65" t="n">
        <x:f>'In_Monthly'!K31</x:f>
        <x:v>0</x:v>
      </x:c>
      <x:c r="J31" s="65" t="n">
        <x:f>'In_Monthly'!L31</x:f>
        <x:v>1</x:v>
      </x:c>
      <x:c r="K31" s="65" t="n">
        <x:f>'In_Monthly'!J31*G31/1000</x:f>
        <x:v>12619.46486287077</x:v>
      </x:c>
      <x:c r="L31" s="65" t="n">
        <x:f>'Calc_Case'!E4+'Calc_Case'!F4+'Calc_Case'!G4</x:f>
        <x:v>2711.0323898964098</x:v>
      </x:c>
      <x:c r="M31" s="65" t="n">
        <x:f>'Calc_Case'!H4</x:f>
        <x:v>2156.563311328125</x:v>
      </x:c>
      <x:c r="N31" s="65" t="n">
        <x:f>(L31*('In_Cases'!O4-H31)+M31*('In_Cases'!O4-'In_Cases'!U4))*G31*I31/1000</x:f>
        <x:v>0</x:v>
      </x:c>
      <x:c r="O31" s="65" t="str">
        <x:f>IF(N31&lt;=0,"",K31/N31)</x:f>
      </x:c>
      <x:c r="P31" s="65" t="n">
        <x:f>IF(N31&lt;=0,0,IF(ABS(O31-1)&lt;1E-9,'Calc_Case'!N4/('Calc_Case'!N4+1),(1-POWER(O31,'Calc_Case'!N4))/(1-POWER(O31,'Calc_Case'!N4+1))))</x:f>
        <x:v>0</x:v>
      </x:c>
      <x:c r="Q31" s="65" t="n">
        <x:f>IF(N31&lt;=0,0,MAX(0,N31-P31*K31))</x:f>
        <x:v>0</x:v>
      </x:c>
      <x:c r="R31" s="65" t="n">
        <x:f>IF(J31&lt;=0,0,MAX(1E-12,(L31*('In_Cases'!P4-H31)+M31*('In_Cases'!P4-'In_Cases'!V4))*G31*J31/1000))</x:f>
        <x:v>14889.884095176787</x:v>
      </x:c>
      <x:c r="S31" s="65" t="n">
        <x:f>IF(J31&lt;=0,"",K31/R31)</x:f>
        <x:v>0.847519348183411</x:v>
      </x:c>
      <x:c r="T31" s="65" t="n">
        <x:f>IF(J31&lt;=0,0,IF(ABS(S31-1)&lt;1E-9,'Calc_Case'!N4/('Calc_Case'!N4+1),(1-POWER(S31,-'Calc_Case'!N4))/(1-POWER(S31,-'Calc_Case'!N4-1))))</x:f>
        <x:v>0.6799473176031203</x:v>
      </x:c>
      <x:c r="U31" s="65" t="n">
        <x:f>IF(J31&lt;=0,0,'In_Cases'!Q4*MAX(0,K31-T31*R31))</x:f>
        <x:v>2495.1281129339477</x:v>
      </x:c>
      <x:c r="V31" s="65" t="n">
        <x:f>MAX(0,1-I31-J31)</x:f>
        <x:v>0</x:v>
      </x:c>
      <x:c r="W31" s="65" t="n">
        <x:f>'In_Cases'!T4*(H31+'In_Cases'!S4*('In_Cases'!O4-H31))+(1-'In_Cases'!T4)*'In_Cases'!O4</x:f>
        <x:v>20.30327777777778</x:v>
      </x:c>
      <x:c r="X31" s="65" t="n">
        <x:f>'In_Cases'!T4*(H31+'In_Cases'!S4*('In_Cases'!P4-H31))+(1-'In_Cases'!T4)*'In_Cases'!P4</x:f>
        <x:v>23.903277777777777</x:v>
      </x:c>
      <x:c r="Y31" s="65" t="n">
        <x:f>'In_Cases'!T4*(H31+'In_Cases'!S4*((('In_Cases'!O4+'In_Cases'!P4)/2)-H31))+(1-'In_Cases'!T4)*(('In_Cases'!O4+'In_Cases'!P4)/2)</x:f>
        <x:v>22.103277777777777</x:v>
      </x:c>
      <x:c r="Z31" s="65" t="n">
        <x:f>'In_Cases'!R4*M31*('In_Cases'!U4-W31)*G31*I31/1000</x:f>
        <x:v>0</x:v>
      </x:c>
      <x:c r="AA31" s="65" t="n">
        <x:f>'In_Cases'!R4*M31*('In_Cases'!V4-X31)*G31*J31/1000</x:f>
        <x:v>-1402.5425151553588</x:v>
      </x:c>
      <x:c r="AB31" s="65" t="n">
        <x:f>'In_Cases'!R4*M31*('In_Cases'!V4-Y31)*G31*V31/1000</x:f>
        <x:v>0</x:v>
      </x:c>
      <x:c r="AC31" s="65" t="n">
        <x:f>MAX(0,Z31)+MAX(0,AA31)+MAX(0,AB31)</x:f>
        <x:v>0</x:v>
      </x:c>
      <x:c r="AD31" s="65" t="n">
        <x:f>MAX(0,-Z31)+MAX(0,-AA31)+MAX(0,-AB31)</x:f>
        <x:v>1402.5425151553588</x:v>
      </x:c>
      <x:c r="AE31" s="65" t="n">
        <x:f>Q31+AC31</x:f>
        <x:v>0</x:v>
      </x:c>
      <x:c r="AF31" s="65" t="n">
        <x:f>U31+AD31</x:f>
        <x:v>3897.670628089307</x:v>
      </x:c>
    </x:row>
    <x:row r="32">
      <x:c r="A32" s="39" t="str">
        <x:f>'In_Monthly'!A32</x:f>
        <x:v>1|upper</x:v>
      </x:c>
      <x:c r="B32" s="39" t="str">
        <x:f>'In_Monthly'!B32</x:f>
        <x:v>1</x:v>
      </x:c>
      <x:c r="C32" s="39" t="str">
        <x:f>'In_Monthly'!C32</x:f>
        <x:v>Test building 1</x:v>
      </x:c>
      <x:c r="D32" s="39" t="str">
        <x:f>'In_Monthly'!D32</x:f>
        <x:v>upper</x:v>
      </x:c>
      <x:c r="E32" s="39" t="str">
        <x:f>'In_Monthly'!E32</x:f>
        <x:v>2023-07</x:v>
      </x:c>
      <x:c r="F32" s="65" t="n">
        <x:f>'In_Monthly'!F32</x:f>
        <x:v>31</x:v>
      </x:c>
      <x:c r="G32" s="65" t="n">
        <x:f>F32*24</x:f>
        <x:v>744</x:v>
      </x:c>
      <x:c r="H32" s="65" t="n">
        <x:f>'In_Monthly'!G32</x:f>
        <x:v>23.824193548387097</x:v>
      </x:c>
      <x:c r="I32" s="65" t="n">
        <x:f>'In_Monthly'!K32</x:f>
        <x:v>0</x:v>
      </x:c>
      <x:c r="J32" s="65" t="n">
        <x:f>'In_Monthly'!L32</x:f>
        <x:v>1</x:v>
      </x:c>
      <x:c r="K32" s="65" t="n">
        <x:f>'In_Monthly'!J32*G32/1000</x:f>
        <x:v>13508.87857038167</x:v>
      </x:c>
      <x:c r="L32" s="65" t="n">
        <x:f>'Calc_Case'!E4+'Calc_Case'!F4+'Calc_Case'!G4</x:f>
        <x:v>2711.0323898964098</x:v>
      </x:c>
      <x:c r="M32" s="65" t="n">
        <x:f>'Calc_Case'!H4</x:f>
        <x:v>2156.563311328125</x:v>
      </x:c>
      <x:c r="N32" s="65" t="n">
        <x:f>(L32*('In_Cases'!O4-H32)+M32*('In_Cases'!O4-'In_Cases'!U4))*G32*I32/1000</x:f>
        <x:v>0</x:v>
      </x:c>
      <x:c r="O32" s="65" t="str">
        <x:f>IF(N32&lt;=0,"",K32/N32)</x:f>
      </x:c>
      <x:c r="P32" s="65" t="n">
        <x:f>IF(N32&lt;=0,0,IF(ABS(O32-1)&lt;1E-9,'Calc_Case'!N4/('Calc_Case'!N4+1),(1-POWER(O32,'Calc_Case'!N4))/(1-POWER(O32,'Calc_Case'!N4+1))))</x:f>
        <x:v>0</x:v>
      </x:c>
      <x:c r="Q32" s="65" t="n">
        <x:f>IF(N32&lt;=0,0,MAX(0,N32-P32*K32))</x:f>
        <x:v>0</x:v>
      </x:c>
      <x:c r="R32" s="65" t="n">
        <x:f>IF(J32&lt;=0,0,MAX(1E-12,(L32*('In_Cases'!P4-H32)+M32*('In_Cases'!P4-'In_Cases'!V4))*G32*J32/1000))</x:f>
        <x:v>9202.068543648682</x:v>
      </x:c>
      <x:c r="S32" s="65" t="n">
        <x:f>IF(J32&lt;=0,"",K32/R32)</x:f>
        <x:v>1.4680262928171266</x:v>
      </x:c>
      <x:c r="T32" s="65" t="n">
        <x:f>IF(J32&lt;=0,0,IF(ABS(S32-1)&lt;1E-9,'Calc_Case'!N4/('Calc_Case'!N4+1),(1-POWER(S32,-'Calc_Case'!N4))/(1-POWER(S32,-'Calc_Case'!N4-1))))</x:f>
        <x:v>0.865847404227788</x:v>
      </x:c>
      <x:c r="U32" s="65" t="n">
        <x:f>IF(J32&lt;=0,0,'In_Cases'!Q4*MAX(0,K32-T32*R32))</x:f>
        <x:v>5541.291408337277</x:v>
      </x:c>
      <x:c r="V32" s="65" t="n">
        <x:f>MAX(0,1-I32-J32)</x:f>
        <x:v>0</x:v>
      </x:c>
      <x:c r="W32" s="65" t="n">
        <x:f>'In_Cases'!T4*(H32+'In_Cases'!S4*('In_Cases'!O4-H32))+(1-'In_Cases'!T4)*'In_Cases'!O4</x:f>
        <x:v>21.52967741935484</x:v>
      </x:c>
      <x:c r="X32" s="65" t="n">
        <x:f>'In_Cases'!T4*(H32+'In_Cases'!S4*('In_Cases'!P4-H32))+(1-'In_Cases'!T4)*'In_Cases'!P4</x:f>
        <x:v>25.129677419354838</x:v>
      </x:c>
      <x:c r="Y32" s="65" t="n">
        <x:f>'In_Cases'!T4*(H32+'In_Cases'!S4*((('In_Cases'!O4+'In_Cases'!P4)/2)-H32))+(1-'In_Cases'!T4)*(('In_Cases'!O4+'In_Cases'!P4)/2)</x:f>
        <x:v>23.329677419354837</x:v>
      </x:c>
      <x:c r="Z32" s="65" t="n">
        <x:f>'In_Cases'!R4*M32*('In_Cases'!U4-W32)*G32*I32/1000</x:f>
        <x:v>0</x:v>
      </x:c>
      <x:c r="AA32" s="65" t="n">
        <x:f>'In_Cases'!R4*M32*('In_Cases'!V4-X32)*G32*J32/1000</x:f>
        <x:v>-3417.0314355331866</x:v>
      </x:c>
      <x:c r="AB32" s="65" t="n">
        <x:f>'In_Cases'!R4*M32*('In_Cases'!V4-Y32)*G32*V32/1000</x:f>
        <x:v>0</x:v>
      </x:c>
      <x:c r="AC32" s="65" t="n">
        <x:f>MAX(0,Z32)+MAX(0,AA32)+MAX(0,AB32)</x:f>
        <x:v>0</x:v>
      </x:c>
      <x:c r="AD32" s="65" t="n">
        <x:f>MAX(0,-Z32)+MAX(0,-AA32)+MAX(0,-AB32)</x:f>
        <x:v>3417.0314355331866</x:v>
      </x:c>
      <x:c r="AE32" s="65" t="n">
        <x:f>Q32+AC32</x:f>
        <x:v>0</x:v>
      </x:c>
      <x:c r="AF32" s="65" t="n">
        <x:f>U32+AD32</x:f>
        <x:v>8958.322843870465</x:v>
      </x:c>
    </x:row>
    <x:row r="33">
      <x:c r="A33" s="39" t="str">
        <x:f>'In_Monthly'!A33</x:f>
        <x:v>1|upper</x:v>
      </x:c>
      <x:c r="B33" s="39" t="str">
        <x:f>'In_Monthly'!B33</x:f>
        <x:v>1</x:v>
      </x:c>
      <x:c r="C33" s="39" t="str">
        <x:f>'In_Monthly'!C33</x:f>
        <x:v>Test building 1</x:v>
      </x:c>
      <x:c r="D33" s="39" t="str">
        <x:f>'In_Monthly'!D33</x:f>
        <x:v>upper</x:v>
      </x:c>
      <x:c r="E33" s="39" t="str">
        <x:f>'In_Monthly'!E33</x:f>
        <x:v>2023-08</x:v>
      </x:c>
      <x:c r="F33" s="65" t="n">
        <x:f>'In_Monthly'!F33</x:f>
        <x:v>31</x:v>
      </x:c>
      <x:c r="G33" s="65" t="n">
        <x:f>F33*24</x:f>
        <x:v>744</x:v>
      </x:c>
      <x:c r="H33" s="65" t="n">
        <x:f>'In_Monthly'!G33</x:f>
        <x:v>22.74717741935484</x:v>
      </x:c>
      <x:c r="I33" s="65" t="n">
        <x:f>'In_Monthly'!K33</x:f>
        <x:v>0</x:v>
      </x:c>
      <x:c r="J33" s="65" t="n">
        <x:f>'In_Monthly'!L33</x:f>
        <x:v>1</x:v>
      </x:c>
      <x:c r="K33" s="65" t="n">
        <x:f>'In_Monthly'!J33*G33/1000</x:f>
        <x:v>11691.025842096167</x:v>
      </x:c>
      <x:c r="L33" s="65" t="n">
        <x:f>'Calc_Case'!E4+'Calc_Case'!F4+'Calc_Case'!G4</x:f>
        <x:v>2711.0323898964098</x:v>
      </x:c>
      <x:c r="M33" s="65" t="n">
        <x:f>'Calc_Case'!H4</x:f>
        <x:v>2156.563311328125</x:v>
      </x:c>
      <x:c r="N33" s="65" t="n">
        <x:f>(L33*('In_Cases'!O4-H33)+M33*('In_Cases'!O4-'In_Cases'!U4))*G33*I33/1000</x:f>
        <x:v>0</x:v>
      </x:c>
      <x:c r="O33" s="65" t="str">
        <x:f>IF(N33&lt;=0,"",K33/N33)</x:f>
      </x:c>
      <x:c r="P33" s="65" t="n">
        <x:f>IF(N33&lt;=0,0,IF(ABS(O33-1)&lt;1E-9,'Calc_Case'!N4/('Calc_Case'!N4+1),(1-POWER(O33,'Calc_Case'!N4))/(1-POWER(O33,'Calc_Case'!N4+1))))</x:f>
        <x:v>0</x:v>
      </x:c>
      <x:c r="Q33" s="65" t="n">
        <x:f>IF(N33&lt;=0,0,MAX(0,N33-P33*K33))</x:f>
        <x:v>0</x:v>
      </x:c>
      <x:c r="R33" s="65" t="n">
        <x:f>IF(J33&lt;=0,0,MAX(1E-12,(L33*('In_Cases'!P4-H33)+M33*('In_Cases'!P4-'In_Cases'!V4))*G33*J33/1000))</x:f>
        <x:v>11374.41879767267</x:v>
      </x:c>
      <x:c r="S33" s="65" t="n">
        <x:f>IF(J33&lt;=0,"",K33/R33)</x:f>
        <x:v>1.0278350085446368</x:v>
      </x:c>
      <x:c r="T33" s="65" t="n">
        <x:f>IF(J33&lt;=0,0,IF(ABS(S33-1)&lt;1E-9,'Calc_Case'!N4/('Calc_Case'!N4+1),(1-POWER(S33,-'Calc_Case'!N4))/(1-POWER(S33,-'Calc_Case'!N4-1))))</x:f>
        <x:v>0.7544492144641827</x:v>
      </x:c>
      <x:c r="U33" s="65" t="n">
        <x:f>IF(J33&lt;=0,0,'In_Cases'!Q4*MAX(0,K33-T33*R33))</x:f>
        <x:v>3109.6045152053885</x:v>
      </x:c>
      <x:c r="V33" s="65" t="n">
        <x:f>MAX(0,1-I33-J33)</x:f>
        <x:v>0</x:v>
      </x:c>
      <x:c r="W33" s="65" t="n">
        <x:f>'In_Cases'!T4*(H33+'In_Cases'!S4*('In_Cases'!O4-H33))+(1-'In_Cases'!T4)*'In_Cases'!O4</x:f>
        <x:v>21.098870967741938</x:v>
      </x:c>
      <x:c r="X33" s="65" t="n">
        <x:f>'In_Cases'!T4*(H33+'In_Cases'!S4*('In_Cases'!P4-H33))+(1-'In_Cases'!T4)*'In_Cases'!P4</x:f>
        <x:v>24.698870967741936</x:v>
      </x:c>
      <x:c r="Y33" s="65" t="n">
        <x:f>'In_Cases'!T4*(H33+'In_Cases'!S4*((('In_Cases'!O4+'In_Cases'!P4)/2)-H33))+(1-'In_Cases'!T4)*(('In_Cases'!O4+'In_Cases'!P4)/2)</x:f>
        <x:v>22.898870967741935</x:v>
      </x:c>
      <x:c r="Z33" s="65" t="n">
        <x:f>'In_Cases'!R4*M33*('In_Cases'!U4-W33)*G33*I33/1000</x:f>
        <x:v>0</x:v>
      </x:c>
      <x:c r="AA33" s="65" t="n">
        <x:f>'In_Cases'!R4*M33*('In_Cases'!V4-X33)*G33*J33/1000</x:f>
        <x:v>-2725.8097629862978</x:v>
      </x:c>
      <x:c r="AB33" s="65" t="n">
        <x:f>'In_Cases'!R4*M33*('In_Cases'!V4-Y33)*G33*V33/1000</x:f>
        <x:v>0</x:v>
      </x:c>
      <x:c r="AC33" s="65" t="n">
        <x:f>MAX(0,Z33)+MAX(0,AA33)+MAX(0,AB33)</x:f>
        <x:v>0</x:v>
      </x:c>
      <x:c r="AD33" s="65" t="n">
        <x:f>MAX(0,-Z33)+MAX(0,-AA33)+MAX(0,-AB33)</x:f>
        <x:v>2725.8097629862978</x:v>
      </x:c>
      <x:c r="AE33" s="65" t="n">
        <x:f>Q33+AC33</x:f>
        <x:v>0</x:v>
      </x:c>
      <x:c r="AF33" s="65" t="n">
        <x:f>U33+AD33</x:f>
        <x:v>5835.414278191686</x:v>
      </x:c>
    </x:row>
    <x:row r="34">
      <x:c r="A34" s="39" t="str">
        <x:f>'In_Monthly'!A34</x:f>
        <x:v>1|upper</x:v>
      </x:c>
      <x:c r="B34" s="39" t="str">
        <x:f>'In_Monthly'!B34</x:f>
        <x:v>1</x:v>
      </x:c>
      <x:c r="C34" s="39" t="str">
        <x:f>'In_Monthly'!C34</x:f>
        <x:v>Test building 1</x:v>
      </x:c>
      <x:c r="D34" s="39" t="str">
        <x:f>'In_Monthly'!D34</x:f>
        <x:v>upper</x:v>
      </x:c>
      <x:c r="E34" s="39" t="str">
        <x:f>'In_Monthly'!E34</x:f>
        <x:v>2023-09</x:v>
      </x:c>
      <x:c r="F34" s="65" t="n">
        <x:f>'In_Monthly'!F34</x:f>
        <x:v>30</x:v>
      </x:c>
      <x:c r="G34" s="65" t="n">
        <x:f>F34*24</x:f>
        <x:v>720</x:v>
      </x:c>
      <x:c r="H34" s="65" t="n">
        <x:f>'In_Monthly'!G34</x:f>
        <x:v>19.61638888888889</x:v>
      </x:c>
      <x:c r="I34" s="65" t="n">
        <x:f>'In_Monthly'!K34</x:f>
        <x:v>0</x:v>
      </x:c>
      <x:c r="J34" s="65" t="n">
        <x:f>'In_Monthly'!L34</x:f>
        <x:v>1</x:v>
      </x:c>
      <x:c r="K34" s="65" t="n">
        <x:f>'In_Monthly'!J34*G34/1000</x:f>
        <x:v>8575.047180554715</x:v>
      </x:c>
      <x:c r="L34" s="65" t="n">
        <x:f>'Calc_Case'!E4+'Calc_Case'!F4+'Calc_Case'!G4</x:f>
        <x:v>2711.0323898964098</x:v>
      </x:c>
      <x:c r="M34" s="65" t="n">
        <x:f>'Calc_Case'!H4</x:f>
        <x:v>2156.563311328125</x:v>
      </x:c>
      <x:c r="N34" s="65" t="n">
        <x:f>(L34*('In_Cases'!O4-H34)+M34*('In_Cases'!O4-'In_Cases'!U4))*G34*I34/1000</x:f>
        <x:v>0</x:v>
      </x:c>
      <x:c r="O34" s="65" t="str">
        <x:f>IF(N34&lt;=0,"",K34/N34)</x:f>
      </x:c>
      <x:c r="P34" s="65" t="n">
        <x:f>IF(N34&lt;=0,0,IF(ABS(O34-1)&lt;1E-9,'Calc_Case'!N4/('Calc_Case'!N4+1),(1-POWER(O34,'Calc_Case'!N4))/(1-POWER(O34,'Calc_Case'!N4+1))))</x:f>
        <x:v>0</x:v>
      </x:c>
      <x:c r="Q34" s="65" t="n">
        <x:f>IF(N34&lt;=0,0,MAX(0,N34-P34*K34))</x:f>
        <x:v>0</x:v>
      </x:c>
      <x:c r="R34" s="65" t="n">
        <x:f>IF(J34&lt;=0,0,MAX(1E-12,(L34*('In_Cases'!P4-H34)+M34*('In_Cases'!P4-'In_Cases'!V4))*G34*J34/1000))</x:f>
        <x:v>17118.623822910627</x:v>
      </x:c>
      <x:c r="S34" s="65" t="n">
        <x:f>IF(J34&lt;=0,"",K34/R34)</x:f>
        <x:v>0.5009191900740492</x:v>
      </x:c>
      <x:c r="T34" s="65" t="n">
        <x:f>IF(J34&lt;=0,0,IF(ABS(S34-1)&lt;1E-9,'Calc_Case'!N4/('Calc_Case'!N4+1),(1-POWER(S34,-'Calc_Case'!N4))/(1-POWER(S34,-'Calc_Case'!N4-1))))</x:f>
        <x:v>0.4651094203618608</x:v>
      </x:c>
      <x:c r="U34" s="65" t="n">
        <x:f>IF(J34&lt;=0,0,'In_Cases'!Q4*MAX(0,K34-T34*R34))</x:f>
        <x:v>613.0139768880108</x:v>
      </x:c>
      <x:c r="V34" s="65" t="n">
        <x:f>MAX(0,1-I34-J34)</x:f>
        <x:v>0</x:v>
      </x:c>
      <x:c r="W34" s="65" t="n">
        <x:f>'In_Cases'!T4*(H34+'In_Cases'!S4*('In_Cases'!O4-H34))+(1-'In_Cases'!T4)*'In_Cases'!O4</x:f>
        <x:v>19.846555555555554</x:v>
      </x:c>
      <x:c r="X34" s="65" t="n">
        <x:f>'In_Cases'!T4*(H34+'In_Cases'!S4*('In_Cases'!P4-H34))+(1-'In_Cases'!T4)*'In_Cases'!P4</x:f>
        <x:v>23.446555555555555</x:v>
      </x:c>
      <x:c r="Y34" s="65" t="n">
        <x:f>'In_Cases'!T4*(H34+'In_Cases'!S4*((('In_Cases'!O4+'In_Cases'!P4)/2)-H34))+(1-'In_Cases'!T4)*(('In_Cases'!O4+'In_Cases'!P4)/2)</x:f>
        <x:v>21.646555555555555</x:v>
      </x:c>
      <x:c r="Z34" s="65" t="n">
        <x:f>'In_Cases'!R4*M34*('In_Cases'!U4-W34)*G34*I34/1000</x:f>
        <x:v>0</x:v>
      </x:c>
      <x:c r="AA34" s="65" t="n">
        <x:f>'In_Cases'!R4*M34*('In_Cases'!V4-X34)*G34*J34/1000</x:f>
        <x:v>-693.3782358582185</x:v>
      </x:c>
      <x:c r="AB34" s="65" t="n">
        <x:f>'In_Cases'!R4*M34*('In_Cases'!V4-Y34)*G34*V34/1000</x:f>
        <x:v>0</x:v>
      </x:c>
      <x:c r="AC34" s="65" t="n">
        <x:f>MAX(0,Z34)+MAX(0,AA34)+MAX(0,AB34)</x:f>
        <x:v>0</x:v>
      </x:c>
      <x:c r="AD34" s="65" t="n">
        <x:f>MAX(0,-Z34)+MAX(0,-AA34)+MAX(0,-AB34)</x:f>
        <x:v>693.3782358582185</x:v>
      </x:c>
      <x:c r="AE34" s="65" t="n">
        <x:f>Q34+AC34</x:f>
        <x:v>0</x:v>
      </x:c>
      <x:c r="AF34" s="65" t="n">
        <x:f>U34+AD34</x:f>
        <x:v>1306.3922127462292</x:v>
      </x:c>
    </x:row>
    <x:row r="35">
      <x:c r="A35" s="39" t="str">
        <x:f>'In_Monthly'!A35</x:f>
        <x:v>1|upper</x:v>
      </x:c>
      <x:c r="B35" s="39" t="str">
        <x:f>'In_Monthly'!B35</x:f>
        <x:v>1</x:v>
      </x:c>
      <x:c r="C35" s="39" t="str">
        <x:f>'In_Monthly'!C35</x:f>
        <x:v>Test building 1</x:v>
      </x:c>
      <x:c r="D35" s="39" t="str">
        <x:f>'In_Monthly'!D35</x:f>
        <x:v>upper</x:v>
      </x:c>
      <x:c r="E35" s="39" t="str">
        <x:f>'In_Monthly'!E35</x:f>
        <x:v>2023-10</x:v>
      </x:c>
      <x:c r="F35" s="65" t="n">
        <x:f>'In_Monthly'!F35</x:f>
        <x:v>31</x:v>
      </x:c>
      <x:c r="G35" s="65" t="n">
        <x:f>F35*24</x:f>
        <x:v>744</x:v>
      </x:c>
      <x:c r="H35" s="65" t="n">
        <x:f>'In_Monthly'!G35</x:f>
        <x:v>13.926209677419354</x:v>
      </x:c>
      <x:c r="I35" s="65" t="n">
        <x:f>'In_Monthly'!K35</x:f>
        <x:v>0.5483870967741935</x:v>
      </x:c>
      <x:c r="J35" s="65" t="n">
        <x:f>'In_Monthly'!L35</x:f>
        <x:v>0</x:v>
      </x:c>
      <x:c r="K35" s="65" t="n">
        <x:f>'In_Monthly'!J35*G35/1000</x:f>
        <x:v>5583.021307371141</x:v>
      </x:c>
      <x:c r="L35" s="65" t="n">
        <x:f>'Calc_Case'!E4+'Calc_Case'!F4+'Calc_Case'!G4</x:f>
        <x:v>2711.0323898964098</x:v>
      </x:c>
      <x:c r="M35" s="65" t="n">
        <x:f>'Calc_Case'!H4</x:f>
        <x:v>2156.563311328125</x:v>
      </x:c>
      <x:c r="N35" s="65" t="n">
        <x:f>(L35*('In_Cases'!O4-H35)+M35*('In_Cases'!O4-'In_Cases'!U4))*G35*I35/1000</x:f>
        <x:v>4958.471193890091</x:v>
      </x:c>
      <x:c r="O35" s="65" t="n">
        <x:f>IF(N35&lt;=0,"",K35/N35)</x:f>
        <x:v>1.1259561846906827</x:v>
      </x:c>
      <x:c r="P35" s="65" t="n">
        <x:f>IF(N35&lt;=0,0,IF(ABS(O35-1)&lt;1E-9,'Calc_Case'!N4/('Calc_Case'!N4+1),(1-POWER(O35,'Calc_Case'!N4))/(1-POWER(O35,'Calc_Case'!N4+1))))</x:f>
        <x:v>0.6986633505213161</x:v>
      </x:c>
      <x:c r="Q35" s="65" t="n">
        <x:f>IF(N35&lt;=0,0,MAX(0,N35-P35*K35))</x:f>
        <x:v>1057.818821250271</x:v>
      </x:c>
      <x:c r="R35" s="65" t="n">
        <x:f>IF(J35&lt;=0,0,MAX(1E-12,(L35*('In_Cases'!P4-H35)+M35*('In_Cases'!P4-'In_Cases'!V4))*G35*J35/1000))</x:f>
        <x:v>0</x:v>
      </x:c>
      <x:c r="S35" s="65" t="str">
        <x:f>IF(J35&lt;=0,"",K35/R35)</x:f>
      </x:c>
      <x:c r="T35" s="65" t="n">
        <x:f>IF(J35&lt;=0,0,IF(ABS(S35-1)&lt;1E-9,'Calc_Case'!N4/('Calc_Case'!N4+1),(1-POWER(S35,-'Calc_Case'!N4))/(1-POWER(S35,-'Calc_Case'!N4-1))))</x:f>
        <x:v>0</x:v>
      </x:c>
      <x:c r="U35" s="65" t="n">
        <x:f>IF(J35&lt;=0,0,'In_Cases'!Q4*MAX(0,K35-T35*R35))</x:f>
        <x:v>0</x:v>
      </x:c>
      <x:c r="V35" s="65" t="n">
        <x:f>MAX(0,1-I35-J35)</x:f>
        <x:v>0.4516129032258065</x:v>
      </x:c>
      <x:c r="W35" s="65" t="n">
        <x:f>'In_Cases'!T4*(H35+'In_Cases'!S4*('In_Cases'!O4-H35))+(1-'In_Cases'!T4)*'In_Cases'!O4</x:f>
        <x:v>17.570483870967742</x:v>
      </x:c>
      <x:c r="X35" s="65" t="n">
        <x:f>'In_Cases'!T4*(H35+'In_Cases'!S4*('In_Cases'!P4-H35))+(1-'In_Cases'!T4)*'In_Cases'!P4</x:f>
        <x:v>21.170483870967743</x:v>
      </x:c>
      <x:c r="Y35" s="65" t="n">
        <x:f>'In_Cases'!T4*(H35+'In_Cases'!S4*((('In_Cases'!O4+'In_Cases'!P4)/2)-H35))+(1-'In_Cases'!T4)*(('In_Cases'!O4+'In_Cases'!P4)/2)</x:f>
        <x:v>19.370483870967742</x:v>
      </x:c>
      <x:c r="Z35" s="65" t="n">
        <x:f>'In_Cases'!R4*M35*('In_Cases'!U4-W35)*G35*I35/1000</x:f>
        <x:v>3897.433044089315</x:v>
      </x:c>
      <x:c r="AA35" s="65" t="n">
        <x:f>'In_Cases'!R4*M35*('In_Cases'!V4-X35)*G35*J35/1000</x:f>
        <x:v>0</x:v>
      </x:c>
      <x:c r="AB35" s="65" t="n">
        <x:f>'In_Cases'!R4*M35*('In_Cases'!V4-Y35)*G35*V35/1000</x:f>
        <x:v>2629.9665241062003</x:v>
      </x:c>
      <x:c r="AC35" s="65" t="n">
        <x:f>MAX(0,Z35)+MAX(0,AA35)+MAX(0,AB35)</x:f>
        <x:v>6527.399568195515</x:v>
      </x:c>
      <x:c r="AD35" s="65" t="n">
        <x:f>MAX(0,-Z35)+MAX(0,-AA35)+MAX(0,-AB35)</x:f>
        <x:v>0</x:v>
      </x:c>
      <x:c r="AE35" s="65" t="n">
        <x:f>Q35+AC35</x:f>
        <x:v>7585.218389445786</x:v>
      </x:c>
      <x:c r="AF35" s="65" t="n">
        <x:f>U35+AD35</x:f>
        <x:v>0</x:v>
      </x:c>
    </x:row>
    <x:row r="36">
      <x:c r="A36" s="39" t="str">
        <x:f>'In_Monthly'!A36</x:f>
        <x:v>1|upper</x:v>
      </x:c>
      <x:c r="B36" s="39" t="str">
        <x:f>'In_Monthly'!B36</x:f>
        <x:v>1</x:v>
      </x:c>
      <x:c r="C36" s="39" t="str">
        <x:f>'In_Monthly'!C36</x:f>
        <x:v>Test building 1</x:v>
      </x:c>
      <x:c r="D36" s="39" t="str">
        <x:f>'In_Monthly'!D36</x:f>
        <x:v>upper</x:v>
      </x:c>
      <x:c r="E36" s="39" t="str">
        <x:f>'In_Monthly'!E36</x:f>
        <x:v>2023-11</x:v>
      </x:c>
      <x:c r="F36" s="65" t="n">
        <x:f>'In_Monthly'!F36</x:f>
        <x:v>30</x:v>
      </x:c>
      <x:c r="G36" s="65" t="n">
        <x:f>F36*24</x:f>
        <x:v>720</x:v>
      </x:c>
      <x:c r="H36" s="65" t="n">
        <x:f>'In_Monthly'!G36</x:f>
        <x:v>8.68388888888889</x:v>
      </x:c>
      <x:c r="I36" s="65" t="n">
        <x:f>'In_Monthly'!K36</x:f>
        <x:v>1</x:v>
      </x:c>
      <x:c r="J36" s="65" t="n">
        <x:f>'In_Monthly'!L36</x:f>
        <x:v>0</x:v>
      </x:c>
      <x:c r="K36" s="65" t="n">
        <x:f>'In_Monthly'!J36*G36/1000</x:f>
        <x:v>2589.2535378968896</x:v>
      </x:c>
      <x:c r="L36" s="65" t="n">
        <x:f>'Calc_Case'!E4+'Calc_Case'!F4+'Calc_Case'!G4</x:f>
        <x:v>2711.0323898964098</x:v>
      </x:c>
      <x:c r="M36" s="65" t="n">
        <x:f>'Calc_Case'!H4</x:f>
        <x:v>2156.563311328125</x:v>
      </x:c>
      <x:c r="N36" s="65" t="n">
        <x:f>(L36*('In_Cases'!O4-H36)+M36*('In_Cases'!O4-'In_Cases'!U4))*G36*I36/1000</x:f>
        <x:v>18982.956331607485</x:v>
      </x:c>
      <x:c r="O36" s="65" t="n">
        <x:f>IF(N36&lt;=0,"",K36/N36)</x:f>
        <x:v>0.1363988565672284</x:v>
      </x:c>
      <x:c r="P36" s="65" t="n">
        <x:f>IF(N36&lt;=0,0,IF(ABS(O36-1)&lt;1E-9,'Calc_Case'!N4/('Calc_Case'!N4+1),(1-POWER(O36,'Calc_Case'!N4))/(1-POWER(O36,'Calc_Case'!N4+1))))</x:f>
        <x:v>0.9973832101525466</x:v>
      </x:c>
      <x:c r="Q36" s="65" t="n">
        <x:f>IF(N36&lt;=0,0,MAX(0,N36-P36*K36))</x:f>
        <x:v>16400.478326081047</x:v>
      </x:c>
      <x:c r="R36" s="65" t="n">
        <x:f>IF(J36&lt;=0,0,MAX(1E-12,(L36*('In_Cases'!P4-H36)+M36*('In_Cases'!P4-'In_Cases'!V4))*G36*J36/1000))</x:f>
        <x:v>0</x:v>
      </x:c>
      <x:c r="S36" s="65" t="str">
        <x:f>IF(J36&lt;=0,"",K36/R36)</x:f>
      </x:c>
      <x:c r="T36" s="65" t="n">
        <x:f>IF(J36&lt;=0,0,IF(ABS(S36-1)&lt;1E-9,'Calc_Case'!N4/('Calc_Case'!N4+1),(1-POWER(S36,-'Calc_Case'!N4))/(1-POWER(S36,-'Calc_Case'!N4-1))))</x:f>
        <x:v>0</x:v>
      </x:c>
      <x:c r="U36" s="65" t="n">
        <x:f>IF(J36&lt;=0,0,'In_Cases'!Q4*MAX(0,K36-T36*R36))</x:f>
        <x:v>0</x:v>
      </x:c>
      <x:c r="V36" s="65" t="n">
        <x:f>MAX(0,1-I36-J36)</x:f>
        <x:v>0</x:v>
      </x:c>
      <x:c r="W36" s="65" t="n">
        <x:f>'In_Cases'!T4*(H36+'In_Cases'!S4*('In_Cases'!O4-H36))+(1-'In_Cases'!T4)*'In_Cases'!O4</x:f>
        <x:v>15.473555555555556</x:v>
      </x:c>
      <x:c r="X36" s="65" t="n">
        <x:f>'In_Cases'!T4*(H36+'In_Cases'!S4*('In_Cases'!P4-H36))+(1-'In_Cases'!T4)*'In_Cases'!P4</x:f>
        <x:v>19.073555555555558</x:v>
      </x:c>
      <x:c r="Y36" s="65" t="n">
        <x:f>'In_Cases'!T4*(H36+'In_Cases'!S4*((('In_Cases'!O4+'In_Cases'!P4)/2)-H36))+(1-'In_Cases'!T4)*(('In_Cases'!O4+'In_Cases'!P4)/2)</x:f>
        <x:v>17.273555555555554</x:v>
      </x:c>
      <x:c r="Z36" s="65" t="n">
        <x:f>'In_Cases'!R4*M36*('In_Cases'!U4-W36)*G36*I36/1000</x:f>
        <x:v>10133.777262463313</x:v>
      </x:c>
      <x:c r="AA36" s="65" t="n">
        <x:f>'In_Cases'!R4*M36*('In_Cases'!V4-X36)*G36*J36/1000</x:f>
        <x:v>0</x:v>
      </x:c>
      <x:c r="AB36" s="65" t="n">
        <x:f>'In_Cases'!R4*M36*('In_Cases'!V4-Y36)*G36*V36/1000</x:f>
        <x:v>0</x:v>
      </x:c>
      <x:c r="AC36" s="65" t="n">
        <x:f>MAX(0,Z36)+MAX(0,AA36)+MAX(0,AB36)</x:f>
        <x:v>10133.777262463313</x:v>
      </x:c>
      <x:c r="AD36" s="65" t="n">
        <x:f>MAX(0,-Z36)+MAX(0,-AA36)+MAX(0,-AB36)</x:f>
        <x:v>0</x:v>
      </x:c>
      <x:c r="AE36" s="65" t="n">
        <x:f>Q36+AC36</x:f>
        <x:v>26534.255588544358</x:v>
      </x:c>
      <x:c r="AF36" s="65" t="n">
        <x:f>U36+AD36</x:f>
        <x:v>0</x:v>
      </x:c>
    </x:row>
    <x:row r="37">
      <x:c r="A37" s="39" t="str">
        <x:f>'In_Monthly'!A37</x:f>
        <x:v>1|upper</x:v>
      </x:c>
      <x:c r="B37" s="39" t="str">
        <x:f>'In_Monthly'!B37</x:f>
        <x:v>1</x:v>
      </x:c>
      <x:c r="C37" s="39" t="str">
        <x:f>'In_Monthly'!C37</x:f>
        <x:v>Test building 1</x:v>
      </x:c>
      <x:c r="D37" s="39" t="str">
        <x:f>'In_Monthly'!D37</x:f>
        <x:v>upper</x:v>
      </x:c>
      <x:c r="E37" s="39" t="str">
        <x:f>'In_Monthly'!E37</x:f>
        <x:v>2023-12</x:v>
      </x:c>
      <x:c r="F37" s="65" t="n">
        <x:f>'In_Monthly'!F37</x:f>
        <x:v>31</x:v>
      </x:c>
      <x:c r="G37" s="65" t="n">
        <x:f>F37*24</x:f>
        <x:v>744</x:v>
      </x:c>
      <x:c r="H37" s="65" t="n">
        <x:f>'In_Monthly'!G37</x:f>
        <x:v>3.9963709677419357</x:v>
      </x:c>
      <x:c r="I37" s="65" t="n">
        <x:f>'In_Monthly'!K37</x:f>
        <x:v>1</x:v>
      </x:c>
      <x:c r="J37" s="65" t="n">
        <x:f>'In_Monthly'!L37</x:f>
        <x:v>0</x:v>
      </x:c>
      <x:c r="K37" s="65" t="n">
        <x:f>'In_Monthly'!J37*G37/1000</x:f>
        <x:v>2101.916765081705</x:v>
      </x:c>
      <x:c r="L37" s="65" t="n">
        <x:f>'Calc_Case'!E4+'Calc_Case'!F4+'Calc_Case'!G4</x:f>
        <x:v>2711.0323898964098</x:v>
      </x:c>
      <x:c r="M37" s="65" t="n">
        <x:f>'Calc_Case'!H4</x:f>
        <x:v>2156.563311328125</x:v>
      </x:c>
      <x:c r="N37" s="65" t="n">
        <x:f>(L37*('In_Cases'!O4-H37)+M37*('In_Cases'!O4-'In_Cases'!U4))*G37*I37/1000</x:f>
        <x:v>29070.483149523334</x:v>
      </x:c>
      <x:c r="O37" s="65" t="n">
        <x:f>IF(N37&lt;=0,"",K37/N37)</x:f>
        <x:v>0.0723041565656321</x:v>
      </x:c>
      <x:c r="P37" s="65" t="n">
        <x:f>IF(N37&lt;=0,0,IF(ABS(O37-1)&lt;1E-9,'Calc_Case'!N4/('Calc_Case'!N4+1),(1-POWER(O37,'Calc_Case'!N4))/(1-POWER(O37,'Calc_Case'!N4+1))))</x:f>
        <x:v>0.9995571703244611</x:v>
      </x:c>
      <x:c r="Q37" s="65" t="n">
        <x:f>IF(N37&lt;=0,0,MAX(0,N37-P37*K37))</x:f>
        <x:v>26969.49717556072</x:v>
      </x:c>
      <x:c r="R37" s="65" t="n">
        <x:f>IF(J37&lt;=0,0,MAX(1E-12,(L37*('In_Cases'!P4-H37)+M37*('In_Cases'!P4-'In_Cases'!V4))*G37*J37/1000))</x:f>
        <x:v>0</x:v>
      </x:c>
      <x:c r="S37" s="65" t="str">
        <x:f>IF(J37&lt;=0,"",K37/R37)</x:f>
      </x:c>
      <x:c r="T37" s="65" t="n">
        <x:f>IF(J37&lt;=0,0,IF(ABS(S37-1)&lt;1E-9,'Calc_Case'!N4/('Calc_Case'!N4+1),(1-POWER(S37,-'Calc_Case'!N4))/(1-POWER(S37,-'Calc_Case'!N4-1))))</x:f>
        <x:v>0</x:v>
      </x:c>
      <x:c r="U37" s="65" t="n">
        <x:f>IF(J37&lt;=0,0,'In_Cases'!Q4*MAX(0,K37-T37*R37))</x:f>
        <x:v>0</x:v>
      </x:c>
      <x:c r="V37" s="65" t="n">
        <x:f>MAX(0,1-I37-J37)</x:f>
        <x:v>0</x:v>
      </x:c>
      <x:c r="W37" s="65" t="n">
        <x:f>'In_Cases'!T4*(H37+'In_Cases'!S4*('In_Cases'!O4-H37))+(1-'In_Cases'!T4)*'In_Cases'!O4</x:f>
        <x:v>13.598548387096773</x:v>
      </x:c>
      <x:c r="X37" s="65" t="n">
        <x:f>'In_Cases'!T4*(H37+'In_Cases'!S4*('In_Cases'!P4-H37))+(1-'In_Cases'!T4)*'In_Cases'!P4</x:f>
        <x:v>17.198548387096775</x:v>
      </x:c>
      <x:c r="Y37" s="65" t="n">
        <x:f>'In_Cases'!T4*(H37+'In_Cases'!S4*((('In_Cases'!O4+'In_Cases'!P4)/2)-H37))+(1-'In_Cases'!T4)*(('In_Cases'!O4+'In_Cases'!P4)/2)</x:f>
        <x:v>15.398548387096774</x:v>
      </x:c>
      <x:c r="Z37" s="65" t="n">
        <x:f>'In_Cases'!R4*M37*('In_Cases'!U4-W37)*G37*I37/1000</x:f>
        <x:v>13479.987158852487</x:v>
      </x:c>
      <x:c r="AA37" s="65" t="n">
        <x:f>'In_Cases'!R4*M37*('In_Cases'!V4-X37)*G37*J37/1000</x:f>
        <x:v>0</x:v>
      </x:c>
      <x:c r="AB37" s="65" t="n">
        <x:f>'In_Cases'!R4*M37*('In_Cases'!V4-Y37)*G37*V37/1000</x:f>
        <x:v>0</x:v>
      </x:c>
      <x:c r="AC37" s="65" t="n">
        <x:f>MAX(0,Z37)+MAX(0,AA37)+MAX(0,AB37)</x:f>
        <x:v>13479.987158852487</x:v>
      </x:c>
      <x:c r="AD37" s="65" t="n">
        <x:f>MAX(0,-Z37)+MAX(0,-AA37)+MAX(0,-AB37)</x:f>
        <x:v>0</x:v>
      </x:c>
      <x:c r="AE37" s="65" t="n">
        <x:f>Q37+AC37</x:f>
        <x:v>40449.48433441321</x:v>
      </x:c>
      <x:c r="AF37" s="65" t="n">
        <x:f>U37+AD37</x:f>
        <x:v>0</x:v>
      </x:c>
    </x:row>
    <x:row r="38">
      <x:c r="A38" s="39" t="str">
        <x:f>'In_Monthly'!A38</x:f>
        <x:v>18|aggregate</x:v>
      </x:c>
      <x:c r="B38" s="39" t="str">
        <x:f>'In_Monthly'!B38</x:f>
        <x:v>18</x:v>
      </x:c>
      <x:c r="C38" s="39" t="str">
        <x:f>'In_Monthly'!C38</x:f>
        <x:v>Test building 2</x:v>
      </x:c>
      <x:c r="D38" s="39" t="str">
        <x:f>'In_Monthly'!D38</x:f>
        <x:v>aggregate</x:v>
      </x:c>
      <x:c r="E38" s="39" t="str">
        <x:f>'In_Monthly'!E38</x:f>
        <x:v>2023-01</x:v>
      </x:c>
      <x:c r="F38" s="65" t="n">
        <x:f>'In_Monthly'!F38</x:f>
        <x:v>31</x:v>
      </x:c>
      <x:c r="G38" s="65" t="n">
        <x:f>F38*24</x:f>
        <x:v>744</x:v>
      </x:c>
      <x:c r="H38" s="65" t="n">
        <x:f>'In_Monthly'!G38</x:f>
        <x:v>2.638440860215054</x:v>
      </x:c>
      <x:c r="I38" s="65" t="n">
        <x:f>'In_Monthly'!K38</x:f>
        <x:v>1</x:v>
      </x:c>
      <x:c r="J38" s="65" t="n">
        <x:f>'In_Monthly'!L38</x:f>
        <x:v>0</x:v>
      </x:c>
      <x:c r="K38" s="65" t="n">
        <x:f>'In_Monthly'!J38*G38/1000</x:f>
        <x:v>8858.229353644294</x:v>
      </x:c>
      <x:c r="L38" s="65" t="n">
        <x:f>'Calc_Case'!E5+'Calc_Case'!F5+'Calc_Case'!G5</x:f>
        <x:v>2470.3264099496996</x:v>
      </x:c>
      <x:c r="M38" s="65" t="n">
        <x:f>'Calc_Case'!H5</x:f>
        <x:v>1027.4795916943362</x:v>
      </x:c>
      <x:c r="N38" s="65" t="n">
        <x:f>(L38*('In_Cases'!O5-H38)+M38*('In_Cases'!O5-'In_Cases'!U5))*G38*I38/1000</x:f>
        <x:v>32115.22838169455</x:v>
      </x:c>
      <x:c r="O38" s="65" t="n">
        <x:f>IF(N38&lt;=0,"",K38/N38)</x:f>
        <x:v>0.2758264474523688</x:v>
      </x:c>
      <x:c r="P38" s="65" t="n">
        <x:f>IF(N38&lt;=0,0,IF(ABS(O38-1)&lt;1E-9,'Calc_Case'!N5/('Calc_Case'!N5+1),(1-POWER(O38,'Calc_Case'!N5))/(1-POWER(O38,'Calc_Case'!N5+1))))</x:f>
        <x:v>0.9721346284414363</x:v>
      </x:c>
      <x:c r="Q38" s="65" t="n">
        <x:f>IF(N38&lt;=0,0,MAX(0,N38-P38*K38))</x:f>
        <x:v>23503.836880340532</x:v>
      </x:c>
      <x:c r="R38" s="65" t="n">
        <x:f>IF(J38&lt;=0,0,MAX(1E-12,(L38*('In_Cases'!P5-H38)+M38*('In_Cases'!P5-'In_Cases'!V5))*G38*J38/1000))</x:f>
        <x:v>0</x:v>
      </x:c>
      <x:c r="S38" s="65" t="str">
        <x:f>IF(J38&lt;=0,"",K38/R38)</x:f>
      </x:c>
      <x:c r="T38" s="65" t="n">
        <x:f>IF(J38&lt;=0,0,IF(ABS(S38-1)&lt;1E-9,'Calc_Case'!N5/('Calc_Case'!N5+1),(1-POWER(S38,-'Calc_Case'!N5))/(1-POWER(S38,-'Calc_Case'!N5-1))))</x:f>
        <x:v>0</x:v>
      </x:c>
      <x:c r="U38" s="65" t="n">
        <x:f>IF(J38&lt;=0,0,'In_Cases'!Q5*MAX(0,K38-T38*R38))</x:f>
        <x:v>0</x:v>
      </x:c>
      <x:c r="V38" s="65" t="n">
        <x:f>MAX(0,1-I38-J38)</x:f>
        <x:v>0</x:v>
      </x:c>
      <x:c r="W38" s="65" t="n">
        <x:f>'In_Cases'!T5*(H38+'In_Cases'!S5*('In_Cases'!O5-H38))+(1-'In_Cases'!T5)*'In_Cases'!O5</x:f>
        <x:v>13.455376344086023</x:v>
      </x:c>
      <x:c r="X38" s="65" t="n">
        <x:f>'In_Cases'!T5*(H38+'In_Cases'!S5*('In_Cases'!P5-H38))+(1-'In_Cases'!T5)*'In_Cases'!P5</x:f>
        <x:v>16.655376344086022</x:v>
      </x:c>
      <x:c r="Y38" s="65" t="n">
        <x:f>'In_Cases'!T5*(H38+'In_Cases'!S5*((('In_Cases'!O5+'In_Cases'!P5)/2)-H38))+(1-'In_Cases'!T5)*(('In_Cases'!O5+'In_Cases'!P5)/2)</x:f>
        <x:v>15.05537634408602</x:v>
      </x:c>
      <x:c r="Z38" s="65" t="n">
        <x:f>'In_Cases'!R5*M38*('In_Cases'!U5-W38)*G38*I38/1000</x:f>
        <x:v>6531.893260319233</x:v>
      </x:c>
      <x:c r="AA38" s="65" t="n">
        <x:f>'In_Cases'!R5*M38*('In_Cases'!V5-X38)*G38*J38/1000</x:f>
        <x:v>0</x:v>
      </x:c>
      <x:c r="AB38" s="65" t="n">
        <x:f>'In_Cases'!R5*M38*('In_Cases'!V5-Y38)*G38*V38/1000</x:f>
        <x:v>0</x:v>
      </x:c>
      <x:c r="AC38" s="65" t="n">
        <x:f>MAX(0,Z38)+MAX(0,AA38)+MAX(0,AB38)</x:f>
        <x:v>6531.893260319233</x:v>
      </x:c>
      <x:c r="AD38" s="65" t="n">
        <x:f>MAX(0,-Z38)+MAX(0,-AA38)+MAX(0,-AB38)</x:f>
        <x:v>0</x:v>
      </x:c>
      <x:c r="AE38" s="65" t="n">
        <x:f>Q38+AC38</x:f>
        <x:v>30035.730140659765</x:v>
      </x:c>
      <x:c r="AF38" s="65" t="n">
        <x:f>U38+AD38</x:f>
        <x:v>0</x:v>
      </x:c>
    </x:row>
    <x:row r="39">
      <x:c r="A39" s="39" t="str">
        <x:f>'In_Monthly'!A39</x:f>
        <x:v>18|aggregate</x:v>
      </x:c>
      <x:c r="B39" s="39" t="str">
        <x:f>'In_Monthly'!B39</x:f>
        <x:v>18</x:v>
      </x:c>
      <x:c r="C39" s="39" t="str">
        <x:f>'In_Monthly'!C39</x:f>
        <x:v>Test building 2</x:v>
      </x:c>
      <x:c r="D39" s="39" t="str">
        <x:f>'In_Monthly'!D39</x:f>
        <x:v>aggregate</x:v>
      </x:c>
      <x:c r="E39" s="39" t="str">
        <x:f>'In_Monthly'!E39</x:f>
        <x:v>2023-02</x:v>
      </x:c>
      <x:c r="F39" s="65" t="n">
        <x:f>'In_Monthly'!F39</x:f>
        <x:v>28</x:v>
      </x:c>
      <x:c r="G39" s="65" t="n">
        <x:f>F39*24</x:f>
        <x:v>672</x:v>
      </x:c>
      <x:c r="H39" s="65" t="n">
        <x:f>'In_Monthly'!G39</x:f>
        <x:v>3.8903273809523813</x:v>
      </x:c>
      <x:c r="I39" s="65" t="n">
        <x:f>'In_Monthly'!K39</x:f>
        <x:v>1</x:v>
      </x:c>
      <x:c r="J39" s="65" t="n">
        <x:f>'In_Monthly'!L39</x:f>
        <x:v>0</x:v>
      </x:c>
      <x:c r="K39" s="65" t="n">
        <x:f>'In_Monthly'!J39*G39/1000</x:f>
        <x:v>8759.172770820296</x:v>
      </x:c>
      <x:c r="L39" s="65" t="n">
        <x:f>'Calc_Case'!E5+'Calc_Case'!F5+'Calc_Case'!G5</x:f>
        <x:v>2470.3264099496996</x:v>
      </x:c>
      <x:c r="M39" s="65" t="n">
        <x:f>'Calc_Case'!H5</x:f>
        <x:v>1027.4795916943362</x:v>
      </x:c>
      <x:c r="N39" s="65" t="n">
        <x:f>(L39*('In_Cases'!O5-H39)+M39*('In_Cases'!O5-'In_Cases'!U5))*G39*I39/1000</x:f>
        <x:v>26929.097133691805</x:v>
      </x:c>
      <x:c r="O39" s="65" t="n">
        <x:f>IF(N39&lt;=0,"",K39/N39)</x:f>
        <x:v>0.3252679704534702</x:v>
      </x:c>
      <x:c r="P39" s="65" t="n">
        <x:f>IF(N39&lt;=0,0,IF(ABS(O39-1)&lt;1E-9,'Calc_Case'!N5/('Calc_Case'!N5+1),(1-POWER(O39,'Calc_Case'!N5))/(1-POWER(O39,'Calc_Case'!N5+1))))</x:f>
        <x:v>0.9602154421039133</x:v>
      </x:c>
      <x:c r="Q39" s="65" t="n">
        <x:f>IF(N39&lt;=0,0,MAX(0,N39-P39*K39))</x:f>
        <x:v>18518.404179094035</x:v>
      </x:c>
      <x:c r="R39" s="65" t="n">
        <x:f>IF(J39&lt;=0,0,MAX(1E-12,(L39*('In_Cases'!P5-H39)+M39*('In_Cases'!P5-'In_Cases'!V5))*G39*J39/1000))</x:f>
        <x:v>0</x:v>
      </x:c>
      <x:c r="S39" s="65" t="str">
        <x:f>IF(J39&lt;=0,"",K39/R39)</x:f>
      </x:c>
      <x:c r="T39" s="65" t="n">
        <x:f>IF(J39&lt;=0,0,IF(ABS(S39-1)&lt;1E-9,'Calc_Case'!N5/('Calc_Case'!N5+1),(1-POWER(S39,-'Calc_Case'!N5))/(1-POWER(S39,-'Calc_Case'!N5-1))))</x:f>
        <x:v>0</x:v>
      </x:c>
      <x:c r="U39" s="65" t="n">
        <x:f>IF(J39&lt;=0,0,'In_Cases'!Q5*MAX(0,K39-T39*R39))</x:f>
        <x:v>0</x:v>
      </x:c>
      <x:c r="V39" s="65" t="n">
        <x:f>MAX(0,1-I39-J39)</x:f>
        <x:v>0</x:v>
      </x:c>
      <x:c r="W39" s="65" t="n">
        <x:f>'In_Cases'!T5*(H39+'In_Cases'!S5*('In_Cases'!O5-H39))+(1-'In_Cases'!T5)*'In_Cases'!O5</x:f>
        <x:v>13.956130952380953</x:v>
      </x:c>
      <x:c r="X39" s="65" t="n">
        <x:f>'In_Cases'!T5*(H39+'In_Cases'!S5*('In_Cases'!P5-H39))+(1-'In_Cases'!T5)*'In_Cases'!P5</x:f>
        <x:v>17.156130952380952</x:v>
      </x:c>
      <x:c r="Y39" s="65" t="n">
        <x:f>'In_Cases'!T5*(H39+'In_Cases'!S5*((('In_Cases'!O5+'In_Cases'!P5)/2)-H39))+(1-'In_Cases'!T5)*(('In_Cases'!O5+'In_Cases'!P5)/2)</x:f>
        <x:v>15.556130952380954</x:v>
      </x:c>
      <x:c r="Z39" s="65" t="n">
        <x:f>'In_Cases'!R5*M39*('In_Cases'!U5-W39)*G39*I39/1000</x:f>
        <x:v>5554.0203833119</x:v>
      </x:c>
      <x:c r="AA39" s="65" t="n">
        <x:f>'In_Cases'!R5*M39*('In_Cases'!V5-X39)*G39*J39/1000</x:f>
        <x:v>0</x:v>
      </x:c>
      <x:c r="AB39" s="65" t="n">
        <x:f>'In_Cases'!R5*M39*('In_Cases'!V5-Y39)*G39*V39/1000</x:f>
        <x:v>0</x:v>
      </x:c>
      <x:c r="AC39" s="65" t="n">
        <x:f>MAX(0,Z39)+MAX(0,AA39)+MAX(0,AB39)</x:f>
        <x:v>5554.0203833119</x:v>
      </x:c>
      <x:c r="AD39" s="65" t="n">
        <x:f>MAX(0,-Z39)+MAX(0,-AA39)+MAX(0,-AB39)</x:f>
        <x:v>0</x:v>
      </x:c>
      <x:c r="AE39" s="65" t="n">
        <x:f>Q39+AC39</x:f>
        <x:v>24072.424562405937</x:v>
      </x:c>
      <x:c r="AF39" s="65" t="n">
        <x:f>U39+AD39</x:f>
        <x:v>0</x:v>
      </x:c>
    </x:row>
    <x:row r="40">
      <x:c r="A40" s="39" t="str">
        <x:f>'In_Monthly'!A40</x:f>
        <x:v>18|aggregate</x:v>
      </x:c>
      <x:c r="B40" s="39" t="str">
        <x:f>'In_Monthly'!B40</x:f>
        <x:v>18</x:v>
      </x:c>
      <x:c r="C40" s="39" t="str">
        <x:f>'In_Monthly'!C40</x:f>
        <x:v>Test building 2</x:v>
      </x:c>
      <x:c r="D40" s="39" t="str">
        <x:f>'In_Monthly'!D40</x:f>
        <x:v>aggregate</x:v>
      </x:c>
      <x:c r="E40" s="39" t="str">
        <x:f>'In_Monthly'!E40</x:f>
        <x:v>2023-03</x:v>
      </x:c>
      <x:c r="F40" s="65" t="n">
        <x:f>'In_Monthly'!F40</x:f>
        <x:v>31</x:v>
      </x:c>
      <x:c r="G40" s="65" t="n">
        <x:f>F40*24</x:f>
        <x:v>744</x:v>
      </x:c>
      <x:c r="H40" s="65" t="n">
        <x:f>'In_Monthly'!G40</x:f>
        <x:v>7.746908602150539</x:v>
      </x:c>
      <x:c r="I40" s="65" t="n">
        <x:f>'In_Monthly'!K40</x:f>
        <x:v>1</x:v>
      </x:c>
      <x:c r="J40" s="65" t="n">
        <x:f>'In_Monthly'!L40</x:f>
        <x:v>0</x:v>
      </x:c>
      <x:c r="K40" s="65" t="n">
        <x:f>'In_Monthly'!J40*G40/1000</x:f>
        <x:v>12324.037691503028</x:v>
      </x:c>
      <x:c r="L40" s="65" t="n">
        <x:f>'Calc_Case'!E5+'Calc_Case'!F5+'Calc_Case'!G5</x:f>
        <x:v>2470.3264099496996</x:v>
      </x:c>
      <x:c r="M40" s="65" t="n">
        <x:f>'Calc_Case'!H5</x:f>
        <x:v>1027.4795916943362</x:v>
      </x:c>
      <x:c r="N40" s="65" t="n">
        <x:f>(L40*('In_Cases'!O5-H40)+M40*('In_Cases'!O5-'In_Cases'!U5))*G40*I40/1000</x:f>
        <x:v>22726.25879539872</x:v>
      </x:c>
      <x:c r="O40" s="65" t="n">
        <x:f>IF(N40&lt;=0,"",K40/N40)</x:f>
        <x:v>0.542281851247695</x:v>
      </x:c>
      <x:c r="P40" s="65" t="n">
        <x:f>IF(N40&lt;=0,0,IF(ABS(O40-1)&lt;1E-9,'Calc_Case'!N5/('Calc_Case'!N5+1),(1-POWER(O40,'Calc_Case'!N5))/(1-POWER(O40,'Calc_Case'!N5+1))))</x:f>
        <x:v>0.890566625202184</x:v>
      </x:c>
      <x:c r="Q40" s="65" t="n">
        <x:f>IF(N40&lt;=0,0,MAX(0,N40-P40*K40))</x:f>
        <x:v>11750.882139612355</x:v>
      </x:c>
      <x:c r="R40" s="65" t="n">
        <x:f>IF(J40&lt;=0,0,MAX(1E-12,(L40*('In_Cases'!P5-H40)+M40*('In_Cases'!P5-'In_Cases'!V5))*G40*J40/1000))</x:f>
        <x:v>0</x:v>
      </x:c>
      <x:c r="S40" s="65" t="str">
        <x:f>IF(J40&lt;=0,"",K40/R40)</x:f>
      </x:c>
      <x:c r="T40" s="65" t="n">
        <x:f>IF(J40&lt;=0,0,IF(ABS(S40-1)&lt;1E-9,'Calc_Case'!N5/('Calc_Case'!N5+1),(1-POWER(S40,-'Calc_Case'!N5))/(1-POWER(S40,-'Calc_Case'!N5-1))))</x:f>
        <x:v>0</x:v>
      </x:c>
      <x:c r="U40" s="65" t="n">
        <x:f>IF(J40&lt;=0,0,'In_Cases'!Q5*MAX(0,K40-T40*R40))</x:f>
        <x:v>0</x:v>
      </x:c>
      <x:c r="V40" s="65" t="n">
        <x:f>MAX(0,1-I40-J40)</x:f>
        <x:v>0</x:v>
      </x:c>
      <x:c r="W40" s="65" t="n">
        <x:f>'In_Cases'!T5*(H40+'In_Cases'!S5*('In_Cases'!O5-H40))+(1-'In_Cases'!T5)*'In_Cases'!O5</x:f>
        <x:v>15.498763440860216</x:v>
      </x:c>
      <x:c r="X40" s="65" t="n">
        <x:f>'In_Cases'!T5*(H40+'In_Cases'!S5*('In_Cases'!P5-H40))+(1-'In_Cases'!T5)*'In_Cases'!P5</x:f>
        <x:v>18.698763440860212</x:v>
      </x:c>
      <x:c r="Y40" s="65" t="n">
        <x:f>'In_Cases'!T5*(H40+'In_Cases'!S5*((('In_Cases'!O5+'In_Cases'!P5)/2)-H40))+(1-'In_Cases'!T5)*(('In_Cases'!O5+'In_Cases'!P5)/2)</x:f>
        <x:v>17.098763440860218</x:v>
      </x:c>
      <x:c r="Z40" s="65" t="n">
        <x:f>'In_Cases'!R5*M40*('In_Cases'!U5-W40)*G40*I40/1000</x:f>
        <x:v>4969.836586658168</x:v>
      </x:c>
      <x:c r="AA40" s="65" t="n">
        <x:f>'In_Cases'!R5*M40*('In_Cases'!V5-X40)*G40*J40/1000</x:f>
        <x:v>0</x:v>
      </x:c>
      <x:c r="AB40" s="65" t="n">
        <x:f>'In_Cases'!R5*M40*('In_Cases'!V5-Y40)*G40*V40/1000</x:f>
        <x:v>0</x:v>
      </x:c>
      <x:c r="AC40" s="65" t="n">
        <x:f>MAX(0,Z40)+MAX(0,AA40)+MAX(0,AB40)</x:f>
        <x:v>4969.836586658168</x:v>
      </x:c>
      <x:c r="AD40" s="65" t="n">
        <x:f>MAX(0,-Z40)+MAX(0,-AA40)+MAX(0,-AB40)</x:f>
        <x:v>0</x:v>
      </x:c>
      <x:c r="AE40" s="65" t="n">
        <x:f>Q40+AC40</x:f>
        <x:v>16720.718726270523</x:v>
      </x:c>
      <x:c r="AF40" s="65" t="n">
        <x:f>U40+AD40</x:f>
        <x:v>0</x:v>
      </x:c>
    </x:row>
    <x:row r="41">
      <x:c r="A41" s="39" t="str">
        <x:f>'In_Monthly'!A41</x:f>
        <x:v>18|aggregate</x:v>
      </x:c>
      <x:c r="B41" s="39" t="str">
        <x:f>'In_Monthly'!B41</x:f>
        <x:v>18</x:v>
      </x:c>
      <x:c r="C41" s="39" t="str">
        <x:f>'In_Monthly'!C41</x:f>
        <x:v>Test building 2</x:v>
      </x:c>
      <x:c r="D41" s="39" t="str">
        <x:f>'In_Monthly'!D41</x:f>
        <x:v>aggregate</x:v>
      </x:c>
      <x:c r="E41" s="39" t="str">
        <x:f>'In_Monthly'!E41</x:f>
        <x:v>2023-04</x:v>
      </x:c>
      <x:c r="F41" s="65" t="n">
        <x:f>'In_Monthly'!F41</x:f>
        <x:v>30</x:v>
      </x:c>
      <x:c r="G41" s="65" t="n">
        <x:f>F41*24</x:f>
        <x:v>720</x:v>
      </x:c>
      <x:c r="H41" s="65" t="n">
        <x:f>'In_Monthly'!G41</x:f>
        <x:v>12.03041666666667</x:v>
      </x:c>
      <x:c r="I41" s="65" t="n">
        <x:f>'In_Monthly'!K41</x:f>
        <x:v>1</x:v>
      </x:c>
      <x:c r="J41" s="65" t="n">
        <x:f>'In_Monthly'!L41</x:f>
        <x:v>0</x:v>
      </x:c>
      <x:c r="K41" s="65" t="n">
        <x:f>'In_Monthly'!J41*G41/1000</x:f>
        <x:v>13582.977435237199</x:v>
      </x:c>
      <x:c r="L41" s="65" t="n">
        <x:f>'Calc_Case'!E5+'Calc_Case'!F5+'Calc_Case'!G5</x:f>
        <x:v>2470.3264099496996</x:v>
      </x:c>
      <x:c r="M41" s="65" t="n">
        <x:f>'Calc_Case'!H5</x:f>
        <x:v>1027.4795916943362</x:v>
      </x:c>
      <x:c r="N41" s="65" t="n">
        <x:f>(L41*('In_Cases'!O5-H41)+M41*('In_Cases'!O5-'In_Cases'!U5))*G41*I41/1000</x:f>
        <x:v>14374.356241681664</x:v>
      </x:c>
      <x:c r="O41" s="65" t="n">
        <x:f>IF(N41&lt;=0,"",K41/N41)</x:f>
        <x:v>0.9449450957567278</x:v>
      </x:c>
      <x:c r="P41" s="65" t="n">
        <x:f>IF(N41&lt;=0,0,IF(ABS(O41-1)&lt;1E-9,'Calc_Case'!N5/('Calc_Case'!N5+1),(1-POWER(O41,'Calc_Case'!N5))/(1-POWER(O41,'Calc_Case'!N5+1))))</x:f>
        <x:v>0.7373130882109842</x:v>
      </x:c>
      <x:c r="Q41" s="65" t="n">
        <x:f>IF(N41&lt;=0,0,MAX(0,N41-P41*K41))</x:f>
        <x:v>4359.449201806812</x:v>
      </x:c>
      <x:c r="R41" s="65" t="n">
        <x:f>IF(J41&lt;=0,0,MAX(1E-12,(L41*('In_Cases'!P5-H41)+M41*('In_Cases'!P5-'In_Cases'!V5))*G41*J41/1000))</x:f>
        <x:v>0</x:v>
      </x:c>
      <x:c r="S41" s="65" t="str">
        <x:f>IF(J41&lt;=0,"",K41/R41)</x:f>
      </x:c>
      <x:c r="T41" s="65" t="n">
        <x:f>IF(J41&lt;=0,0,IF(ABS(S41-1)&lt;1E-9,'Calc_Case'!N5/('Calc_Case'!N5+1),(1-POWER(S41,-'Calc_Case'!N5))/(1-POWER(S41,-'Calc_Case'!N5-1))))</x:f>
        <x:v>0</x:v>
      </x:c>
      <x:c r="U41" s="65" t="n">
        <x:f>IF(J41&lt;=0,0,'In_Cases'!Q5*MAX(0,K41-T41*R41))</x:f>
        <x:v>0</x:v>
      </x:c>
      <x:c r="V41" s="65" t="n">
        <x:f>MAX(0,1-I41-J41)</x:f>
        <x:v>0</x:v>
      </x:c>
      <x:c r="W41" s="65" t="n">
        <x:f>'In_Cases'!T5*(H41+'In_Cases'!S5*('In_Cases'!O5-H41))+(1-'In_Cases'!T5)*'In_Cases'!O5</x:f>
        <x:v>17.21216666666667</x:v>
      </x:c>
      <x:c r="X41" s="65" t="n">
        <x:f>'In_Cases'!T5*(H41+'In_Cases'!S5*('In_Cases'!P5-H41))+(1-'In_Cases'!T5)*'In_Cases'!P5</x:f>
        <x:v>20.412166666666668</x:v>
      </x:c>
      <x:c r="Y41" s="65" t="n">
        <x:f>'In_Cases'!T5*(H41+'In_Cases'!S5*((('In_Cases'!O5+'In_Cases'!P5)/2)-H41))+(1-'In_Cases'!T5)*(('In_Cases'!O5+'In_Cases'!P5)/2)</x:f>
        <x:v>18.81216666666667</x:v>
      </x:c>
      <x:c r="Z41" s="65" t="n">
        <x:f>'In_Cases'!R5*M41*('In_Cases'!U5-W41)*G41*I41/1000</x:f>
        <x:v>3541.968747672382</x:v>
      </x:c>
      <x:c r="AA41" s="65" t="n">
        <x:f>'In_Cases'!R5*M41*('In_Cases'!V5-X41)*G41*J41/1000</x:f>
        <x:v>0</x:v>
      </x:c>
      <x:c r="AB41" s="65" t="n">
        <x:f>'In_Cases'!R5*M41*('In_Cases'!V5-Y41)*G41*V41/1000</x:f>
        <x:v>0</x:v>
      </x:c>
      <x:c r="AC41" s="65" t="n">
        <x:f>MAX(0,Z41)+MAX(0,AA41)+MAX(0,AB41)</x:f>
        <x:v>3541.968747672382</x:v>
      </x:c>
      <x:c r="AD41" s="65" t="n">
        <x:f>MAX(0,-Z41)+MAX(0,-AA41)+MAX(0,-AB41)</x:f>
        <x:v>0</x:v>
      </x:c>
      <x:c r="AE41" s="65" t="n">
        <x:f>Q41+AC41</x:f>
        <x:v>7901.417949479194</x:v>
      </x:c>
      <x:c r="AF41" s="65" t="n">
        <x:f>U41+AD41</x:f>
        <x:v>0</x:v>
      </x:c>
    </x:row>
    <x:row r="42">
      <x:c r="A42" s="39" t="str">
        <x:f>'In_Monthly'!A42</x:f>
        <x:v>18|aggregate</x:v>
      </x:c>
      <x:c r="B42" s="39" t="str">
        <x:f>'In_Monthly'!B42</x:f>
        <x:v>18</x:v>
      </x:c>
      <x:c r="C42" s="39" t="str">
        <x:f>'In_Monthly'!C42</x:f>
        <x:v>Test building 2</x:v>
      </x:c>
      <x:c r="D42" s="39" t="str">
        <x:f>'In_Monthly'!D42</x:f>
        <x:v>aggregate</x:v>
      </x:c>
      <x:c r="E42" s="39" t="str">
        <x:f>'In_Monthly'!E42</x:f>
        <x:v>2023-05</x:v>
      </x:c>
      <x:c r="F42" s="65" t="n">
        <x:f>'In_Monthly'!F42</x:f>
        <x:v>31</x:v>
      </x:c>
      <x:c r="G42" s="65" t="n">
        <x:f>F42*24</x:f>
        <x:v>744</x:v>
      </x:c>
      <x:c r="H42" s="65" t="n">
        <x:f>'In_Monthly'!G42</x:f>
        <x:v>17.244086021505375</x:v>
      </x:c>
      <x:c r="I42" s="65" t="n">
        <x:f>'In_Monthly'!K42</x:f>
        <x:v>0</x:v>
      </x:c>
      <x:c r="J42" s="65" t="n">
        <x:f>'In_Monthly'!L42</x:f>
        <x:v>0</x:v>
      </x:c>
      <x:c r="K42" s="65" t="n">
        <x:f>'In_Monthly'!J42*G42/1000</x:f>
        <x:v>15667.54261913181</x:v>
      </x:c>
      <x:c r="L42" s="65" t="n">
        <x:f>'Calc_Case'!E5+'Calc_Case'!F5+'Calc_Case'!G5</x:f>
        <x:v>2470.3264099496996</x:v>
      </x:c>
      <x:c r="M42" s="65" t="n">
        <x:f>'Calc_Case'!H5</x:f>
        <x:v>1027.4795916943362</x:v>
      </x:c>
      <x:c r="N42" s="65" t="n">
        <x:f>(L42*('In_Cases'!O5-H42)+M42*('In_Cases'!O5-'In_Cases'!U5))*G42*I42/1000</x:f>
        <x:v>0</x:v>
      </x:c>
      <x:c r="O42" s="65" t="str">
        <x:f>IF(N42&lt;=0,"",K42/N42)</x:f>
      </x:c>
      <x:c r="P42" s="65" t="n">
        <x:f>IF(N42&lt;=0,0,IF(ABS(O42-1)&lt;1E-9,'Calc_Case'!N5/('Calc_Case'!N5+1),(1-POWER(O42,'Calc_Case'!N5))/(1-POWER(O42,'Calc_Case'!N5+1))))</x:f>
        <x:v>0</x:v>
      </x:c>
      <x:c r="Q42" s="65" t="n">
        <x:f>IF(N42&lt;=0,0,MAX(0,N42-P42*K42))</x:f>
        <x:v>0</x:v>
      </x:c>
      <x:c r="R42" s="65" t="n">
        <x:f>IF(J42&lt;=0,0,MAX(1E-12,(L42*('In_Cases'!P5-H42)+M42*('In_Cases'!P5-'In_Cases'!V5))*G42*J42/1000))</x:f>
        <x:v>0</x:v>
      </x:c>
      <x:c r="S42" s="65" t="str">
        <x:f>IF(J42&lt;=0,"",K42/R42)</x:f>
      </x:c>
      <x:c r="T42" s="65" t="n">
        <x:f>IF(J42&lt;=0,0,IF(ABS(S42-1)&lt;1E-9,'Calc_Case'!N5/('Calc_Case'!N5+1),(1-POWER(S42,-'Calc_Case'!N5))/(1-POWER(S42,-'Calc_Case'!N5-1))))</x:f>
        <x:v>0</x:v>
      </x:c>
      <x:c r="U42" s="65" t="n">
        <x:f>IF(J42&lt;=0,0,'In_Cases'!Q5*MAX(0,K42-T42*R42))</x:f>
        <x:v>0</x:v>
      </x:c>
      <x:c r="V42" s="65" t="n">
        <x:f>MAX(0,1-I42-J42)</x:f>
        <x:v>1</x:v>
      </x:c>
      <x:c r="W42" s="65" t="n">
        <x:f>'In_Cases'!T5*(H42+'In_Cases'!S5*('In_Cases'!O5-H42))+(1-'In_Cases'!T5)*'In_Cases'!O5</x:f>
        <x:v>19.29763440860215</x:v>
      </x:c>
      <x:c r="X42" s="65" t="n">
        <x:f>'In_Cases'!T5*(H42+'In_Cases'!S5*('In_Cases'!P5-H42))+(1-'In_Cases'!T5)*'In_Cases'!P5</x:f>
        <x:v>22.49763440860215</x:v>
      </x:c>
      <x:c r="Y42" s="65" t="n">
        <x:f>'In_Cases'!T5*(H42+'In_Cases'!S5*((('In_Cases'!O5+'In_Cases'!P5)/2)-H42))+(1-'In_Cases'!T5)*(('In_Cases'!O5+'In_Cases'!P5)/2)</x:f>
        <x:v>20.89763440860215</x:v>
      </x:c>
      <x:c r="Z42" s="65" t="n">
        <x:f>'In_Cases'!R5*M42*('In_Cases'!U5-W42)*G42*I42/1000</x:f>
        <x:v>0</x:v>
      </x:c>
      <x:c r="AA42" s="65" t="n">
        <x:f>'In_Cases'!R5*M42*('In_Cases'!V5-X42)*G42*J42/1000</x:f>
        <x:v>0</x:v>
      </x:c>
      <x:c r="AB42" s="65" t="n">
        <x:f>'In_Cases'!R5*M42*('In_Cases'!V5-Y42)*G42*V42/1000</x:f>
        <x:v>1607.1424781446121</x:v>
      </x:c>
      <x:c r="AC42" s="65" t="n">
        <x:f>MAX(0,Z42)+MAX(0,AA42)+MAX(0,AB42)</x:f>
        <x:v>1607.1424781446121</x:v>
      </x:c>
      <x:c r="AD42" s="65" t="n">
        <x:f>MAX(0,-Z42)+MAX(0,-AA42)+MAX(0,-AB42)</x:f>
        <x:v>0</x:v>
      </x:c>
      <x:c r="AE42" s="65" t="n">
        <x:f>Q42+AC42</x:f>
        <x:v>1607.1424781446121</x:v>
      </x:c>
      <x:c r="AF42" s="65" t="n">
        <x:f>U42+AD42</x:f>
        <x:v>0</x:v>
      </x:c>
    </x:row>
    <x:row r="43">
      <x:c r="A43" s="39" t="str">
        <x:f>'In_Monthly'!A43</x:f>
        <x:v>18|aggregate</x:v>
      </x:c>
      <x:c r="B43" s="39" t="str">
        <x:f>'In_Monthly'!B43</x:f>
        <x:v>18</x:v>
      </x:c>
      <x:c r="C43" s="39" t="str">
        <x:f>'In_Monthly'!C43</x:f>
        <x:v>Test building 2</x:v>
      </x:c>
      <x:c r="D43" s="39" t="str">
        <x:f>'In_Monthly'!D43</x:f>
        <x:v>aggregate</x:v>
      </x:c>
      <x:c r="E43" s="39" t="str">
        <x:f>'In_Monthly'!E43</x:f>
        <x:v>2023-06</x:v>
      </x:c>
      <x:c r="F43" s="65" t="n">
        <x:f>'In_Monthly'!F43</x:f>
        <x:v>30</x:v>
      </x:c>
      <x:c r="G43" s="65" t="n">
        <x:f>F43*24</x:f>
        <x:v>720</x:v>
      </x:c>
      <x:c r="H43" s="65" t="n">
        <x:f>'In_Monthly'!G43</x:f>
        <x:v>20.758194444444445</x:v>
      </x:c>
      <x:c r="I43" s="65" t="n">
        <x:f>'In_Monthly'!K43</x:f>
        <x:v>0</x:v>
      </x:c>
      <x:c r="J43" s="65" t="n">
        <x:f>'In_Monthly'!L43</x:f>
        <x:v>1</x:v>
      </x:c>
      <x:c r="K43" s="65" t="n">
        <x:f>'In_Monthly'!J43*G43/1000</x:f>
        <x:v>15540.176308022901</x:v>
      </x:c>
      <x:c r="L43" s="65" t="n">
        <x:f>'Calc_Case'!E5+'Calc_Case'!F5+'Calc_Case'!G5</x:f>
        <x:v>2470.3264099496996</x:v>
      </x:c>
      <x:c r="M43" s="65" t="n">
        <x:f>'Calc_Case'!H5</x:f>
        <x:v>1027.4795916943362</x:v>
      </x:c>
      <x:c r="N43" s="65" t="n">
        <x:f>(L43*('In_Cases'!O5-H43)+M43*('In_Cases'!O5-'In_Cases'!U5))*G43*I43/1000</x:f>
        <x:v>0</x:v>
      </x:c>
      <x:c r="O43" s="65" t="str">
        <x:f>IF(N43&lt;=0,"",K43/N43)</x:f>
      </x:c>
      <x:c r="P43" s="65" t="n">
        <x:f>IF(N43&lt;=0,0,IF(ABS(O43-1)&lt;1E-9,'Calc_Case'!N5/('Calc_Case'!N5+1),(1-POWER(O43,'Calc_Case'!N5))/(1-POWER(O43,'Calc_Case'!N5+1))))</x:f>
        <x:v>0</x:v>
      </x:c>
      <x:c r="Q43" s="65" t="n">
        <x:f>IF(N43&lt;=0,0,MAX(0,N43-P43*K43))</x:f>
        <x:v>0</x:v>
      </x:c>
      <x:c r="R43" s="65" t="n">
        <x:f>IF(J43&lt;=0,0,MAX(1E-12,(L43*('In_Cases'!P5-H43)+M43*('In_Cases'!P5-'In_Cases'!V5))*G43*J43/1000))</x:f>
        <x:v>11542.614821850926</x:v>
      </x:c>
      <x:c r="S43" s="65" t="n">
        <x:f>IF(J43&lt;=0,"",K43/R43)</x:f>
        <x:v>1.3463306666531338</x:v>
      </x:c>
      <x:c r="T43" s="65" t="n">
        <x:f>IF(J43&lt;=0,0,IF(ABS(S43-1)&lt;1E-9,'Calc_Case'!N5/('Calc_Case'!N5+1),(1-POWER(S43,-'Calc_Case'!N5))/(1-POWER(S43,-'Calc_Case'!N5-1))))</x:f>
        <x:v>0.8141318007087716</x:v>
      </x:c>
      <x:c r="U43" s="65" t="n">
        <x:f>IF(J43&lt;=0,0,'In_Cases'!Q5*MAX(0,K43-T43*R43))</x:f>
        <x:v>6142.96651822165</x:v>
      </x:c>
      <x:c r="V43" s="65" t="n">
        <x:f>MAX(0,1-I43-J43)</x:f>
        <x:v>0</x:v>
      </x:c>
      <x:c r="W43" s="65" t="n">
        <x:f>'In_Cases'!T5*(H43+'In_Cases'!S5*('In_Cases'!O5-H43))+(1-'In_Cases'!T5)*'In_Cases'!O5</x:f>
        <x:v>20.703277777777778</x:v>
      </x:c>
      <x:c r="X43" s="65" t="n">
        <x:f>'In_Cases'!T5*(H43+'In_Cases'!S5*('In_Cases'!P5-H43))+(1-'In_Cases'!T5)*'In_Cases'!P5</x:f>
        <x:v>23.903277777777777</x:v>
      </x:c>
      <x:c r="Y43" s="65" t="n">
        <x:f>'In_Cases'!T5*(H43+'In_Cases'!S5*((('In_Cases'!O5+'In_Cases'!P5)/2)-H43))+(1-'In_Cases'!T5)*(('In_Cases'!O5+'In_Cases'!P5)/2)</x:f>
        <x:v>22.30327777777778</x:v>
      </x:c>
      <x:c r="Z43" s="65" t="n">
        <x:f>'In_Cases'!R5*M43*('In_Cases'!U5-W43)*G43*I43/1000</x:f>
        <x:v>0</x:v>
      </x:c>
      <x:c r="AA43" s="65" t="n">
        <x:f>'In_Cases'!R5*M43*('In_Cases'!V5-X43)*G43*J43/1000</x:f>
        <x:v>-668.2316272543283</x:v>
      </x:c>
      <x:c r="AB43" s="65" t="n">
        <x:f>'In_Cases'!R5*M43*('In_Cases'!V5-Y43)*G43*V43/1000</x:f>
        <x:v>0</x:v>
      </x:c>
      <x:c r="AC43" s="65" t="n">
        <x:f>MAX(0,Z43)+MAX(0,AA43)+MAX(0,AB43)</x:f>
        <x:v>0</x:v>
      </x:c>
      <x:c r="AD43" s="65" t="n">
        <x:f>MAX(0,-Z43)+MAX(0,-AA43)+MAX(0,-AB43)</x:f>
        <x:v>668.2316272543283</x:v>
      </x:c>
      <x:c r="AE43" s="65" t="n">
        <x:f>Q43+AC43</x:f>
        <x:v>0</x:v>
      </x:c>
      <x:c r="AF43" s="65" t="n">
        <x:f>U43+AD43</x:f>
        <x:v>6811.198145475979</x:v>
      </x:c>
    </x:row>
    <x:row r="44">
      <x:c r="A44" s="39" t="str">
        <x:f>'In_Monthly'!A44</x:f>
        <x:v>18|aggregate</x:v>
      </x:c>
      <x:c r="B44" s="39" t="str">
        <x:f>'In_Monthly'!B44</x:f>
        <x:v>18</x:v>
      </x:c>
      <x:c r="C44" s="39" t="str">
        <x:f>'In_Monthly'!C44</x:f>
        <x:v>Test building 2</x:v>
      </x:c>
      <x:c r="D44" s="39" t="str">
        <x:f>'In_Monthly'!D44</x:f>
        <x:v>aggregate</x:v>
      </x:c>
      <x:c r="E44" s="39" t="str">
        <x:f>'In_Monthly'!E44</x:f>
        <x:v>2023-07</x:v>
      </x:c>
      <x:c r="F44" s="65" t="n">
        <x:f>'In_Monthly'!F44</x:f>
        <x:v>31</x:v>
      </x:c>
      <x:c r="G44" s="65" t="n">
        <x:f>F44*24</x:f>
        <x:v>744</x:v>
      </x:c>
      <x:c r="H44" s="65" t="n">
        <x:f>'In_Monthly'!G44</x:f>
        <x:v>23.824193548387097</x:v>
      </x:c>
      <x:c r="I44" s="65" t="n">
        <x:f>'In_Monthly'!K44</x:f>
        <x:v>0</x:v>
      </x:c>
      <x:c r="J44" s="65" t="n">
        <x:f>'In_Monthly'!L44</x:f>
        <x:v>1</x:v>
      </x:c>
      <x:c r="K44" s="65" t="n">
        <x:f>'In_Monthly'!J44*G44/1000</x:f>
        <x:v>16498.279930319295</x:v>
      </x:c>
      <x:c r="L44" s="65" t="n">
        <x:f>'Calc_Case'!E5+'Calc_Case'!F5+'Calc_Case'!G5</x:f>
        <x:v>2470.3264099496996</x:v>
      </x:c>
      <x:c r="M44" s="65" t="n">
        <x:f>'Calc_Case'!H5</x:f>
        <x:v>1027.4795916943362</x:v>
      </x:c>
      <x:c r="N44" s="65" t="n">
        <x:f>(L44*('In_Cases'!O5-H44)+M44*('In_Cases'!O5-'In_Cases'!U5))*G44*I44/1000</x:f>
        <x:v>0</x:v>
      </x:c>
      <x:c r="O44" s="65" t="str">
        <x:f>IF(N44&lt;=0,"",K44/N44)</x:f>
      </x:c>
      <x:c r="P44" s="65" t="n">
        <x:f>IF(N44&lt;=0,0,IF(ABS(O44-1)&lt;1E-9,'Calc_Case'!N5/('Calc_Case'!N5+1),(1-POWER(O44,'Calc_Case'!N5))/(1-POWER(O44,'Calc_Case'!N5+1))))</x:f>
        <x:v>0</x:v>
      </x:c>
      <x:c r="Q44" s="65" t="n">
        <x:f>IF(N44&lt;=0,0,MAX(0,N44-P44*K44))</x:f>
        <x:v>0</x:v>
      </x:c>
      <x:c r="R44" s="65" t="n">
        <x:f>IF(J44&lt;=0,0,MAX(1E-12,(L44*('In_Cases'!P5-H44)+M44*('In_Cases'!P5-'In_Cases'!V5))*G44*J44/1000))</x:f>
        <x:v>6292.298841088333</x:v>
      </x:c>
      <x:c r="S44" s="65" t="n">
        <x:f>IF(J44&lt;=0,"",K44/R44)</x:f>
        <x:v>2.6219797163139362</x:v>
      </x:c>
      <x:c r="T44" s="65" t="n">
        <x:f>IF(J44&lt;=0,0,IF(ABS(S44-1)&lt;1E-9,'Calc_Case'!N5/('Calc_Case'!N5+1),(1-POWER(S44,-'Calc_Case'!N5))/(1-POWER(S44,-'Calc_Case'!N5-1))))</x:f>
        <x:v>0.9445686008785605</x:v>
      </x:c>
      <x:c r="U44" s="65" t="n">
        <x:f>IF(J44&lt;=0,0,'In_Cases'!Q5*MAX(0,K44-T44*R44))</x:f>
        <x:v>10554.7720176827</x:v>
      </x:c>
      <x:c r="V44" s="65" t="n">
        <x:f>MAX(0,1-I44-J44)</x:f>
        <x:v>0</x:v>
      </x:c>
      <x:c r="W44" s="65" t="n">
        <x:f>'In_Cases'!T5*(H44+'In_Cases'!S5*('In_Cases'!O5-H44))+(1-'In_Cases'!T5)*'In_Cases'!O5</x:f>
        <x:v>21.92967741935484</x:v>
      </x:c>
      <x:c r="X44" s="65" t="n">
        <x:f>'In_Cases'!T5*(H44+'In_Cases'!S5*('In_Cases'!P5-H44))+(1-'In_Cases'!T5)*'In_Cases'!P5</x:f>
        <x:v>25.129677419354838</x:v>
      </x:c>
      <x:c r="Y44" s="65" t="n">
        <x:f>'In_Cases'!T5*(H44+'In_Cases'!S5*((('In_Cases'!O5+'In_Cases'!P5)/2)-H44))+(1-'In_Cases'!T5)*(('In_Cases'!O5+'In_Cases'!P5)/2)</x:f>
        <x:v>23.52967741935484</x:v>
      </x:c>
      <x:c r="Z44" s="65" t="n">
        <x:f>'In_Cases'!R5*M44*('In_Cases'!U5-W44)*G44*I44/1000</x:f>
        <x:v>0</x:v>
      </x:c>
      <x:c r="AA44" s="65" t="n">
        <x:f>'In_Cases'!R5*M44*('In_Cases'!V5-X44)*G44*J44/1000</x:f>
        <x:v>-1628.0208634478415</x:v>
      </x:c>
      <x:c r="AB44" s="65" t="n">
        <x:f>'In_Cases'!R5*M44*('In_Cases'!V5-Y44)*G44*V44/1000</x:f>
        <x:v>0</x:v>
      </x:c>
      <x:c r="AC44" s="65" t="n">
        <x:f>MAX(0,Z44)+MAX(0,AA44)+MAX(0,AB44)</x:f>
        <x:v>0</x:v>
      </x:c>
      <x:c r="AD44" s="65" t="n">
        <x:f>MAX(0,-Z44)+MAX(0,-AA44)+MAX(0,-AB44)</x:f>
        <x:v>1628.0208634478415</x:v>
      </x:c>
      <x:c r="AE44" s="65" t="n">
        <x:f>Q44+AC44</x:f>
        <x:v>0</x:v>
      </x:c>
      <x:c r="AF44" s="65" t="n">
        <x:f>U44+AD44</x:f>
        <x:v>12182.792881130543</x:v>
      </x:c>
    </x:row>
    <x:row r="45">
      <x:c r="A45" s="39" t="str">
        <x:f>'In_Monthly'!A45</x:f>
        <x:v>18|aggregate</x:v>
      </x:c>
      <x:c r="B45" s="39" t="str">
        <x:f>'In_Monthly'!B45</x:f>
        <x:v>18</x:v>
      </x:c>
      <x:c r="C45" s="39" t="str">
        <x:f>'In_Monthly'!C45</x:f>
        <x:v>Test building 2</x:v>
      </x:c>
      <x:c r="D45" s="39" t="str">
        <x:f>'In_Monthly'!D45</x:f>
        <x:v>aggregate</x:v>
      </x:c>
      <x:c r="E45" s="39" t="str">
        <x:f>'In_Monthly'!E45</x:f>
        <x:v>2023-08</x:v>
      </x:c>
      <x:c r="F45" s="65" t="n">
        <x:f>'In_Monthly'!F45</x:f>
        <x:v>31</x:v>
      </x:c>
      <x:c r="G45" s="65" t="n">
        <x:f>F45*24</x:f>
        <x:v>744</x:v>
      </x:c>
      <x:c r="H45" s="65" t="n">
        <x:f>'In_Monthly'!G45</x:f>
        <x:v>22.74717741935484</x:v>
      </x:c>
      <x:c r="I45" s="65" t="n">
        <x:f>'In_Monthly'!K45</x:f>
        <x:v>0</x:v>
      </x:c>
      <x:c r="J45" s="65" t="n">
        <x:f>'In_Monthly'!L45</x:f>
        <x:v>1</x:v>
      </x:c>
      <x:c r="K45" s="65" t="n">
        <x:f>'In_Monthly'!J45*G45/1000</x:f>
        <x:v>15499.26478361522</x:v>
      </x:c>
      <x:c r="L45" s="65" t="n">
        <x:f>'Calc_Case'!E5+'Calc_Case'!F5+'Calc_Case'!G5</x:f>
        <x:v>2470.3264099496996</x:v>
      </x:c>
      <x:c r="M45" s="65" t="n">
        <x:f>'Calc_Case'!H5</x:f>
        <x:v>1027.4795916943362</x:v>
      </x:c>
      <x:c r="N45" s="65" t="n">
        <x:f>(L45*('In_Cases'!O5-H45)+M45*('In_Cases'!O5-'In_Cases'!U5))*G45*I45/1000</x:f>
        <x:v>0</x:v>
      </x:c>
      <x:c r="O45" s="65" t="str">
        <x:f>IF(N45&lt;=0,"",K45/N45)</x:f>
      </x:c>
      <x:c r="P45" s="65" t="n">
        <x:f>IF(N45&lt;=0,0,IF(ABS(O45-1)&lt;1E-9,'Calc_Case'!N5/('Calc_Case'!N5+1),(1-POWER(O45,'Calc_Case'!N5))/(1-POWER(O45,'Calc_Case'!N5+1))))</x:f>
        <x:v>0</x:v>
      </x:c>
      <x:c r="Q45" s="65" t="n">
        <x:f>IF(N45&lt;=0,0,MAX(0,N45-P45*K45))</x:f>
        <x:v>0</x:v>
      </x:c>
      <x:c r="R45" s="65" t="n">
        <x:f>IF(J45&lt;=0,0,MAX(1E-12,(L45*('In_Cases'!P5-H45)+M45*('In_Cases'!P5-'In_Cases'!V5))*G45*J45/1000))</x:f>
        <x:v>8271.771393381023</x:v>
      </x:c>
      <x:c r="S45" s="65" t="n">
        <x:f>IF(J45&lt;=0,"",K45/R45)</x:f>
        <x:v>1.8737540058248654</x:v>
      </x:c>
      <x:c r="T45" s="65" t="n">
        <x:f>IF(J45&lt;=0,0,IF(ABS(S45-1)&lt;1E-9,'Calc_Case'!N5/('Calc_Case'!N5+1),(1-POWER(S45,-'Calc_Case'!N5))/(1-POWER(S45,-'Calc_Case'!N5-1))))</x:f>
        <x:v>0.8936979523910428</x:v>
      </x:c>
      <x:c r="U45" s="65" t="n">
        <x:f>IF(J45&lt;=0,0,'In_Cases'!Q5*MAX(0,K45-T45*R45))</x:f>
        <x:v>8106.799626703796</x:v>
      </x:c>
      <x:c r="V45" s="65" t="n">
        <x:f>MAX(0,1-I45-J45)</x:f>
        <x:v>0</x:v>
      </x:c>
      <x:c r="W45" s="65" t="n">
        <x:f>'In_Cases'!T5*(H45+'In_Cases'!S5*('In_Cases'!O5-H45))+(1-'In_Cases'!T5)*'In_Cases'!O5</x:f>
        <x:v>21.498870967741937</x:v>
      </x:c>
      <x:c r="X45" s="65" t="n">
        <x:f>'In_Cases'!T5*(H45+'In_Cases'!S5*('In_Cases'!P5-H45))+(1-'In_Cases'!T5)*'In_Cases'!P5</x:f>
        <x:v>24.698870967741936</x:v>
      </x:c>
      <x:c r="Y45" s="65" t="n">
        <x:f>'In_Cases'!T5*(H45+'In_Cases'!S5*((('In_Cases'!O5+'In_Cases'!P5)/2)-H45))+(1-'In_Cases'!T5)*(('In_Cases'!O5+'In_Cases'!P5)/2)</x:f>
        <x:v>23.098870967741938</x:v>
      </x:c>
      <x:c r="Z45" s="65" t="n">
        <x:f>'In_Cases'!R5*M45*('In_Cases'!U5-W45)*G45*I45/1000</x:f>
        <x:v>0</x:v>
      </x:c>
      <x:c r="AA45" s="65" t="n">
        <x:f>'In_Cases'!R5*M45*('In_Cases'!V5-X45)*G45*J45/1000</x:f>
        <x:v>-1298.6931047179735</x:v>
      </x:c>
      <x:c r="AB45" s="65" t="n">
        <x:f>'In_Cases'!R5*M45*('In_Cases'!V5-Y45)*G45*V45/1000</x:f>
        <x:v>0</x:v>
      </x:c>
      <x:c r="AC45" s="65" t="n">
        <x:f>MAX(0,Z45)+MAX(0,AA45)+MAX(0,AB45)</x:f>
        <x:v>0</x:v>
      </x:c>
      <x:c r="AD45" s="65" t="n">
        <x:f>MAX(0,-Z45)+MAX(0,-AA45)+MAX(0,-AB45)</x:f>
        <x:v>1298.6931047179735</x:v>
      </x:c>
      <x:c r="AE45" s="65" t="n">
        <x:f>Q45+AC45</x:f>
        <x:v>0</x:v>
      </x:c>
      <x:c r="AF45" s="65" t="n">
        <x:f>U45+AD45</x:f>
        <x:v>9405.49273142177</x:v>
      </x:c>
    </x:row>
    <x:row r="46">
      <x:c r="A46" s="39" t="str">
        <x:f>'In_Monthly'!A46</x:f>
        <x:v>18|aggregate</x:v>
      </x:c>
      <x:c r="B46" s="39" t="str">
        <x:f>'In_Monthly'!B46</x:f>
        <x:v>18</x:v>
      </x:c>
      <x:c r="C46" s="39" t="str">
        <x:f>'In_Monthly'!C46</x:f>
        <x:v>Test building 2</x:v>
      </x:c>
      <x:c r="D46" s="39" t="str">
        <x:f>'In_Monthly'!D46</x:f>
        <x:v>aggregate</x:v>
      </x:c>
      <x:c r="E46" s="39" t="str">
        <x:f>'In_Monthly'!E46</x:f>
        <x:v>2023-09</x:v>
      </x:c>
      <x:c r="F46" s="65" t="n">
        <x:f>'In_Monthly'!F46</x:f>
        <x:v>30</x:v>
      </x:c>
      <x:c r="G46" s="65" t="n">
        <x:f>F46*24</x:f>
        <x:v>720</x:v>
      </x:c>
      <x:c r="H46" s="65" t="n">
        <x:f>'In_Monthly'!G46</x:f>
        <x:v>19.61638888888889</x:v>
      </x:c>
      <x:c r="I46" s="65" t="n">
        <x:f>'In_Monthly'!K46</x:f>
        <x:v>0</x:v>
      </x:c>
      <x:c r="J46" s="65" t="n">
        <x:f>'In_Monthly'!L46</x:f>
        <x:v>1</x:v>
      </x:c>
      <x:c r="K46" s="65" t="n">
        <x:f>'In_Monthly'!J46*G46/1000</x:f>
        <x:v>13346.318280181467</x:v>
      </x:c>
      <x:c r="L46" s="65" t="n">
        <x:f>'Calc_Case'!E5+'Calc_Case'!F5+'Calc_Case'!G5</x:f>
        <x:v>2470.3264099496996</x:v>
      </x:c>
      <x:c r="M46" s="65" t="n">
        <x:f>'Calc_Case'!H5</x:f>
        <x:v>1027.4795916943362</x:v>
      </x:c>
      <x:c r="N46" s="65" t="n">
        <x:f>(L46*('In_Cases'!O5-H46)+M46*('In_Cases'!O5-'In_Cases'!U5))*G46*I46/1000</x:f>
        <x:v>0</x:v>
      </x:c>
      <x:c r="O46" s="65" t="str">
        <x:f>IF(N46&lt;=0,"",K46/N46)</x:f>
      </x:c>
      <x:c r="P46" s="65" t="n">
        <x:f>IF(N46&lt;=0,0,IF(ABS(O46-1)&lt;1E-9,'Calc_Case'!N5/('Calc_Case'!N5+1),(1-POWER(O46,'Calc_Case'!N5))/(1-POWER(O46,'Calc_Case'!N5+1))))</x:f>
        <x:v>0</x:v>
      </x:c>
      <x:c r="Q46" s="65" t="n">
        <x:f>IF(N46&lt;=0,0,MAX(0,N46-P46*K46))</x:f>
        <x:v>0</x:v>
      </x:c>
      <x:c r="R46" s="65" t="n">
        <x:f>IF(J46&lt;=0,0,MAX(1E-12,(L46*('In_Cases'!P5-H46)+M46*('In_Cases'!P5-'In_Cases'!V5))*G46*J46/1000))</x:f>
        <x:v>13573.470163470578</x:v>
      </x:c>
      <x:c r="S46" s="65" t="n">
        <x:f>IF(J46&lt;=0,"",K46/R46)</x:f>
        <x:v>0.9832650103066178</x:v>
      </x:c>
      <x:c r="T46" s="65" t="n">
        <x:f>IF(J46&lt;=0,0,IF(ABS(S46-1)&lt;1E-9,'Calc_Case'!N5/('Calc_Case'!N5+1),(1-POWER(S46,-'Calc_Case'!N5))/(1-POWER(S46,-'Calc_Case'!N5-1))))</x:f>
        <x:v>0.7112324376455258</x:v>
      </x:c>
      <x:c r="U46" s="65" t="n">
        <x:f>IF(J46&lt;=0,0,'In_Cases'!Q5*MAX(0,K46-T46*R46))</x:f>
        <x:v>3692.4260085074748</x:v>
      </x:c>
      <x:c r="V46" s="65" t="n">
        <x:f>MAX(0,1-I46-J46)</x:f>
        <x:v>0</x:v>
      </x:c>
      <x:c r="W46" s="65" t="n">
        <x:f>'In_Cases'!T5*(H46+'In_Cases'!S5*('In_Cases'!O5-H46))+(1-'In_Cases'!T5)*'In_Cases'!O5</x:f>
        <x:v>20.246555555555556</x:v>
      </x:c>
      <x:c r="X46" s="65" t="n">
        <x:f>'In_Cases'!T5*(H46+'In_Cases'!S5*('In_Cases'!P5-H46))+(1-'In_Cases'!T5)*'In_Cases'!P5</x:f>
        <x:v>23.446555555555555</x:v>
      </x:c>
      <x:c r="Y46" s="65" t="n">
        <x:f>'In_Cases'!T5*(H46+'In_Cases'!S5*((('In_Cases'!O5+'In_Cases'!P5)/2)-H46))+(1-'In_Cases'!T5)*(('In_Cases'!O5+'In_Cases'!P5)/2)</x:f>
        <x:v>21.846555555555558</x:v>
      </x:c>
      <x:c r="Z46" s="65" t="n">
        <x:f>'In_Cases'!R5*M46*('In_Cases'!U5-W46)*G46*I46/1000</x:f>
        <x:v>0</x:v>
      </x:c>
      <x:c r="AA46" s="65" t="n">
        <x:f>'In_Cases'!R5*M46*('In_Cases'!V5-X46)*G46*J46/1000</x:f>
        <x:v>-330.3552383215628</x:v>
      </x:c>
      <x:c r="AB46" s="65" t="n">
        <x:f>'In_Cases'!R5*M46*('In_Cases'!V5-Y46)*G46*V46/1000</x:f>
        <x:v>0</x:v>
      </x:c>
      <x:c r="AC46" s="65" t="n">
        <x:f>MAX(0,Z46)+MAX(0,AA46)+MAX(0,AB46)</x:f>
        <x:v>0</x:v>
      </x:c>
      <x:c r="AD46" s="65" t="n">
        <x:f>MAX(0,-Z46)+MAX(0,-AA46)+MAX(0,-AB46)</x:f>
        <x:v>330.3552383215628</x:v>
      </x:c>
      <x:c r="AE46" s="65" t="n">
        <x:f>Q46+AC46</x:f>
        <x:v>0</x:v>
      </x:c>
      <x:c r="AF46" s="65" t="n">
        <x:f>U46+AD46</x:f>
        <x:v>4022.7812468290376</x:v>
      </x:c>
    </x:row>
    <x:row r="47">
      <x:c r="A47" s="39" t="str">
        <x:f>'In_Monthly'!A47</x:f>
        <x:v>18|aggregate</x:v>
      </x:c>
      <x:c r="B47" s="39" t="str">
        <x:f>'In_Monthly'!B47</x:f>
        <x:v>18</x:v>
      </x:c>
      <x:c r="C47" s="39" t="str">
        <x:f>'In_Monthly'!C47</x:f>
        <x:v>Test building 2</x:v>
      </x:c>
      <x:c r="D47" s="39" t="str">
        <x:f>'In_Monthly'!D47</x:f>
        <x:v>aggregate</x:v>
      </x:c>
      <x:c r="E47" s="39" t="str">
        <x:f>'In_Monthly'!E47</x:f>
        <x:v>2023-10</x:v>
      </x:c>
      <x:c r="F47" s="65" t="n">
        <x:f>'In_Monthly'!F47</x:f>
        <x:v>31</x:v>
      </x:c>
      <x:c r="G47" s="65" t="n">
        <x:f>F47*24</x:f>
        <x:v>744</x:v>
      </x:c>
      <x:c r="H47" s="65" t="n">
        <x:f>'In_Monthly'!G47</x:f>
        <x:v>13.926209677419354</x:v>
      </x:c>
      <x:c r="I47" s="65" t="n">
        <x:f>'In_Monthly'!K47</x:f>
        <x:v>0.5483870967741935</x:v>
      </x:c>
      <x:c r="J47" s="65" t="n">
        <x:f>'In_Monthly'!L47</x:f>
        <x:v>0</x:v>
      </x:c>
      <x:c r="K47" s="65" t="n">
        <x:f>'In_Monthly'!J47*G47/1000</x:f>
        <x:v>11431.09766912202</x:v>
      </x:c>
      <x:c r="L47" s="65" t="n">
        <x:f>'Calc_Case'!E5+'Calc_Case'!F5+'Calc_Case'!G5</x:f>
        <x:v>2470.3264099496996</x:v>
      </x:c>
      <x:c r="M47" s="65" t="n">
        <x:f>'Calc_Case'!H5</x:f>
        <x:v>1027.4795916943362</x:v>
      </x:c>
      <x:c r="N47" s="65" t="n">
        <x:f>(L47*('In_Cases'!O5-H47)+M47*('In_Cases'!O5-'In_Cases'!U5))*G47*I47/1000</x:f>
        <x:v>6234.711699710693</x:v>
      </x:c>
      <x:c r="O47" s="65" t="n">
        <x:f>IF(N47&lt;=0,"",K47/N47)</x:f>
        <x:v>1.833460506225565</x:v>
      </x:c>
      <x:c r="P47" s="65" t="n">
        <x:f>IF(N47&lt;=0,0,IF(ABS(O47-1)&lt;1E-9,'Calc_Case'!N5/('Calc_Case'!N5+1),(1-POWER(O47,'Calc_Case'!N5))/(1-POWER(O47,'Calc_Case'!N5+1))))</x:f>
        <x:v>0.48510422452135793</x:v>
      </x:c>
      <x:c r="Q47" s="65" t="n">
        <x:f>IF(N47&lt;=0,0,MAX(0,N47-P47*K47))</x:f>
        <x:v>689.4379295033532</x:v>
      </x:c>
      <x:c r="R47" s="65" t="n">
        <x:f>IF(J47&lt;=0,0,MAX(1E-12,(L47*('In_Cases'!P5-H47)+M47*('In_Cases'!P5-'In_Cases'!V5))*G47*J47/1000))</x:f>
        <x:v>0</x:v>
      </x:c>
      <x:c r="S47" s="65" t="str">
        <x:f>IF(J47&lt;=0,"",K47/R47)</x:f>
      </x:c>
      <x:c r="T47" s="65" t="n">
        <x:f>IF(J47&lt;=0,0,IF(ABS(S47-1)&lt;1E-9,'Calc_Case'!N5/('Calc_Case'!N5+1),(1-POWER(S47,-'Calc_Case'!N5))/(1-POWER(S47,-'Calc_Case'!N5-1))))</x:f>
        <x:v>0</x:v>
      </x:c>
      <x:c r="U47" s="65" t="n">
        <x:f>IF(J47&lt;=0,0,'In_Cases'!Q5*MAX(0,K47-T47*R47))</x:f>
        <x:v>0</x:v>
      </x:c>
      <x:c r="V47" s="65" t="n">
        <x:f>MAX(0,1-I47-J47)</x:f>
        <x:v>0.4516129032258065</x:v>
      </x:c>
      <x:c r="W47" s="65" t="n">
        <x:f>'In_Cases'!T5*(H47+'In_Cases'!S5*('In_Cases'!O5-H47))+(1-'In_Cases'!T5)*'In_Cases'!O5</x:f>
        <x:v>17.97048387096774</x:v>
      </x:c>
      <x:c r="X47" s="65" t="n">
        <x:f>'In_Cases'!T5*(H47+'In_Cases'!S5*('In_Cases'!P5-H47))+(1-'In_Cases'!T5)*'In_Cases'!P5</x:f>
        <x:v>21.170483870967743</x:v>
      </x:c>
      <x:c r="Y47" s="65" t="n">
        <x:f>'In_Cases'!T5*(H47+'In_Cases'!S5*((('In_Cases'!O5+'In_Cases'!P5)/2)-H47))+(1-'In_Cases'!T5)*(('In_Cases'!O5+'In_Cases'!P5)/2)</x:f>
        <x:v>19.570483870967742</x:v>
      </x:c>
      <x:c r="Z47" s="65" t="n">
        <x:f>'In_Cases'!R5*M47*('In_Cases'!U5-W47)*G47*I47/1000</x:f>
        <x:v>1689.220199489394</x:v>
      </x:c>
      <x:c r="AA47" s="65" t="n">
        <x:f>'In_Cases'!R5*M47*('In_Cases'!V5-X47)*G47*J47/1000</x:f>
        <x:v>0</x:v>
      </x:c>
      <x:c r="AB47" s="65" t="n">
        <x:f>'In_Cases'!R5*M47*('In_Cases'!V5-Y47)*G47*V47/1000</x:f>
        <x:v>1183.9826315409812</x:v>
      </x:c>
      <x:c r="AC47" s="65" t="n">
        <x:f>MAX(0,Z47)+MAX(0,AA47)+MAX(0,AB47)</x:f>
        <x:v>2873.202831030375</x:v>
      </x:c>
      <x:c r="AD47" s="65" t="n">
        <x:f>MAX(0,-Z47)+MAX(0,-AA47)+MAX(0,-AB47)</x:f>
        <x:v>0</x:v>
      </x:c>
      <x:c r="AE47" s="65" t="n">
        <x:f>Q47+AC47</x:f>
        <x:v>3562.640760533728</x:v>
      </x:c>
      <x:c r="AF47" s="65" t="n">
        <x:f>U47+AD47</x:f>
        <x:v>0</x:v>
      </x:c>
    </x:row>
    <x:row r="48">
      <x:c r="A48" s="39" t="str">
        <x:f>'In_Monthly'!A48</x:f>
        <x:v>18|aggregate</x:v>
      </x:c>
      <x:c r="B48" s="39" t="str">
        <x:f>'In_Monthly'!B48</x:f>
        <x:v>18</x:v>
      </x:c>
      <x:c r="C48" s="39" t="str">
        <x:f>'In_Monthly'!C48</x:f>
        <x:v>Test building 2</x:v>
      </x:c>
      <x:c r="D48" s="39" t="str">
        <x:f>'In_Monthly'!D48</x:f>
        <x:v>aggregate</x:v>
      </x:c>
      <x:c r="E48" s="39" t="str">
        <x:f>'In_Monthly'!E48</x:f>
        <x:v>2023-11</x:v>
      </x:c>
      <x:c r="F48" s="65" t="n">
        <x:f>'In_Monthly'!F48</x:f>
        <x:v>30</x:v>
      </x:c>
      <x:c r="G48" s="65" t="n">
        <x:f>F48*24</x:f>
        <x:v>720</x:v>
      </x:c>
      <x:c r="H48" s="65" t="n">
        <x:f>'In_Monthly'!G48</x:f>
        <x:v>8.68388888888889</x:v>
      </x:c>
      <x:c r="I48" s="65" t="n">
        <x:f>'In_Monthly'!K48</x:f>
        <x:v>1</x:v>
      </x:c>
      <x:c r="J48" s="65" t="n">
        <x:f>'In_Monthly'!L48</x:f>
        <x:v>0</x:v>
      </x:c>
      <x:c r="K48" s="65" t="n">
        <x:f>'In_Monthly'!J48*G48/1000</x:f>
        <x:v>8637.81658821421</x:v>
      </x:c>
      <x:c r="L48" s="65" t="n">
        <x:f>'Calc_Case'!E5+'Calc_Case'!F5+'Calc_Case'!G5</x:f>
        <x:v>2470.3264099496996</x:v>
      </x:c>
      <x:c r="M48" s="65" t="n">
        <x:f>'Calc_Case'!H5</x:f>
        <x:v>1027.4795916943362</x:v>
      </x:c>
      <x:c r="N48" s="65" t="n">
        <x:f>(L48*('In_Cases'!O5-H48)+M48*('In_Cases'!O5-'In_Cases'!U5))*G48*I48/1000</x:f>
        <x:v>20326.60772645547</x:v>
      </x:c>
      <x:c r="O48" s="65" t="n">
        <x:f>IF(N48&lt;=0,"",K48/N48)</x:f>
        <x:v>0.4249512119512163</x:v>
      </x:c>
      <x:c r="P48" s="65" t="n">
        <x:f>IF(N48&lt;=0,0,IF(ABS(O48-1)&lt;1E-9,'Calc_Case'!N5/('Calc_Case'!N5+1),(1-POWER(O48,'Calc_Case'!N5))/(1-POWER(O48,'Calc_Case'!N5+1))))</x:f>
        <x:v>0.9311034283172224</x:v>
      </x:c>
      <x:c r="Q48" s="65" t="n">
        <x:f>IF(N48&lt;=0,0,MAX(0,N48-P48*K48))</x:f>
        <x:v>12283.907087993846</x:v>
      </x:c>
      <x:c r="R48" s="65" t="n">
        <x:f>IF(J48&lt;=0,0,MAX(1E-12,(L48*('In_Cases'!P5-H48)+M48*('In_Cases'!P5-'In_Cases'!V5))*G48*J48/1000))</x:f>
        <x:v>0</x:v>
      </x:c>
      <x:c r="S48" s="65" t="str">
        <x:f>IF(J48&lt;=0,"",K48/R48)</x:f>
      </x:c>
      <x:c r="T48" s="65" t="n">
        <x:f>IF(J48&lt;=0,0,IF(ABS(S48-1)&lt;1E-9,'Calc_Case'!N5/('Calc_Case'!N5+1),(1-POWER(S48,-'Calc_Case'!N5))/(1-POWER(S48,-'Calc_Case'!N5-1))))</x:f>
        <x:v>0</x:v>
      </x:c>
      <x:c r="U48" s="65" t="n">
        <x:f>IF(J48&lt;=0,0,'In_Cases'!Q5*MAX(0,K48-T48*R48))</x:f>
        <x:v>0</x:v>
      </x:c>
      <x:c r="V48" s="65" t="n">
        <x:f>MAX(0,1-I48-J48)</x:f>
        <x:v>0</x:v>
      </x:c>
      <x:c r="W48" s="65" t="n">
        <x:f>'In_Cases'!T5*(H48+'In_Cases'!S5*('In_Cases'!O5-H48))+(1-'In_Cases'!T5)*'In_Cases'!O5</x:f>
        <x:v>15.873555555555555</x:v>
      </x:c>
      <x:c r="X48" s="65" t="n">
        <x:f>'In_Cases'!T5*(H48+'In_Cases'!S5*('In_Cases'!P5-H48))+(1-'In_Cases'!T5)*'In_Cases'!P5</x:f>
        <x:v>19.073555555555558</x:v>
      </x:c>
      <x:c r="Y48" s="65" t="n">
        <x:f>'In_Cases'!T5*(H48+'In_Cases'!S5*((('In_Cases'!O5+'In_Cases'!P5)/2)-H48))+(1-'In_Cases'!T5)*(('In_Cases'!O5+'In_Cases'!P5)/2)</x:f>
        <x:v>17.473555555555556</x:v>
      </x:c>
      <x:c r="Z48" s="65" t="n">
        <x:f>'In_Cases'!R5*M48*('In_Cases'!U5-W48)*G48*I48/1000</x:f>
        <x:v>4532.253578147385</x:v>
      </x:c>
      <x:c r="AA48" s="65" t="n">
        <x:f>'In_Cases'!R5*M48*('In_Cases'!V5-X48)*G48*J48/1000</x:f>
        <x:v>0</x:v>
      </x:c>
      <x:c r="AB48" s="65" t="n">
        <x:f>'In_Cases'!R5*M48*('In_Cases'!V5-Y48)*G48*V48/1000</x:f>
        <x:v>0</x:v>
      </x:c>
      <x:c r="AC48" s="65" t="n">
        <x:f>MAX(0,Z48)+MAX(0,AA48)+MAX(0,AB48)</x:f>
        <x:v>4532.253578147385</x:v>
      </x:c>
      <x:c r="AD48" s="65" t="n">
        <x:f>MAX(0,-Z48)+MAX(0,-AA48)+MAX(0,-AB48)</x:f>
        <x:v>0</x:v>
      </x:c>
      <x:c r="AE48" s="65" t="n">
        <x:f>Q48+AC48</x:f>
        <x:v>16816.16066614123</x:v>
      </x:c>
      <x:c r="AF48" s="65" t="n">
        <x:f>U48+AD48</x:f>
        <x:v>0</x:v>
      </x:c>
    </x:row>
    <x:row r="49">
      <x:c r="A49" s="39" t="str">
        <x:f>'In_Monthly'!A49</x:f>
        <x:v>18|aggregate</x:v>
      </x:c>
      <x:c r="B49" s="39" t="str">
        <x:f>'In_Monthly'!B49</x:f>
        <x:v>18</x:v>
      </x:c>
      <x:c r="C49" s="39" t="str">
        <x:f>'In_Monthly'!C49</x:f>
        <x:v>Test building 2</x:v>
      </x:c>
      <x:c r="D49" s="39" t="str">
        <x:f>'In_Monthly'!D49</x:f>
        <x:v>aggregate</x:v>
      </x:c>
      <x:c r="E49" s="39" t="str">
        <x:f>'In_Monthly'!E49</x:f>
        <x:v>2023-12</x:v>
      </x:c>
      <x:c r="F49" s="65" t="n">
        <x:f>'In_Monthly'!F49</x:f>
        <x:v>31</x:v>
      </x:c>
      <x:c r="G49" s="65" t="n">
        <x:f>F49*24</x:f>
        <x:v>744</x:v>
      </x:c>
      <x:c r="H49" s="65" t="n">
        <x:f>'In_Monthly'!G49</x:f>
        <x:v>3.9963709677419357</x:v>
      </x:c>
      <x:c r="I49" s="65" t="n">
        <x:f>'In_Monthly'!K49</x:f>
        <x:v>1</x:v>
      </x:c>
      <x:c r="J49" s="65" t="n">
        <x:f>'In_Monthly'!L49</x:f>
        <x:v>0</x:v>
      </x:c>
      <x:c r="K49" s="65" t="n">
        <x:f>'In_Monthly'!J49*G49/1000</x:f>
        <x:v>8521.555576291388</x:v>
      </x:c>
      <x:c r="L49" s="65" t="n">
        <x:f>'Calc_Case'!E5+'Calc_Case'!F5+'Calc_Case'!G5</x:f>
        <x:v>2470.3264099496996</x:v>
      </x:c>
      <x:c r="M49" s="65" t="n">
        <x:f>'Calc_Case'!H5</x:f>
        <x:v>1027.4795916943362</x:v>
      </x:c>
      <x:c r="N49" s="65" t="n">
        <x:f>(L49*('In_Cases'!O5-H49)+M49*('In_Cases'!O5-'In_Cases'!U5))*G49*I49/1000</x:f>
        <x:v>29619.45760972236</x:v>
      </x:c>
      <x:c r="O49" s="65" t="n">
        <x:f>IF(N49&lt;=0,"",K49/N49)</x:f>
        <x:v>0.28770127017769065</x:v>
      </x:c>
      <x:c r="P49" s="65" t="n">
        <x:f>IF(N49&lt;=0,0,IF(ABS(O49-1)&lt;1E-9,'Calc_Case'!N5/('Calc_Case'!N5+1),(1-POWER(O49,'Calc_Case'!N5))/(1-POWER(O49,'Calc_Case'!N5+1))))</x:f>
        <x:v>0.9694454043444168</x:v>
      </x:c>
      <x:c r="Q49" s="65" t="n">
        <x:f>IF(N49&lt;=0,0,MAX(0,N49-P49*K49))</x:f>
        <x:v>21358.274718421137</x:v>
      </x:c>
      <x:c r="R49" s="65" t="n">
        <x:f>IF(J49&lt;=0,0,MAX(1E-12,(L49*('In_Cases'!P5-H49)+M49*('In_Cases'!P5-'In_Cases'!V5))*G49*J49/1000))</x:f>
        <x:v>0</x:v>
      </x:c>
      <x:c r="S49" s="65" t="str">
        <x:f>IF(J49&lt;=0,"",K49/R49)</x:f>
      </x:c>
      <x:c r="T49" s="65" t="n">
        <x:f>IF(J49&lt;=0,0,IF(ABS(S49-1)&lt;1E-9,'Calc_Case'!N5/('Calc_Case'!N5+1),(1-POWER(S49,-'Calc_Case'!N5))/(1-POWER(S49,-'Calc_Case'!N5-1))))</x:f>
        <x:v>0</x:v>
      </x:c>
      <x:c r="U49" s="65" t="n">
        <x:f>IF(J49&lt;=0,0,'In_Cases'!Q5*MAX(0,K49-T49*R49))</x:f>
        <x:v>0</x:v>
      </x:c>
      <x:c r="V49" s="65" t="n">
        <x:f>MAX(0,1-I49-J49)</x:f>
        <x:v>0</x:v>
      </x:c>
      <x:c r="W49" s="65" t="n">
        <x:f>'In_Cases'!T5*(H49+'In_Cases'!S5*('In_Cases'!O5-H49))+(1-'In_Cases'!T5)*'In_Cases'!O5</x:f>
        <x:v>13.998548387096774</x:v>
      </x:c>
      <x:c r="X49" s="65" t="n">
        <x:f>'In_Cases'!T5*(H49+'In_Cases'!S5*('In_Cases'!P5-H49))+(1-'In_Cases'!T5)*'In_Cases'!P5</x:f>
        <x:v>17.198548387096775</x:v>
      </x:c>
      <x:c r="Y49" s="65" t="n">
        <x:f>'In_Cases'!T5*(H49+'In_Cases'!S5*((('In_Cases'!O5+'In_Cases'!P5)/2)-H49))+(1-'In_Cases'!T5)*(('In_Cases'!O5+'In_Cases'!P5)/2)</x:f>
        <x:v>15.598548387096775</x:v>
      </x:c>
      <x:c r="Z49" s="65" t="n">
        <x:f>'In_Cases'!R5*M49*('In_Cases'!U5-W49)*G49*I49/1000</x:f>
        <x:v>6116.66820772372</x:v>
      </x:c>
      <x:c r="AA49" s="65" t="n">
        <x:f>'In_Cases'!R5*M49*('In_Cases'!V5-X49)*G49*J49/1000</x:f>
        <x:v>0</x:v>
      </x:c>
      <x:c r="AB49" s="65" t="n">
        <x:f>'In_Cases'!R5*M49*('In_Cases'!V5-Y49)*G49*V49/1000</x:f>
        <x:v>0</x:v>
      </x:c>
      <x:c r="AC49" s="65" t="n">
        <x:f>MAX(0,Z49)+MAX(0,AA49)+MAX(0,AB49)</x:f>
        <x:v>6116.66820772372</x:v>
      </x:c>
      <x:c r="AD49" s="65" t="n">
        <x:f>MAX(0,-Z49)+MAX(0,-AA49)+MAX(0,-AB49)</x:f>
        <x:v>0</x:v>
      </x:c>
      <x:c r="AE49" s="65" t="n">
        <x:f>Q49+AC49</x:f>
        <x:v>27474.942926144857</x:v>
      </x:c>
      <x:c r="AF49" s="65" t="n">
        <x:f>U49+AD49</x:f>
        <x:v>0</x:v>
      </x:c>
    </x:row>
    <x:row r="50">
      <x:c r="A50" s="39" t="str">
        <x:f>'In_Monthly'!A50</x:f>
        <x:v>18|lower</x:v>
      </x:c>
      <x:c r="B50" s="39" t="str">
        <x:f>'In_Monthly'!B50</x:f>
        <x:v>18</x:v>
      </x:c>
      <x:c r="C50" s="39" t="str">
        <x:f>'In_Monthly'!C50</x:f>
        <x:v>Test building 2</x:v>
      </x:c>
      <x:c r="D50" s="39" t="str">
        <x:f>'In_Monthly'!D50</x:f>
        <x:v>lower</x:v>
      </x:c>
      <x:c r="E50" s="39" t="str">
        <x:f>'In_Monthly'!E50</x:f>
        <x:v>2023-01</x:v>
      </x:c>
      <x:c r="F50" s="65" t="n">
        <x:f>'In_Monthly'!F50</x:f>
        <x:v>31</x:v>
      </x:c>
      <x:c r="G50" s="65" t="n">
        <x:f>F50*24</x:f>
        <x:v>744</x:v>
      </x:c>
      <x:c r="H50" s="65" t="n">
        <x:f>'In_Monthly'!G50</x:f>
        <x:v>2.638440860215054</x:v>
      </x:c>
      <x:c r="I50" s="65" t="n">
        <x:f>'In_Monthly'!K50</x:f>
        <x:v>1</x:v>
      </x:c>
      <x:c r="J50" s="65" t="n">
        <x:f>'In_Monthly'!L50</x:f>
        <x:v>0</x:v>
      </x:c>
      <x:c r="K50" s="65" t="n">
        <x:f>'In_Monthly'!J50*G50/1000</x:f>
        <x:v>7463.953678705302</x:v>
      </x:c>
      <x:c r="L50" s="65" t="n">
        <x:f>'Calc_Case'!E6+'Calc_Case'!F6+'Calc_Case'!G6</x:f>
        <x:v>903.4340683360252</x:v>
      </x:c>
      <x:c r="M50" s="65" t="n">
        <x:f>'Calc_Case'!H6</x:f>
        <x:v>1027.4795916943362</x:v>
      </x:c>
      <x:c r="N50" s="65" t="n">
        <x:f>(L50*('In_Cases'!O6-H50)+M50*('In_Cases'!O6-'In_Cases'!U6))*G50*I50/1000</x:f>
        <x:v>13013.967754380445</x:v>
      </x:c>
      <x:c r="O50" s="65" t="n">
        <x:f>IF(N50&lt;=0,"",K50/N50)</x:f>
        <x:v>0.5735340535320573</x:v>
      </x:c>
      <x:c r="P50" s="65" t="n">
        <x:f>IF(N50&lt;=0,0,IF(ABS(O50-1)&lt;1E-9,'Calc_Case'!N6/('Calc_Case'!N6+1),(1-POWER(O50,'Calc_Case'!N6))/(1-POWER(O50,'Calc_Case'!N6+1))))</x:f>
        <x:v>0.8410139449876652</x:v>
      </x:c>
      <x:c r="Q50" s="65" t="n">
        <x:f>IF(N50&lt;=0,0,MAX(0,N50-P50*K50))</x:f>
        <x:v>6736.678625847302</x:v>
      </x:c>
      <x:c r="R50" s="65" t="n">
        <x:f>IF(J50&lt;=0,0,MAX(1E-12,(L50*('In_Cases'!P6-H50)+M50*('In_Cases'!P6-'In_Cases'!V6))*G50*J50/1000))</x:f>
        <x:v>0</x:v>
      </x:c>
      <x:c r="S50" s="65" t="str">
        <x:f>IF(J50&lt;=0,"",K50/R50)</x:f>
      </x:c>
      <x:c r="T50" s="65" t="n">
        <x:f>IF(J50&lt;=0,0,IF(ABS(S50-1)&lt;1E-9,'Calc_Case'!N6/('Calc_Case'!N6+1),(1-POWER(S50,-'Calc_Case'!N6))/(1-POWER(S50,-'Calc_Case'!N6-1))))</x:f>
        <x:v>0</x:v>
      </x:c>
      <x:c r="U50" s="65" t="n">
        <x:f>IF(J50&lt;=0,0,'In_Cases'!Q6*MAX(0,K50-T50*R50))</x:f>
        <x:v>0</x:v>
      </x:c>
      <x:c r="V50" s="65" t="n">
        <x:f>MAX(0,1-I50-J50)</x:f>
        <x:v>0</x:v>
      </x:c>
      <x:c r="W50" s="65" t="n">
        <x:f>'In_Cases'!T6*(H50+'In_Cases'!S6*('In_Cases'!O6-H50))+(1-'In_Cases'!T6)*'In_Cases'!O6</x:f>
        <x:v>14.25537634408602</x:v>
      </x:c>
      <x:c r="X50" s="65" t="n">
        <x:f>'In_Cases'!T6*(H50+'In_Cases'!S6*('In_Cases'!P6-H50))+(1-'In_Cases'!T6)*'In_Cases'!P6</x:f>
        <x:v>16.655376344086022</x:v>
      </x:c>
      <x:c r="Y50" s="65" t="n">
        <x:f>'In_Cases'!T6*(H50+'In_Cases'!S6*((('In_Cases'!O6+'In_Cases'!P6)/2)-H50))+(1-'In_Cases'!T6)*(('In_Cases'!O6+'In_Cases'!P6)/2)</x:f>
        <x:v>15.45537634408602</x:v>
      </x:c>
      <x:c r="Z50" s="65" t="n">
        <x:f>'In_Cases'!R6*M50*('In_Cases'!U6-W50)*G50*I50/1000</x:f>
        <x:v>5920.337407342767</x:v>
      </x:c>
      <x:c r="AA50" s="65" t="n">
        <x:f>'In_Cases'!R6*M50*('In_Cases'!V6-X50)*G50*J50/1000</x:f>
        <x:v>0</x:v>
      </x:c>
      <x:c r="AB50" s="65" t="n">
        <x:f>'In_Cases'!R6*M50*('In_Cases'!V6-Y50)*G50*V50/1000</x:f>
        <x:v>0</x:v>
      </x:c>
      <x:c r="AC50" s="65" t="n">
        <x:f>MAX(0,Z50)+MAX(0,AA50)+MAX(0,AB50)</x:f>
        <x:v>5920.337407342767</x:v>
      </x:c>
      <x:c r="AD50" s="65" t="n">
        <x:f>MAX(0,-Z50)+MAX(0,-AA50)+MAX(0,-AB50)</x:f>
        <x:v>0</x:v>
      </x:c>
      <x:c r="AE50" s="65" t="n">
        <x:f>Q50+AC50</x:f>
        <x:v>12657.01603319007</x:v>
      </x:c>
      <x:c r="AF50" s="65" t="n">
        <x:f>U50+AD50</x:f>
        <x:v>0</x:v>
      </x:c>
    </x:row>
    <x:row r="51">
      <x:c r="A51" s="39" t="str">
        <x:f>'In_Monthly'!A51</x:f>
        <x:v>18|lower</x:v>
      </x:c>
      <x:c r="B51" s="39" t="str">
        <x:f>'In_Monthly'!B51</x:f>
        <x:v>18</x:v>
      </x:c>
      <x:c r="C51" s="39" t="str">
        <x:f>'In_Monthly'!C51</x:f>
        <x:v>Test building 2</x:v>
      </x:c>
      <x:c r="D51" s="39" t="str">
        <x:f>'In_Monthly'!D51</x:f>
        <x:v>lower</x:v>
      </x:c>
      <x:c r="E51" s="39" t="str">
        <x:f>'In_Monthly'!E51</x:f>
        <x:v>2023-02</x:v>
      </x:c>
      <x:c r="F51" s="65" t="n">
        <x:f>'In_Monthly'!F51</x:f>
        <x:v>28</x:v>
      </x:c>
      <x:c r="G51" s="65" t="n">
        <x:f>F51*24</x:f>
        <x:v>672</x:v>
      </x:c>
      <x:c r="H51" s="65" t="n">
        <x:f>'In_Monthly'!G51</x:f>
        <x:v>3.8903273809523813</x:v>
      </x:c>
      <x:c r="I51" s="65" t="n">
        <x:f>'In_Monthly'!K51</x:f>
        <x:v>1</x:v>
      </x:c>
      <x:c r="J51" s="65" t="n">
        <x:f>'In_Monthly'!L51</x:f>
        <x:v>0</x:v>
      </x:c>
      <x:c r="K51" s="65" t="n">
        <x:f>'In_Monthly'!J51*G51/1000</x:f>
        <x:v>6970.200988821341</x:v>
      </x:c>
      <x:c r="L51" s="65" t="n">
        <x:f>'Calc_Case'!E6+'Calc_Case'!F6+'Calc_Case'!G6</x:f>
        <x:v>903.4340683360252</x:v>
      </x:c>
      <x:c r="M51" s="65" t="n">
        <x:f>'Calc_Case'!H6</x:f>
        <x:v>1027.4795916943362</x:v>
      </x:c>
      <x:c r="N51" s="65" t="n">
        <x:f>(L51*('In_Cases'!O6-H51)+M51*('In_Cases'!O6-'In_Cases'!U6))*G51*I51/1000</x:f>
        <x:v>10994.521581428924</x:v>
      </x:c>
      <x:c r="O51" s="65" t="n">
        <x:f>IF(N51&lt;=0,"",K51/N51)</x:f>
        <x:v>0.6339703767187881</x:v>
      </x:c>
      <x:c r="P51" s="65" t="n">
        <x:f>IF(N51&lt;=0,0,IF(ABS(O51-1)&lt;1E-9,'Calc_Case'!N6/('Calc_Case'!N6+1),(1-POWER(O51,'Calc_Case'!N6))/(1-POWER(O51,'Calc_Case'!N6+1))))</x:f>
        <x:v>0.8168059644495856</x:v>
      </x:c>
      <x:c r="Q51" s="65" t="n">
        <x:f>IF(N51&lt;=0,0,MAX(0,N51-P51*K51))</x:f>
        <x:v>5301.219840347253</x:v>
      </x:c>
      <x:c r="R51" s="65" t="n">
        <x:f>IF(J51&lt;=0,0,MAX(1E-12,(L51*('In_Cases'!P6-H51)+M51*('In_Cases'!P6-'In_Cases'!V6))*G51*J51/1000))</x:f>
        <x:v>0</x:v>
      </x:c>
      <x:c r="S51" s="65" t="str">
        <x:f>IF(J51&lt;=0,"",K51/R51)</x:f>
      </x:c>
      <x:c r="T51" s="65" t="n">
        <x:f>IF(J51&lt;=0,0,IF(ABS(S51-1)&lt;1E-9,'Calc_Case'!N6/('Calc_Case'!N6+1),(1-POWER(S51,-'Calc_Case'!N6))/(1-POWER(S51,-'Calc_Case'!N6-1))))</x:f>
        <x:v>0</x:v>
      </x:c>
      <x:c r="U51" s="65" t="n">
        <x:f>IF(J51&lt;=0,0,'In_Cases'!Q6*MAX(0,K51-T51*R51))</x:f>
        <x:v>0</x:v>
      </x:c>
      <x:c r="V51" s="65" t="n">
        <x:f>MAX(0,1-I51-J51)</x:f>
        <x:v>0</x:v>
      </x:c>
      <x:c r="W51" s="65" t="n">
        <x:f>'In_Cases'!T6*(H51+'In_Cases'!S6*('In_Cases'!O6-H51))+(1-'In_Cases'!T6)*'In_Cases'!O6</x:f>
        <x:v>14.756130952380952</x:v>
      </x:c>
      <x:c r="X51" s="65" t="n">
        <x:f>'In_Cases'!T6*(H51+'In_Cases'!S6*('In_Cases'!P6-H51))+(1-'In_Cases'!T6)*'In_Cases'!P6</x:f>
        <x:v>17.156130952380952</x:v>
      </x:c>
      <x:c r="Y51" s="65" t="n">
        <x:f>'In_Cases'!T6*(H51+'In_Cases'!S6*((('In_Cases'!O6+'In_Cases'!P6)/2)-H51))+(1-'In_Cases'!T6)*(('In_Cases'!O6+'In_Cases'!P6)/2)</x:f>
        <x:v>15.956130952380953</x:v>
      </x:c>
      <x:c r="Z51" s="65" t="n">
        <x:f>'In_Cases'!R6*M51*('In_Cases'!U6-W51)*G51*I51/1000</x:f>
        <x:v>5001.647354817026</x:v>
      </x:c>
      <x:c r="AA51" s="65" t="n">
        <x:f>'In_Cases'!R6*M51*('In_Cases'!V6-X51)*G51*J51/1000</x:f>
        <x:v>0</x:v>
      </x:c>
      <x:c r="AB51" s="65" t="n">
        <x:f>'In_Cases'!R6*M51*('In_Cases'!V6-Y51)*G51*V51/1000</x:f>
        <x:v>0</x:v>
      </x:c>
      <x:c r="AC51" s="65" t="n">
        <x:f>MAX(0,Z51)+MAX(0,AA51)+MAX(0,AB51)</x:f>
        <x:v>5001.647354817026</x:v>
      </x:c>
      <x:c r="AD51" s="65" t="n">
        <x:f>MAX(0,-Z51)+MAX(0,-AA51)+MAX(0,-AB51)</x:f>
        <x:v>0</x:v>
      </x:c>
      <x:c r="AE51" s="65" t="n">
        <x:f>Q51+AC51</x:f>
        <x:v>10302.86719516428</x:v>
      </x:c>
      <x:c r="AF51" s="65" t="n">
        <x:f>U51+AD51</x:f>
        <x:v>0</x:v>
      </x:c>
    </x:row>
    <x:row r="52">
      <x:c r="A52" s="39" t="str">
        <x:f>'In_Monthly'!A52</x:f>
        <x:v>18|lower</x:v>
      </x:c>
      <x:c r="B52" s="39" t="str">
        <x:f>'In_Monthly'!B52</x:f>
        <x:v>18</x:v>
      </x:c>
      <x:c r="C52" s="39" t="str">
        <x:f>'In_Monthly'!C52</x:f>
        <x:v>Test building 2</x:v>
      </x:c>
      <x:c r="D52" s="39" t="str">
        <x:f>'In_Monthly'!D52</x:f>
        <x:v>lower</x:v>
      </x:c>
      <x:c r="E52" s="39" t="str">
        <x:f>'In_Monthly'!E52</x:f>
        <x:v>2023-03</x:v>
      </x:c>
      <x:c r="F52" s="65" t="n">
        <x:f>'In_Monthly'!F52</x:f>
        <x:v>31</x:v>
      </x:c>
      <x:c r="G52" s="65" t="n">
        <x:f>F52*24</x:f>
        <x:v>744</x:v>
      </x:c>
      <x:c r="H52" s="65" t="n">
        <x:f>'In_Monthly'!G52</x:f>
        <x:v>7.746908602150539</x:v>
      </x:c>
      <x:c r="I52" s="65" t="n">
        <x:f>'In_Monthly'!K52</x:f>
        <x:v>1</x:v>
      </x:c>
      <x:c r="J52" s="65" t="n">
        <x:f>'In_Monthly'!L52</x:f>
        <x:v>0</x:v>
      </x:c>
      <x:c r="K52" s="65" t="n">
        <x:f>'In_Monthly'!J52*G52/1000</x:f>
        <x:v>8453.628429400393</x:v>
      </x:c>
      <x:c r="L52" s="65" t="n">
        <x:f>'Calc_Case'!E6+'Calc_Case'!F6+'Calc_Case'!G6</x:f>
        <x:v>903.4340683360252</x:v>
      </x:c>
      <x:c r="M52" s="65" t="n">
        <x:f>'Calc_Case'!H6</x:f>
        <x:v>1027.4795916943362</x:v>
      </x:c>
      <x:c r="N52" s="65" t="n">
        <x:f>(L52*('In_Cases'!O6-H52)+M52*('In_Cases'!O6-'In_Cases'!U6))*G52*I52/1000</x:f>
        <x:v>9580.285890855712</x:v>
      </x:c>
      <x:c r="O52" s="65" t="n">
        <x:f>IF(N52&lt;=0,"",K52/N52)</x:f>
        <x:v>0.8823983465325703</x:v>
      </x:c>
      <x:c r="P52" s="65" t="n">
        <x:f>IF(N52&lt;=0,0,IF(ABS(O52-1)&lt;1E-9,'Calc_Case'!N6/('Calc_Case'!N6+1),(1-POWER(O52,'Calc_Case'!N6))/(1-POWER(O52,'Calc_Case'!N6+1))))</x:f>
        <x:v>0.7212551468499001</x:v>
      </x:c>
      <x:c r="Q52" s="65" t="n">
        <x:f>IF(N52&lt;=0,0,MAX(0,N52-P52*K52))</x:f>
        <x:v>3483.062876594041</x:v>
      </x:c>
      <x:c r="R52" s="65" t="n">
        <x:f>IF(J52&lt;=0,0,MAX(1E-12,(L52*('In_Cases'!P6-H52)+M52*('In_Cases'!P6-'In_Cases'!V6))*G52*J52/1000))</x:f>
        <x:v>0</x:v>
      </x:c>
      <x:c r="S52" s="65" t="str">
        <x:f>IF(J52&lt;=0,"",K52/R52)</x:f>
      </x:c>
      <x:c r="T52" s="65" t="n">
        <x:f>IF(J52&lt;=0,0,IF(ABS(S52-1)&lt;1E-9,'Calc_Case'!N6/('Calc_Case'!N6+1),(1-POWER(S52,-'Calc_Case'!N6))/(1-POWER(S52,-'Calc_Case'!N6-1))))</x:f>
        <x:v>0</x:v>
      </x:c>
      <x:c r="U52" s="65" t="n">
        <x:f>IF(J52&lt;=0,0,'In_Cases'!Q6*MAX(0,K52-T52*R52))</x:f>
        <x:v>0</x:v>
      </x:c>
      <x:c r="V52" s="65" t="n">
        <x:f>MAX(0,1-I52-J52)</x:f>
        <x:v>0</x:v>
      </x:c>
      <x:c r="W52" s="65" t="n">
        <x:f>'In_Cases'!T6*(H52+'In_Cases'!S6*('In_Cases'!O6-H52))+(1-'In_Cases'!T6)*'In_Cases'!O6</x:f>
        <x:v>16.298763440860213</x:v>
      </x:c>
      <x:c r="X52" s="65" t="n">
        <x:f>'In_Cases'!T6*(H52+'In_Cases'!S6*('In_Cases'!P6-H52))+(1-'In_Cases'!T6)*'In_Cases'!P6</x:f>
        <x:v>18.698763440860212</x:v>
      </x:c>
      <x:c r="Y52" s="65" t="n">
        <x:f>'In_Cases'!T6*(H52+'In_Cases'!S6*((('In_Cases'!O6+'In_Cases'!P6)/2)-H52))+(1-'In_Cases'!T6)*(('In_Cases'!O6+'In_Cases'!P6)/2)</x:f>
        <x:v>17.498763440860216</x:v>
      </x:c>
      <x:c r="Z52" s="65" t="n">
        <x:f>'In_Cases'!R6*M52*('In_Cases'!U6-W52)*G52*I52/1000</x:f>
        <x:v>4358.280733681701</x:v>
      </x:c>
      <x:c r="AA52" s="65" t="n">
        <x:f>'In_Cases'!R6*M52*('In_Cases'!V6-X52)*G52*J52/1000</x:f>
        <x:v>0</x:v>
      </x:c>
      <x:c r="AB52" s="65" t="n">
        <x:f>'In_Cases'!R6*M52*('In_Cases'!V6-Y52)*G52*V52/1000</x:f>
        <x:v>0</x:v>
      </x:c>
      <x:c r="AC52" s="65" t="n">
        <x:f>MAX(0,Z52)+MAX(0,AA52)+MAX(0,AB52)</x:f>
        <x:v>4358.280733681701</x:v>
      </x:c>
      <x:c r="AD52" s="65" t="n">
        <x:f>MAX(0,-Z52)+MAX(0,-AA52)+MAX(0,-AB52)</x:f>
        <x:v>0</x:v>
      </x:c>
      <x:c r="AE52" s="65" t="n">
        <x:f>Q52+AC52</x:f>
        <x:v>7841.343610275742</x:v>
      </x:c>
      <x:c r="AF52" s="65" t="n">
        <x:f>U52+AD52</x:f>
        <x:v>0</x:v>
      </x:c>
    </x:row>
    <x:row r="53">
      <x:c r="A53" s="39" t="str">
        <x:f>'In_Monthly'!A53</x:f>
        <x:v>18|lower</x:v>
      </x:c>
      <x:c r="B53" s="39" t="str">
        <x:f>'In_Monthly'!B53</x:f>
        <x:v>18</x:v>
      </x:c>
      <x:c r="C53" s="39" t="str">
        <x:f>'In_Monthly'!C53</x:f>
        <x:v>Test building 2</x:v>
      </x:c>
      <x:c r="D53" s="39" t="str">
        <x:f>'In_Monthly'!D53</x:f>
        <x:v>lower</x:v>
      </x:c>
      <x:c r="E53" s="39" t="str">
        <x:f>'In_Monthly'!E53</x:f>
        <x:v>2023-04</x:v>
      </x:c>
      <x:c r="F53" s="65" t="n">
        <x:f>'In_Monthly'!F53</x:f>
        <x:v>30</x:v>
      </x:c>
      <x:c r="G53" s="65" t="n">
        <x:f>F53*24</x:f>
        <x:v>720</x:v>
      </x:c>
      <x:c r="H53" s="65" t="n">
        <x:f>'In_Monthly'!G53</x:f>
        <x:v>12.03041666666667</x:v>
      </x:c>
      <x:c r="I53" s="65" t="n">
        <x:f>'In_Monthly'!K53</x:f>
        <x:v>1</x:v>
      </x:c>
      <x:c r="J53" s="65" t="n">
        <x:f>'In_Monthly'!L53</x:f>
        <x:v>0</x:v>
      </x:c>
      <x:c r="K53" s="65" t="n">
        <x:f>'In_Monthly'!J53*G53/1000</x:f>
        <x:v>8634.813919638384</x:v>
      </x:c>
      <x:c r="L53" s="65" t="n">
        <x:f>'Calc_Case'!E6+'Calc_Case'!F6+'Calc_Case'!G6</x:f>
        <x:v>903.4340683360252</x:v>
      </x:c>
      <x:c r="M53" s="65" t="n">
        <x:f>'Calc_Case'!H6</x:f>
        <x:v>1027.4795916943362</x:v>
      </x:c>
      <x:c r="N53" s="65" t="n">
        <x:f>(L53*('In_Cases'!O6-H53)+M53*('In_Cases'!O6-'In_Cases'!U6))*G53*I53/1000</x:f>
        <x:v>6484.940085922822</x:v>
      </x:c>
      <x:c r="O53" s="65" t="n">
        <x:f>IF(N53&lt;=0,"",K53/N53)</x:f>
        <x:v>1.3315179177032643</x:v>
      </x:c>
      <x:c r="P53" s="65" t="n">
        <x:f>IF(N53&lt;=0,0,IF(ABS(O53-1)&lt;1E-9,'Calc_Case'!N6/('Calc_Case'!N6+1),(1-POWER(O53,'Calc_Case'!N6))/(1-POWER(O53,'Calc_Case'!N6+1))))</x:f>
        <x:v>0.5787919671521151</x:v>
      </x:c>
      <x:c r="Q53" s="65" t="n">
        <x:f>IF(N53&lt;=0,0,MAX(0,N53-P53*K53))</x:f>
        <x:v>1487.1791513828557</x:v>
      </x:c>
      <x:c r="R53" s="65" t="n">
        <x:f>IF(J53&lt;=0,0,MAX(1E-12,(L53*('In_Cases'!P6-H53)+M53*('In_Cases'!P6-'In_Cases'!V6))*G53*J53/1000))</x:f>
        <x:v>0</x:v>
      </x:c>
      <x:c r="S53" s="65" t="str">
        <x:f>IF(J53&lt;=0,"",K53/R53)</x:f>
      </x:c>
      <x:c r="T53" s="65" t="n">
        <x:f>IF(J53&lt;=0,0,IF(ABS(S53-1)&lt;1E-9,'Calc_Case'!N6/('Calc_Case'!N6+1),(1-POWER(S53,-'Calc_Case'!N6))/(1-POWER(S53,-'Calc_Case'!N6-1))))</x:f>
        <x:v>0</x:v>
      </x:c>
      <x:c r="U53" s="65" t="n">
        <x:f>IF(J53&lt;=0,0,'In_Cases'!Q6*MAX(0,K53-T53*R53))</x:f>
        <x:v>0</x:v>
      </x:c>
      <x:c r="V53" s="65" t="n">
        <x:f>MAX(0,1-I53-J53)</x:f>
        <x:v>0</x:v>
      </x:c>
      <x:c r="W53" s="65" t="n">
        <x:f>'In_Cases'!T6*(H53+'In_Cases'!S6*('In_Cases'!O6-H53))+(1-'In_Cases'!T6)*'In_Cases'!O6</x:f>
        <x:v>18.012166666666666</x:v>
      </x:c>
      <x:c r="X53" s="65" t="n">
        <x:f>'In_Cases'!T6*(H53+'In_Cases'!S6*('In_Cases'!P6-H53))+(1-'In_Cases'!T6)*'In_Cases'!P6</x:f>
        <x:v>20.412166666666668</x:v>
      </x:c>
      <x:c r="Y53" s="65" t="n">
        <x:f>'In_Cases'!T6*(H53+'In_Cases'!S6*((('In_Cases'!O6+'In_Cases'!P6)/2)-H53))+(1-'In_Cases'!T6)*(('In_Cases'!O6+'In_Cases'!P6)/2)</x:f>
        <x:v>19.21216666666667</x:v>
      </x:c>
      <x:c r="Z53" s="65" t="n">
        <x:f>'In_Cases'!R6*M53*('In_Cases'!U6-W53)*G53*I53/1000</x:f>
        <x:v>2950.140502856447</x:v>
      </x:c>
      <x:c r="AA53" s="65" t="n">
        <x:f>'In_Cases'!R6*M53*('In_Cases'!V6-X53)*G53*J53/1000</x:f>
        <x:v>0</x:v>
      </x:c>
      <x:c r="AB53" s="65" t="n">
        <x:f>'In_Cases'!R6*M53*('In_Cases'!V6-Y53)*G53*V53/1000</x:f>
        <x:v>0</x:v>
      </x:c>
      <x:c r="AC53" s="65" t="n">
        <x:f>MAX(0,Z53)+MAX(0,AA53)+MAX(0,AB53)</x:f>
        <x:v>2950.140502856447</x:v>
      </x:c>
      <x:c r="AD53" s="65" t="n">
        <x:f>MAX(0,-Z53)+MAX(0,-AA53)+MAX(0,-AB53)</x:f>
        <x:v>0</x:v>
      </x:c>
      <x:c r="AE53" s="65" t="n">
        <x:f>Q53+AC53</x:f>
        <x:v>4437.3196542393025</x:v>
      </x:c>
      <x:c r="AF53" s="65" t="n">
        <x:f>U53+AD53</x:f>
        <x:v>0</x:v>
      </x:c>
    </x:row>
    <x:row r="54">
      <x:c r="A54" s="39" t="str">
        <x:f>'In_Monthly'!A54</x:f>
        <x:v>18|lower</x:v>
      </x:c>
      <x:c r="B54" s="39" t="str">
        <x:f>'In_Monthly'!B54</x:f>
        <x:v>18</x:v>
      </x:c>
      <x:c r="C54" s="39" t="str">
        <x:f>'In_Monthly'!C54</x:f>
        <x:v>Test building 2</x:v>
      </x:c>
      <x:c r="D54" s="39" t="str">
        <x:f>'In_Monthly'!D54</x:f>
        <x:v>lower</x:v>
      </x:c>
      <x:c r="E54" s="39" t="str">
        <x:f>'In_Monthly'!E54</x:f>
        <x:v>2023-05</x:v>
      </x:c>
      <x:c r="F54" s="65" t="n">
        <x:f>'In_Monthly'!F54</x:f>
        <x:v>31</x:v>
      </x:c>
      <x:c r="G54" s="65" t="n">
        <x:f>F54*24</x:f>
        <x:v>744</x:v>
      </x:c>
      <x:c r="H54" s="65" t="n">
        <x:f>'In_Monthly'!G54</x:f>
        <x:v>17.244086021505375</x:v>
      </x:c>
      <x:c r="I54" s="65" t="n">
        <x:f>'In_Monthly'!K54</x:f>
        <x:v>0</x:v>
      </x:c>
      <x:c r="J54" s="65" t="n">
        <x:f>'In_Monthly'!L54</x:f>
        <x:v>0</x:v>
      </x:c>
      <x:c r="K54" s="65" t="n">
        <x:f>'In_Monthly'!J54*G54/1000</x:f>
        <x:v>9331.788456669792</x:v>
      </x:c>
      <x:c r="L54" s="65" t="n">
        <x:f>'Calc_Case'!E6+'Calc_Case'!F6+'Calc_Case'!G6</x:f>
        <x:v>903.4340683360252</x:v>
      </x:c>
      <x:c r="M54" s="65" t="n">
        <x:f>'Calc_Case'!H6</x:f>
        <x:v>1027.4795916943362</x:v>
      </x:c>
      <x:c r="N54" s="65" t="n">
        <x:f>(L54*('In_Cases'!O6-H54)+M54*('In_Cases'!O6-'In_Cases'!U6))*G54*I54/1000</x:f>
        <x:v>0</x:v>
      </x:c>
      <x:c r="O54" s="65" t="str">
        <x:f>IF(N54&lt;=0,"",K54/N54)</x:f>
      </x:c>
      <x:c r="P54" s="65" t="n">
        <x:f>IF(N54&lt;=0,0,IF(ABS(O54-1)&lt;1E-9,'Calc_Case'!N6/('Calc_Case'!N6+1),(1-POWER(O54,'Calc_Case'!N6))/(1-POWER(O54,'Calc_Case'!N6+1))))</x:f>
        <x:v>0</x:v>
      </x:c>
      <x:c r="Q54" s="65" t="n">
        <x:f>IF(N54&lt;=0,0,MAX(0,N54-P54*K54))</x:f>
        <x:v>0</x:v>
      </x:c>
      <x:c r="R54" s="65" t="n">
        <x:f>IF(J54&lt;=0,0,MAX(1E-12,(L54*('In_Cases'!P6-H54)+M54*('In_Cases'!P6-'In_Cases'!V6))*G54*J54/1000))</x:f>
        <x:v>0</x:v>
      </x:c>
      <x:c r="S54" s="65" t="str">
        <x:f>IF(J54&lt;=0,"",K54/R54)</x:f>
      </x:c>
      <x:c r="T54" s="65" t="n">
        <x:f>IF(J54&lt;=0,0,IF(ABS(S54-1)&lt;1E-9,'Calc_Case'!N6/('Calc_Case'!N6+1),(1-POWER(S54,-'Calc_Case'!N6))/(1-POWER(S54,-'Calc_Case'!N6-1))))</x:f>
        <x:v>0</x:v>
      </x:c>
      <x:c r="U54" s="65" t="n">
        <x:f>IF(J54&lt;=0,0,'In_Cases'!Q6*MAX(0,K54-T54*R54))</x:f>
        <x:v>0</x:v>
      </x:c>
      <x:c r="V54" s="65" t="n">
        <x:f>MAX(0,1-I54-J54)</x:f>
        <x:v>1</x:v>
      </x:c>
      <x:c r="W54" s="65" t="n">
        <x:f>'In_Cases'!T6*(H54+'In_Cases'!S6*('In_Cases'!O6-H54))+(1-'In_Cases'!T6)*'In_Cases'!O6</x:f>
        <x:v>20.09763440860215</x:v>
      </x:c>
      <x:c r="X54" s="65" t="n">
        <x:f>'In_Cases'!T6*(H54+'In_Cases'!S6*('In_Cases'!P6-H54))+(1-'In_Cases'!T6)*'In_Cases'!P6</x:f>
        <x:v>22.49763440860215</x:v>
      </x:c>
      <x:c r="Y54" s="65" t="n">
        <x:f>'In_Cases'!T6*(H54+'In_Cases'!S6*((('In_Cases'!O6+'In_Cases'!P6)/2)-H54))+(1-'In_Cases'!T6)*(('In_Cases'!O6+'In_Cases'!P6)/2)</x:f>
        <x:v>21.29763440860215</x:v>
      </x:c>
      <x:c r="Z54" s="65" t="n">
        <x:f>'In_Cases'!R6*M54*('In_Cases'!U6-W54)*G54*I54/1000</x:f>
        <x:v>0</x:v>
      </x:c>
      <x:c r="AA54" s="65" t="n">
        <x:f>'In_Cases'!R6*M54*('In_Cases'!V6-X54)*G54*J54/1000</x:f>
        <x:v>0</x:v>
      </x:c>
      <x:c r="AB54" s="65" t="n">
        <x:f>'In_Cases'!R6*M54*('In_Cases'!V6-Y54)*G54*V54/1000</x:f>
        <x:v>1301.3645516563788</x:v>
      </x:c>
      <x:c r="AC54" s="65" t="n">
        <x:f>MAX(0,Z54)+MAX(0,AA54)+MAX(0,AB54)</x:f>
        <x:v>1301.3645516563788</x:v>
      </x:c>
      <x:c r="AD54" s="65" t="n">
        <x:f>MAX(0,-Z54)+MAX(0,-AA54)+MAX(0,-AB54)</x:f>
        <x:v>0</x:v>
      </x:c>
      <x:c r="AE54" s="65" t="n">
        <x:f>Q54+AC54</x:f>
        <x:v>1301.3645516563788</x:v>
      </x:c>
      <x:c r="AF54" s="65" t="n">
        <x:f>U54+AD54</x:f>
        <x:v>0</x:v>
      </x:c>
    </x:row>
    <x:row r="55">
      <x:c r="A55" s="39" t="str">
        <x:f>'In_Monthly'!A55</x:f>
        <x:v>18|lower</x:v>
      </x:c>
      <x:c r="B55" s="39" t="str">
        <x:f>'In_Monthly'!B55</x:f>
        <x:v>18</x:v>
      </x:c>
      <x:c r="C55" s="39" t="str">
        <x:f>'In_Monthly'!C55</x:f>
        <x:v>Test building 2</x:v>
      </x:c>
      <x:c r="D55" s="39" t="str">
        <x:f>'In_Monthly'!D55</x:f>
        <x:v>lower</x:v>
      </x:c>
      <x:c r="E55" s="39" t="str">
        <x:f>'In_Monthly'!E55</x:f>
        <x:v>2023-06</x:v>
      </x:c>
      <x:c r="F55" s="65" t="n">
        <x:f>'In_Monthly'!F55</x:f>
        <x:v>30</x:v>
      </x:c>
      <x:c r="G55" s="65" t="n">
        <x:f>F55*24</x:f>
        <x:v>720</x:v>
      </x:c>
      <x:c r="H55" s="65" t="n">
        <x:f>'In_Monthly'!G55</x:f>
        <x:v>20.758194444444445</x:v>
      </x:c>
      <x:c r="I55" s="65" t="n">
        <x:f>'In_Monthly'!K55</x:f>
        <x:v>0</x:v>
      </x:c>
      <x:c r="J55" s="65" t="n">
        <x:f>'In_Monthly'!L55</x:f>
        <x:v>1</x:v>
      </x:c>
      <x:c r="K55" s="65" t="n">
        <x:f>'In_Monthly'!J55*G55/1000</x:f>
        <x:v>9115.60270227003</x:v>
      </x:c>
      <x:c r="L55" s="65" t="n">
        <x:f>'Calc_Case'!E6+'Calc_Case'!F6+'Calc_Case'!G6</x:f>
        <x:v>903.4340683360252</x:v>
      </x:c>
      <x:c r="M55" s="65" t="n">
        <x:f>'Calc_Case'!H6</x:f>
        <x:v>1027.4795916943362</x:v>
      </x:c>
      <x:c r="N55" s="65" t="n">
        <x:f>(L55*('In_Cases'!O6-H55)+M55*('In_Cases'!O6-'In_Cases'!U6))*G55*I55/1000</x:f>
        <x:v>0</x:v>
      </x:c>
      <x:c r="O55" s="65" t="str">
        <x:f>IF(N55&lt;=0,"",K55/N55)</x:f>
      </x:c>
      <x:c r="P55" s="65" t="n">
        <x:f>IF(N55&lt;=0,0,IF(ABS(O55-1)&lt;1E-9,'Calc_Case'!N6/('Calc_Case'!N6+1),(1-POWER(O55,'Calc_Case'!N6))/(1-POWER(O55,'Calc_Case'!N6+1))))</x:f>
        <x:v>0</x:v>
      </x:c>
      <x:c r="Q55" s="65" t="n">
        <x:f>IF(N55&lt;=0,0,MAX(0,N55-P55*K55))</x:f>
        <x:v>0</x:v>
      </x:c>
      <x:c r="R55" s="65" t="n">
        <x:f>IF(J55&lt;=0,0,MAX(1E-12,(L55*('In_Cases'!P6-H55)+M55*('In_Cases'!P6-'In_Cases'!V6))*G55*J55/1000))</x:f>
        <x:v>5629.0064353667585</x:v>
      </x:c>
      <x:c r="S55" s="65" t="n">
        <x:f>IF(J55&lt;=0,"",K55/R55)</x:f>
        <x:v>1.619398166787866</x:v>
      </x:c>
      <x:c r="T55" s="65" t="n">
        <x:f>IF(J55&lt;=0,0,IF(ABS(S55-1)&lt;1E-9,'Calc_Case'!N6/('Calc_Case'!N6+1),(1-POWER(S55,-'Calc_Case'!N6))/(1-POWER(S55,-'Calc_Case'!N6-1))))</x:f>
        <x:v>0.8233870766867328</x:v>
      </x:c>
      <x:c r="U55" s="65" t="n">
        <x:f>IF(J55&lt;=0,0,'In_Cases'!Q6*MAX(0,K55-T55*R55))</x:f>
        <x:v>4480.751548802587</x:v>
      </x:c>
      <x:c r="V55" s="65" t="n">
        <x:f>MAX(0,1-I55-J55)</x:f>
        <x:v>0</x:v>
      </x:c>
      <x:c r="W55" s="65" t="n">
        <x:f>'In_Cases'!T6*(H55+'In_Cases'!S6*('In_Cases'!O6-H55))+(1-'In_Cases'!T6)*'In_Cases'!O6</x:f>
        <x:v>21.50327777777778</x:v>
      </x:c>
      <x:c r="X55" s="65" t="n">
        <x:f>'In_Cases'!T6*(H55+'In_Cases'!S6*('In_Cases'!P6-H55))+(1-'In_Cases'!T6)*'In_Cases'!P6</x:f>
        <x:v>23.903277777777777</x:v>
      </x:c>
      <x:c r="Y55" s="65" t="n">
        <x:f>'In_Cases'!T6*(H55+'In_Cases'!S6*((('In_Cases'!O6+'In_Cases'!P6)/2)-H55))+(1-'In_Cases'!T6)*(('In_Cases'!O6+'In_Cases'!P6)/2)</x:f>
        <x:v>22.703277777777778</x:v>
      </x:c>
      <x:c r="Z55" s="65" t="n">
        <x:f>'In_Cases'!R6*M55*('In_Cases'!U6-W55)*G55*I55/1000</x:f>
        <x:v>0</x:v>
      </x:c>
      <x:c r="AA55" s="65" t="n">
        <x:f>'In_Cases'!R6*M55*('In_Cases'!V6-X55)*G55*J55/1000</x:f>
        <x:v>-668.2316272543283</x:v>
      </x:c>
      <x:c r="AB55" s="65" t="n">
        <x:f>'In_Cases'!R6*M55*('In_Cases'!V6-Y55)*G55*V55/1000</x:f>
        <x:v>0</x:v>
      </x:c>
      <x:c r="AC55" s="65" t="n">
        <x:f>MAX(0,Z55)+MAX(0,AA55)+MAX(0,AB55)</x:f>
        <x:v>0</x:v>
      </x:c>
      <x:c r="AD55" s="65" t="n">
        <x:f>MAX(0,-Z55)+MAX(0,-AA55)+MAX(0,-AB55)</x:f>
        <x:v>668.2316272543283</x:v>
      </x:c>
      <x:c r="AE55" s="65" t="n">
        <x:f>Q55+AC55</x:f>
        <x:v>0</x:v>
      </x:c>
      <x:c r="AF55" s="65" t="n">
        <x:f>U55+AD55</x:f>
        <x:v>5148.983176056916</x:v>
      </x:c>
    </x:row>
    <x:row r="56">
      <x:c r="A56" s="39" t="str">
        <x:f>'In_Monthly'!A56</x:f>
        <x:v>18|lower</x:v>
      </x:c>
      <x:c r="B56" s="39" t="str">
        <x:f>'In_Monthly'!B56</x:f>
        <x:v>18</x:v>
      </x:c>
      <x:c r="C56" s="39" t="str">
        <x:f>'In_Monthly'!C56</x:f>
        <x:v>Test building 2</x:v>
      </x:c>
      <x:c r="D56" s="39" t="str">
        <x:f>'In_Monthly'!D56</x:f>
        <x:v>lower</x:v>
      </x:c>
      <x:c r="E56" s="39" t="str">
        <x:f>'In_Monthly'!E56</x:f>
        <x:v>2023-07</x:v>
      </x:c>
      <x:c r="F56" s="65" t="n">
        <x:f>'In_Monthly'!F56</x:f>
        <x:v>31</x:v>
      </x:c>
      <x:c r="G56" s="65" t="n">
        <x:f>F56*24</x:f>
        <x:v>744</x:v>
      </x:c>
      <x:c r="H56" s="65" t="n">
        <x:f>'In_Monthly'!G56</x:f>
        <x:v>23.824193548387097</x:v>
      </x:c>
      <x:c r="I56" s="65" t="n">
        <x:f>'In_Monthly'!K56</x:f>
        <x:v>0</x:v>
      </x:c>
      <x:c r="J56" s="65" t="n">
        <x:f>'In_Monthly'!L56</x:f>
        <x:v>1</x:v>
      </x:c>
      <x:c r="K56" s="65" t="n">
        <x:f>'In_Monthly'!J56*G56/1000</x:f>
        <x:v>9552.438844773944</x:v>
      </x:c>
      <x:c r="L56" s="65" t="n">
        <x:f>'Calc_Case'!E6+'Calc_Case'!F6+'Calc_Case'!G6</x:f>
        <x:v>903.4340683360252</x:v>
      </x:c>
      <x:c r="M56" s="65" t="n">
        <x:f>'Calc_Case'!H6</x:f>
        <x:v>1027.4795916943362</x:v>
      </x:c>
      <x:c r="N56" s="65" t="n">
        <x:f>(L56*('In_Cases'!O6-H56)+M56*('In_Cases'!O6-'In_Cases'!U6))*G56*I56/1000</x:f>
        <x:v>0</x:v>
      </x:c>
      <x:c r="O56" s="65" t="str">
        <x:f>IF(N56&lt;=0,"",K56/N56)</x:f>
      </x:c>
      <x:c r="P56" s="65" t="n">
        <x:f>IF(N56&lt;=0,0,IF(ABS(O56-1)&lt;1E-9,'Calc_Case'!N6/('Calc_Case'!N6+1),(1-POWER(O56,'Calc_Case'!N6))/(1-POWER(O56,'Calc_Case'!N6+1))))</x:f>
        <x:v>0</x:v>
      </x:c>
      <x:c r="Q56" s="65" t="n">
        <x:f>IF(N56&lt;=0,0,MAX(0,N56-P56*K56))</x:f>
        <x:v>0</x:v>
      </x:c>
      <x:c r="R56" s="65" t="n">
        <x:f>IF(J56&lt;=0,0,MAX(1E-12,(L56*('In_Cases'!P6-H56)+M56*('In_Cases'!P6-'In_Cases'!V6))*G56*J56/1000))</x:f>
        <x:v>3755.8135184841162</x:v>
      </x:c>
      <x:c r="S56" s="65" t="n">
        <x:f>IF(J56&lt;=0,"",K56/R56)</x:f>
        <x:v>2.5433741046412237</x:v>
      </x:c>
      <x:c r="T56" s="65" t="n">
        <x:f>IF(J56&lt;=0,0,IF(ABS(S56-1)&lt;1E-9,'Calc_Case'!N6/('Calc_Case'!N6+1),(1-POWER(S56,-'Calc_Case'!N6))/(1-POWER(S56,-'Calc_Case'!N6-1))))</x:f>
        <x:v>0.9116114986742753</x:v>
      </x:c>
      <x:c r="U56" s="65" t="n">
        <x:f>IF(J56&lt;=0,0,'In_Cases'!Q6*MAX(0,K56-T56*R56))</x:f>
        <x:v>6128.596054447536</x:v>
      </x:c>
      <x:c r="V56" s="65" t="n">
        <x:f>MAX(0,1-I56-J56)</x:f>
        <x:v>0</x:v>
      </x:c>
      <x:c r="W56" s="65" t="n">
        <x:f>'In_Cases'!T6*(H56+'In_Cases'!S6*('In_Cases'!O6-H56))+(1-'In_Cases'!T6)*'In_Cases'!O6</x:f>
        <x:v>22.72967741935484</x:v>
      </x:c>
      <x:c r="X56" s="65" t="n">
        <x:f>'In_Cases'!T6*(H56+'In_Cases'!S6*('In_Cases'!P6-H56))+(1-'In_Cases'!T6)*'In_Cases'!P6</x:f>
        <x:v>25.129677419354838</x:v>
      </x:c>
      <x:c r="Y56" s="65" t="n">
        <x:f>'In_Cases'!T6*(H56+'In_Cases'!S6*((('In_Cases'!O6+'In_Cases'!P6)/2)-H56))+(1-'In_Cases'!T6)*(('In_Cases'!O6+'In_Cases'!P6)/2)</x:f>
        <x:v>23.92967741935484</x:v>
      </x:c>
      <x:c r="Z56" s="65" t="n">
        <x:f>'In_Cases'!R6*M56*('In_Cases'!U6-W56)*G56*I56/1000</x:f>
        <x:v>0</x:v>
      </x:c>
      <x:c r="AA56" s="65" t="n">
        <x:f>'In_Cases'!R6*M56*('In_Cases'!V6-X56)*G56*J56/1000</x:f>
        <x:v>-1628.0208634478415</x:v>
      </x:c>
      <x:c r="AB56" s="65" t="n">
        <x:f>'In_Cases'!R6*M56*('In_Cases'!V6-Y56)*G56*V56/1000</x:f>
        <x:v>0</x:v>
      </x:c>
      <x:c r="AC56" s="65" t="n">
        <x:f>MAX(0,Z56)+MAX(0,AA56)+MAX(0,AB56)</x:f>
        <x:v>0</x:v>
      </x:c>
      <x:c r="AD56" s="65" t="n">
        <x:f>MAX(0,-Z56)+MAX(0,-AA56)+MAX(0,-AB56)</x:f>
        <x:v>1628.0208634478415</x:v>
      </x:c>
      <x:c r="AE56" s="65" t="n">
        <x:f>Q56+AC56</x:f>
        <x:v>0</x:v>
      </x:c>
      <x:c r="AF56" s="65" t="n">
        <x:f>U56+AD56</x:f>
        <x:v>7756.616917895377</x:v>
      </x:c>
    </x:row>
    <x:row r="57">
      <x:c r="A57" s="39" t="str">
        <x:f>'In_Monthly'!A57</x:f>
        <x:v>18|lower</x:v>
      </x:c>
      <x:c r="B57" s="39" t="str">
        <x:f>'In_Monthly'!B57</x:f>
        <x:v>18</x:v>
      </x:c>
      <x:c r="C57" s="39" t="str">
        <x:f>'In_Monthly'!C57</x:f>
        <x:v>Test building 2</x:v>
      </x:c>
      <x:c r="D57" s="39" t="str">
        <x:f>'In_Monthly'!D57</x:f>
        <x:v>lower</x:v>
      </x:c>
      <x:c r="E57" s="39" t="str">
        <x:f>'In_Monthly'!E57</x:f>
        <x:v>2023-08</x:v>
      </x:c>
      <x:c r="F57" s="65" t="n">
        <x:f>'In_Monthly'!F57</x:f>
        <x:v>31</x:v>
      </x:c>
      <x:c r="G57" s="65" t="n">
        <x:f>F57*24</x:f>
        <x:v>744</x:v>
      </x:c>
      <x:c r="H57" s="65" t="n">
        <x:f>'In_Monthly'!G57</x:f>
        <x:v>22.74717741935484</x:v>
      </x:c>
      <x:c r="I57" s="65" t="n">
        <x:f>'In_Monthly'!K57</x:f>
        <x:v>0</x:v>
      </x:c>
      <x:c r="J57" s="65" t="n">
        <x:f>'In_Monthly'!L57</x:f>
        <x:v>1</x:v>
      </x:c>
      <x:c r="K57" s="65" t="n">
        <x:f>'In_Monthly'!J57*G57/1000</x:f>
        <x:v>9308.32662907555</x:v>
      </x:c>
      <x:c r="L57" s="65" t="n">
        <x:f>'Calc_Case'!E6+'Calc_Case'!F6+'Calc_Case'!G6</x:f>
        <x:v>903.4340683360252</x:v>
      </x:c>
      <x:c r="M57" s="65" t="n">
        <x:f>'Calc_Case'!H6</x:f>
        <x:v>1027.4795916943362</x:v>
      </x:c>
      <x:c r="N57" s="65" t="n">
        <x:f>(L57*('In_Cases'!O6-H57)+M57*('In_Cases'!O6-'In_Cases'!U6))*G57*I57/1000</x:f>
        <x:v>0</x:v>
      </x:c>
      <x:c r="O57" s="65" t="str">
        <x:f>IF(N57&lt;=0,"",K57/N57)</x:f>
      </x:c>
      <x:c r="P57" s="65" t="n">
        <x:f>IF(N57&lt;=0,0,IF(ABS(O57-1)&lt;1E-9,'Calc_Case'!N6/('Calc_Case'!N6+1),(1-POWER(O57,'Calc_Case'!N6))/(1-POWER(O57,'Calc_Case'!N6+1))))</x:f>
        <x:v>0</x:v>
      </x:c>
      <x:c r="Q57" s="65" t="n">
        <x:f>IF(N57&lt;=0,0,MAX(0,N57-P57*K57))</x:f>
        <x:v>0</x:v>
      </x:c>
      <x:c r="R57" s="65" t="n">
        <x:f>IF(J57&lt;=0,0,MAX(1E-12,(L57*('In_Cases'!P6-H57)+M57*('In_Cases'!P6-'In_Cases'!V6))*G57*J57/1000))</x:f>
        <x:v>4479.7352374417715</x:v>
      </x:c>
      <x:c r="S57" s="65" t="n">
        <x:f>IF(J57&lt;=0,"",K57/R57)</x:f>
        <x:v>2.0778742795503304</x:v>
      </x:c>
      <x:c r="T57" s="65" t="n">
        <x:f>IF(J57&lt;=0,0,IF(ABS(S57-1)&lt;1E-9,'Calc_Case'!N6/('Calc_Case'!N6+1),(1-POWER(S57,-'Calc_Case'!N6))/(1-POWER(S57,-'Calc_Case'!N6-1))))</x:f>
        <x:v>0.8777740976745934</x:v>
      </x:c>
      <x:c r="U57" s="65" t="n">
        <x:f>IF(J57&lt;=0,0,'In_Cases'!Q6*MAX(0,K57-T57*R57))</x:f>
        <x:v>5376.131073209018</x:v>
      </x:c>
      <x:c r="V57" s="65" t="n">
        <x:f>MAX(0,1-I57-J57)</x:f>
        <x:v>0</x:v>
      </x:c>
      <x:c r="W57" s="65" t="n">
        <x:f>'In_Cases'!T6*(H57+'In_Cases'!S6*('In_Cases'!O6-H57))+(1-'In_Cases'!T6)*'In_Cases'!O6</x:f>
        <x:v>22.298870967741937</x:v>
      </x:c>
      <x:c r="X57" s="65" t="n">
        <x:f>'In_Cases'!T6*(H57+'In_Cases'!S6*('In_Cases'!P6-H57))+(1-'In_Cases'!T6)*'In_Cases'!P6</x:f>
        <x:v>24.698870967741936</x:v>
      </x:c>
      <x:c r="Y57" s="65" t="n">
        <x:f>'In_Cases'!T6*(H57+'In_Cases'!S6*((('In_Cases'!O6+'In_Cases'!P6)/2)-H57))+(1-'In_Cases'!T6)*(('In_Cases'!O6+'In_Cases'!P6)/2)</x:f>
        <x:v>23.498870967741937</x:v>
      </x:c>
      <x:c r="Z57" s="65" t="n">
        <x:f>'In_Cases'!R6*M57*('In_Cases'!U6-W57)*G57*I57/1000</x:f>
        <x:v>0</x:v>
      </x:c>
      <x:c r="AA57" s="65" t="n">
        <x:f>'In_Cases'!R6*M57*('In_Cases'!V6-X57)*G57*J57/1000</x:f>
        <x:v>-1298.6931047179735</x:v>
      </x:c>
      <x:c r="AB57" s="65" t="n">
        <x:f>'In_Cases'!R6*M57*('In_Cases'!V6-Y57)*G57*V57/1000</x:f>
        <x:v>0</x:v>
      </x:c>
      <x:c r="AC57" s="65" t="n">
        <x:f>MAX(0,Z57)+MAX(0,AA57)+MAX(0,AB57)</x:f>
        <x:v>0</x:v>
      </x:c>
      <x:c r="AD57" s="65" t="n">
        <x:f>MAX(0,-Z57)+MAX(0,-AA57)+MAX(0,-AB57)</x:f>
        <x:v>1298.6931047179735</x:v>
      </x:c>
      <x:c r="AE57" s="65" t="n">
        <x:f>Q57+AC57</x:f>
        <x:v>0</x:v>
      </x:c>
      <x:c r="AF57" s="65" t="n">
        <x:f>U57+AD57</x:f>
        <x:v>6674.824177926991</x:v>
      </x:c>
    </x:row>
    <x:row r="58">
      <x:c r="A58" s="39" t="str">
        <x:f>'In_Monthly'!A58</x:f>
        <x:v>18|lower</x:v>
      </x:c>
      <x:c r="B58" s="39" t="str">
        <x:f>'In_Monthly'!B58</x:f>
        <x:v>18</x:v>
      </x:c>
      <x:c r="C58" s="39" t="str">
        <x:f>'In_Monthly'!C58</x:f>
        <x:v>Test building 2</x:v>
      </x:c>
      <x:c r="D58" s="39" t="str">
        <x:f>'In_Monthly'!D58</x:f>
        <x:v>lower</x:v>
      </x:c>
      <x:c r="E58" s="39" t="str">
        <x:f>'In_Monthly'!E58</x:f>
        <x:v>2023-09</x:v>
      </x:c>
      <x:c r="F58" s="65" t="n">
        <x:f>'In_Monthly'!F58</x:f>
        <x:v>30</x:v>
      </x:c>
      <x:c r="G58" s="65" t="n">
        <x:f>F58*24</x:f>
        <x:v>720</x:v>
      </x:c>
      <x:c r="H58" s="65" t="n">
        <x:f>'In_Monthly'!G58</x:f>
        <x:v>19.61638888888889</x:v>
      </x:c>
      <x:c r="I58" s="65" t="n">
        <x:f>'In_Monthly'!K58</x:f>
        <x:v>0</x:v>
      </x:c>
      <x:c r="J58" s="65" t="n">
        <x:f>'In_Monthly'!L58</x:f>
        <x:v>1</x:v>
      </x:c>
      <x:c r="K58" s="65" t="n">
        <x:f>'In_Monthly'!J58*G58/1000</x:f>
        <x:v>8585.399422308285</x:v>
      </x:c>
      <x:c r="L58" s="65" t="n">
        <x:f>'Calc_Case'!E6+'Calc_Case'!F6+'Calc_Case'!G6</x:f>
        <x:v>903.4340683360252</x:v>
      </x:c>
      <x:c r="M58" s="65" t="n">
        <x:f>'Calc_Case'!H6</x:f>
        <x:v>1027.4795916943362</x:v>
      </x:c>
      <x:c r="N58" s="65" t="n">
        <x:f>(L58*('In_Cases'!O6-H58)+M58*('In_Cases'!O6-'In_Cases'!U6))*G58*I58/1000</x:f>
        <x:v>0</x:v>
      </x:c>
      <x:c r="O58" s="65" t="str">
        <x:f>IF(N58&lt;=0,"",K58/N58)</x:f>
      </x:c>
      <x:c r="P58" s="65" t="n">
        <x:f>IF(N58&lt;=0,0,IF(ABS(O58-1)&lt;1E-9,'Calc_Case'!N6/('Calc_Case'!N6+1),(1-POWER(O58,'Calc_Case'!N6))/(1-POWER(O58,'Calc_Case'!N6+1))))</x:f>
        <x:v>0</x:v>
      </x:c>
      <x:c r="Q58" s="65" t="n">
        <x:f>IF(N58&lt;=0,0,MAX(0,N58-P58*K58))</x:f>
        <x:v>0</x:v>
      </x:c>
      <x:c r="R58" s="65" t="n">
        <x:f>IF(J58&lt;=0,0,MAX(1E-12,(L58*('In_Cases'!P6-H58)+M58*('In_Cases'!P6-'In_Cases'!V6))*G58*J58/1000))</x:f>
        <x:v>6371.719582945806</x:v>
      </x:c>
      <x:c r="S58" s="65" t="n">
        <x:f>IF(J58&lt;=0,"",K58/R58)</x:f>
        <x:v>1.347422671469644</x:v>
      </x:c>
      <x:c r="T58" s="65" t="n">
        <x:f>IF(J58&lt;=0,0,IF(ABS(S58-1)&lt;1E-9,'Calc_Case'!N6/('Calc_Case'!N6+1),(1-POWER(S58,-'Calc_Case'!N6))/(1-POWER(S58,-'Calc_Case'!N6-1))))</x:f>
        <x:v>0.774108884480893</x:v>
      </x:c>
      <x:c r="U58" s="65" t="n">
        <x:f>IF(J58&lt;=0,0,'In_Cases'!Q6*MAX(0,K58-T58*R58))</x:f>
        <x:v>3652.9946837290463</x:v>
      </x:c>
      <x:c r="V58" s="65" t="n">
        <x:f>MAX(0,1-I58-J58)</x:f>
        <x:v>0</x:v>
      </x:c>
      <x:c r="W58" s="65" t="n">
        <x:f>'In_Cases'!T6*(H58+'In_Cases'!S6*('In_Cases'!O6-H58))+(1-'In_Cases'!T6)*'In_Cases'!O6</x:f>
        <x:v>21.046555555555557</x:v>
      </x:c>
      <x:c r="X58" s="65" t="n">
        <x:f>'In_Cases'!T6*(H58+'In_Cases'!S6*('In_Cases'!P6-H58))+(1-'In_Cases'!T6)*'In_Cases'!P6</x:f>
        <x:v>23.446555555555555</x:v>
      </x:c>
      <x:c r="Y58" s="65" t="n">
        <x:f>'In_Cases'!T6*(H58+'In_Cases'!S6*((('In_Cases'!O6+'In_Cases'!P6)/2)-H58))+(1-'In_Cases'!T6)*(('In_Cases'!O6+'In_Cases'!P6)/2)</x:f>
        <x:v>22.246555555555556</x:v>
      </x:c>
      <x:c r="Z58" s="65" t="n">
        <x:f>'In_Cases'!R6*M58*('In_Cases'!U6-W58)*G58*I58/1000</x:f>
        <x:v>0</x:v>
      </x:c>
      <x:c r="AA58" s="65" t="n">
        <x:f>'In_Cases'!R6*M58*('In_Cases'!V6-X58)*G58*J58/1000</x:f>
        <x:v>-330.3552383215628</x:v>
      </x:c>
      <x:c r="AB58" s="65" t="n">
        <x:f>'In_Cases'!R6*M58*('In_Cases'!V6-Y58)*G58*V58/1000</x:f>
        <x:v>0</x:v>
      </x:c>
      <x:c r="AC58" s="65" t="n">
        <x:f>MAX(0,Z58)+MAX(0,AA58)+MAX(0,AB58)</x:f>
        <x:v>0</x:v>
      </x:c>
      <x:c r="AD58" s="65" t="n">
        <x:f>MAX(0,-Z58)+MAX(0,-AA58)+MAX(0,-AB58)</x:f>
        <x:v>330.3552383215628</x:v>
      </x:c>
      <x:c r="AE58" s="65" t="n">
        <x:f>Q58+AC58</x:f>
        <x:v>0</x:v>
      </x:c>
      <x:c r="AF58" s="65" t="n">
        <x:f>U58+AD58</x:f>
        <x:v>3983.349922050609</x:v>
      </x:c>
    </x:row>
    <x:row r="59">
      <x:c r="A59" s="39" t="str">
        <x:f>'In_Monthly'!A59</x:f>
        <x:v>18|lower</x:v>
      </x:c>
      <x:c r="B59" s="39" t="str">
        <x:f>'In_Monthly'!B59</x:f>
        <x:v>18</x:v>
      </x:c>
      <x:c r="C59" s="39" t="str">
        <x:f>'In_Monthly'!C59</x:f>
        <x:v>Test building 2</x:v>
      </x:c>
      <x:c r="D59" s="39" t="str">
        <x:f>'In_Monthly'!D59</x:f>
        <x:v>lower</x:v>
      </x:c>
      <x:c r="E59" s="39" t="str">
        <x:f>'In_Monthly'!E59</x:f>
        <x:v>2023-10</x:v>
      </x:c>
      <x:c r="F59" s="65" t="n">
        <x:f>'In_Monthly'!F59</x:f>
        <x:v>31</x:v>
      </x:c>
      <x:c r="G59" s="65" t="n">
        <x:f>F59*24</x:f>
        <x:v>744</x:v>
      </x:c>
      <x:c r="H59" s="65" t="n">
        <x:f>'In_Monthly'!G59</x:f>
        <x:v>13.926209677419354</x:v>
      </x:c>
      <x:c r="I59" s="65" t="n">
        <x:f>'In_Monthly'!K59</x:f>
        <x:v>0.5483870967741935</x:v>
      </x:c>
      <x:c r="J59" s="65" t="n">
        <x:f>'In_Monthly'!L59</x:f>
        <x:v>0</x:v>
      </x:c>
      <x:c r="K59" s="65" t="n">
        <x:f>'In_Monthly'!J59*G59/1000</x:f>
        <x:v>8217.840112278484</x:v>
      </x:c>
      <x:c r="L59" s="65" t="n">
        <x:f>'Calc_Case'!E6+'Calc_Case'!F6+'Calc_Case'!G6</x:f>
        <x:v>903.4340683360252</x:v>
      </x:c>
      <x:c r="M59" s="65" t="n">
        <x:f>'Calc_Case'!H6</x:f>
        <x:v>1027.4795916943362</x:v>
      </x:c>
      <x:c r="N59" s="65" t="n">
        <x:f>(L59*('In_Cases'!O6-H59)+M59*('In_Cases'!O6-'In_Cases'!U6))*G59*I59/1000</x:f>
        <x:v>2976.0079931125933</x:v>
      </x:c>
      <x:c r="O59" s="65" t="n">
        <x:f>IF(N59&lt;=0,"",K59/N59)</x:f>
        <x:v>2.7613635888401906</x:v>
      </x:c>
      <x:c r="P59" s="65" t="n">
        <x:f>IF(N59&lt;=0,0,IF(ABS(O59-1)&lt;1E-9,'Calc_Case'!N6/('Calc_Case'!N6+1),(1-POWER(O59,'Calc_Case'!N6))/(1-POWER(O59,'Calc_Case'!N6+1))))</x:f>
        <x:v>0.3342462921574929</x:v>
      </x:c>
      <x:c r="Q59" s="65" t="n">
        <x:f>IF(N59&lt;=0,0,MAX(0,N59-P59*K59))</x:f>
        <x:v>229.22540604039523</x:v>
      </x:c>
      <x:c r="R59" s="65" t="n">
        <x:f>IF(J59&lt;=0,0,MAX(1E-12,(L59*('In_Cases'!P6-H59)+M59*('In_Cases'!P6-'In_Cases'!V6))*G59*J59/1000))</x:f>
        <x:v>0</x:v>
      </x:c>
      <x:c r="S59" s="65" t="str">
        <x:f>IF(J59&lt;=0,"",K59/R59)</x:f>
      </x:c>
      <x:c r="T59" s="65" t="n">
        <x:f>IF(J59&lt;=0,0,IF(ABS(S59-1)&lt;1E-9,'Calc_Case'!N6/('Calc_Case'!N6+1),(1-POWER(S59,-'Calc_Case'!N6))/(1-POWER(S59,-'Calc_Case'!N6-1))))</x:f>
        <x:v>0</x:v>
      </x:c>
      <x:c r="U59" s="65" t="n">
        <x:f>IF(J59&lt;=0,0,'In_Cases'!Q6*MAX(0,K59-T59*R59))</x:f>
        <x:v>0</x:v>
      </x:c>
      <x:c r="V59" s="65" t="n">
        <x:f>MAX(0,1-I59-J59)</x:f>
        <x:v>0.4516129032258065</x:v>
      </x:c>
      <x:c r="W59" s="65" t="n">
        <x:f>'In_Cases'!T6*(H59+'In_Cases'!S6*('In_Cases'!O6-H59))+(1-'In_Cases'!T6)*'In_Cases'!O6</x:f>
        <x:v>18.77048387096774</x:v>
      </x:c>
      <x:c r="X59" s="65" t="n">
        <x:f>'In_Cases'!T6*(H59+'In_Cases'!S6*('In_Cases'!P6-H59))+(1-'In_Cases'!T6)*'In_Cases'!P6</x:f>
        <x:v>21.170483870967743</x:v>
      </x:c>
      <x:c r="Y59" s="65" t="n">
        <x:f>'In_Cases'!T6*(H59+'In_Cases'!S6*((('In_Cases'!O6+'In_Cases'!P6)/2)-H59))+(1-'In_Cases'!T6)*(('In_Cases'!O6+'In_Cases'!P6)/2)</x:f>
        <x:v>19.97048387096774</x:v>
      </x:c>
      <x:c r="Z59" s="65" t="n">
        <x:f>'In_Cases'!R6*M59*('In_Cases'!U6-W59)*G59*I59/1000</x:f>
        <x:v>1353.8508607603621</x:v>
      </x:c>
      <x:c r="AA59" s="65" t="n">
        <x:f>'In_Cases'!R6*M59*('In_Cases'!V6-X59)*G59*J59/1000</x:f>
        <x:v>0</x:v>
      </x:c>
      <x:c r="AB59" s="65" t="n">
        <x:f>'In_Cases'!R6*M59*('In_Cases'!V6-Y59)*G59*V59/1000</x:f>
        <x:v>1045.8893744172628</x:v>
      </x:c>
      <x:c r="AC59" s="65" t="n">
        <x:f>MAX(0,Z59)+MAX(0,AA59)+MAX(0,AB59)</x:f>
        <x:v>2399.740235177625</x:v>
      </x:c>
      <x:c r="AD59" s="65" t="n">
        <x:f>MAX(0,-Z59)+MAX(0,-AA59)+MAX(0,-AB59)</x:f>
        <x:v>0</x:v>
      </x:c>
      <x:c r="AE59" s="65" t="n">
        <x:f>Q59+AC59</x:f>
        <x:v>2628.96564121802</x:v>
      </x:c>
      <x:c r="AF59" s="65" t="n">
        <x:f>U59+AD59</x:f>
        <x:v>0</x:v>
      </x:c>
    </x:row>
    <x:row r="60">
      <x:c r="A60" s="39" t="str">
        <x:f>'In_Monthly'!A60</x:f>
        <x:v>18|lower</x:v>
      </x:c>
      <x:c r="B60" s="39" t="str">
        <x:f>'In_Monthly'!B60</x:f>
        <x:v>18</x:v>
      </x:c>
      <x:c r="C60" s="39" t="str">
        <x:f>'In_Monthly'!C60</x:f>
        <x:v>Test building 2</x:v>
      </x:c>
      <x:c r="D60" s="39" t="str">
        <x:f>'In_Monthly'!D60</x:f>
        <x:v>lower</x:v>
      </x:c>
      <x:c r="E60" s="39" t="str">
        <x:f>'In_Monthly'!E60</x:f>
        <x:v>2023-11</x:v>
      </x:c>
      <x:c r="F60" s="65" t="n">
        <x:f>'In_Monthly'!F60</x:f>
        <x:v>30</x:v>
      </x:c>
      <x:c r="G60" s="65" t="n">
        <x:f>F60*24</x:f>
        <x:v>720</x:v>
      </x:c>
      <x:c r="H60" s="65" t="n">
        <x:f>'In_Monthly'!G60</x:f>
        <x:v>8.68388888888889</x:v>
      </x:c>
      <x:c r="I60" s="65" t="n">
        <x:f>'In_Monthly'!K60</x:f>
        <x:v>1</x:v>
      </x:c>
      <x:c r="J60" s="65" t="n">
        <x:f>'In_Monthly'!L60</x:f>
        <x:v>0</x:v>
      </x:c>
      <x:c r="K60" s="65" t="n">
        <x:f>'In_Monthly'!J60*G60/1000</x:f>
        <x:v>7239.268544050754</x:v>
      </x:c>
      <x:c r="L60" s="65" t="n">
        <x:f>'Calc_Case'!E6+'Calc_Case'!F6+'Calc_Case'!G6</x:f>
        <x:v>903.4340683360252</x:v>
      </x:c>
      <x:c r="M60" s="65" t="n">
        <x:f>'Calc_Case'!H6</x:f>
        <x:v>1027.4795916943362</x:v>
      </x:c>
      <x:c r="N60" s="65" t="n">
        <x:f>(L60*('In_Cases'!O6-H60)+M60*('In_Cases'!O6-'In_Cases'!U6))*G60*I60/1000</x:f>
        <x:v>8661.764473578476</x:v>
      </x:c>
      <x:c r="O60" s="65" t="n">
        <x:f>IF(N60&lt;=0,"",K60/N60)</x:f>
        <x:v>0.8357729612867157</x:v>
      </x:c>
      <x:c r="P60" s="65" t="n">
        <x:f>IF(N60&lt;=0,0,IF(ABS(O60-1)&lt;1E-9,'Calc_Case'!N6/('Calc_Case'!N6+1),(1-POWER(O60,'Calc_Case'!N6))/(1-POWER(O60,'Calc_Case'!N6+1))))</x:f>
        <x:v>0.7384421366830455</x:v>
      </x:c>
      <x:c r="Q60" s="65" t="n">
        <x:f>IF(N60&lt;=0,0,MAX(0,N60-P60*K60))</x:f>
        <x:v>3315.983541887278</x:v>
      </x:c>
      <x:c r="R60" s="65" t="n">
        <x:f>IF(J60&lt;=0,0,MAX(1E-12,(L60*('In_Cases'!P6-H60)+M60*('In_Cases'!P6-'In_Cases'!V6))*G60*J60/1000))</x:f>
        <x:v>0</x:v>
      </x:c>
      <x:c r="S60" s="65" t="str">
        <x:f>IF(J60&lt;=0,"",K60/R60)</x:f>
      </x:c>
      <x:c r="T60" s="65" t="n">
        <x:f>IF(J60&lt;=0,0,IF(ABS(S60-1)&lt;1E-9,'Calc_Case'!N6/('Calc_Case'!N6+1),(1-POWER(S60,-'Calc_Case'!N6))/(1-POWER(S60,-'Calc_Case'!N6-1))))</x:f>
        <x:v>0</x:v>
      </x:c>
      <x:c r="U60" s="65" t="n">
        <x:f>IF(J60&lt;=0,0,'In_Cases'!Q6*MAX(0,K60-T60*R60))</x:f>
        <x:v>0</x:v>
      </x:c>
      <x:c r="V60" s="65" t="n">
        <x:f>MAX(0,1-I60-J60)</x:f>
        <x:v>0</x:v>
      </x:c>
      <x:c r="W60" s="65" t="n">
        <x:f>'In_Cases'!T6*(H60+'In_Cases'!S6*('In_Cases'!O6-H60))+(1-'In_Cases'!T6)*'In_Cases'!O6</x:f>
        <x:v>16.673555555555556</x:v>
      </x:c>
      <x:c r="X60" s="65" t="n">
        <x:f>'In_Cases'!T6*(H60+'In_Cases'!S6*('In_Cases'!P6-H60))+(1-'In_Cases'!T6)*'In_Cases'!P6</x:f>
        <x:v>19.073555555555558</x:v>
      </x:c>
      <x:c r="Y60" s="65" t="n">
        <x:f>'In_Cases'!T6*(H60+'In_Cases'!S6*((('In_Cases'!O6+'In_Cases'!P6)/2)-H60))+(1-'In_Cases'!T6)*(('In_Cases'!O6+'In_Cases'!P6)/2)</x:f>
        <x:v>17.873555555555555</x:v>
      </x:c>
      <x:c r="Z60" s="65" t="n">
        <x:f>'In_Cases'!R6*M60*('In_Cases'!U6-W60)*G60*I60/1000</x:f>
        <x:v>3940.4253333314477</x:v>
      </x:c>
      <x:c r="AA60" s="65" t="n">
        <x:f>'In_Cases'!R6*M60*('In_Cases'!V6-X60)*G60*J60/1000</x:f>
        <x:v>0</x:v>
      </x:c>
      <x:c r="AB60" s="65" t="n">
        <x:f>'In_Cases'!R6*M60*('In_Cases'!V6-Y60)*G60*V60/1000</x:f>
        <x:v>0</x:v>
      </x:c>
      <x:c r="AC60" s="65" t="n">
        <x:f>MAX(0,Z60)+MAX(0,AA60)+MAX(0,AB60)</x:f>
        <x:v>3940.4253333314477</x:v>
      </x:c>
      <x:c r="AD60" s="65" t="n">
        <x:f>MAX(0,-Z60)+MAX(0,-AA60)+MAX(0,-AB60)</x:f>
        <x:v>0</x:v>
      </x:c>
      <x:c r="AE60" s="65" t="n">
        <x:f>Q60+AC60</x:f>
        <x:v>7256.408875218725</x:v>
      </x:c>
      <x:c r="AF60" s="65" t="n">
        <x:f>U60+AD60</x:f>
        <x:v>0</x:v>
      </x:c>
    </x:row>
    <x:row r="61">
      <x:c r="A61" s="39" t="str">
        <x:f>'In_Monthly'!A61</x:f>
        <x:v>18|lower</x:v>
      </x:c>
      <x:c r="B61" s="39" t="str">
        <x:f>'In_Monthly'!B61</x:f>
        <x:v>18</x:v>
      </x:c>
      <x:c r="C61" s="39" t="str">
        <x:f>'In_Monthly'!C61</x:f>
        <x:v>Test building 2</x:v>
      </x:c>
      <x:c r="D61" s="39" t="str">
        <x:f>'In_Monthly'!D61</x:f>
        <x:v>lower</x:v>
      </x:c>
      <x:c r="E61" s="39" t="str">
        <x:f>'In_Monthly'!E61</x:f>
        <x:v>2023-12</x:v>
      </x:c>
      <x:c r="F61" s="65" t="n">
        <x:f>'In_Monthly'!F61</x:f>
        <x:v>31</x:v>
      </x:c>
      <x:c r="G61" s="65" t="n">
        <x:f>F61*24</x:f>
        <x:v>744</x:v>
      </x:c>
      <x:c r="H61" s="65" t="n">
        <x:f>'In_Monthly'!G61</x:f>
        <x:v>3.9963709677419357</x:v>
      </x:c>
      <x:c r="I61" s="65" t="n">
        <x:f>'In_Monthly'!K61</x:f>
        <x:v>1</x:v>
      </x:c>
      <x:c r="J61" s="65" t="n">
        <x:f>'In_Monthly'!L61</x:f>
        <x:v>0</x:v>
      </x:c>
      <x:c r="K61" s="65" t="n">
        <x:f>'In_Monthly'!J61*G61/1000</x:f>
        <x:v>7370.008827058174</x:v>
      </x:c>
      <x:c r="L61" s="65" t="n">
        <x:f>'Calc_Case'!E6+'Calc_Case'!F6+'Calc_Case'!G6</x:f>
        <x:v>903.4340683360252</x:v>
      </x:c>
      <x:c r="M61" s="65" t="n">
        <x:f>'Calc_Case'!H6</x:f>
        <x:v>1027.4795916943362</x:v>
      </x:c>
      <x:c r="N61" s="65" t="n">
        <x:f>(L61*('In_Cases'!O6-H61)+M61*('In_Cases'!O6-'In_Cases'!U6))*G61*I61/1000</x:f>
        <x:v>12101.228315140557</x:v>
      </x:c>
      <x:c r="O61" s="65" t="n">
        <x:f>IF(N61&lt;=0,"",K61/N61)</x:f>
        <x:v>0.6090298137617256</x:v>
      </x:c>
      <x:c r="P61" s="65" t="n">
        <x:f>IF(N61&lt;=0,0,IF(ABS(O61-1)&lt;1E-9,'Calc_Case'!N6/('Calc_Case'!N6+1),(1-POWER(O61,'Calc_Case'!N6))/(1-POWER(O61,'Calc_Case'!N6+1))))</x:f>
        <x:v>0.8267841742260479</x:v>
      </x:c>
      <x:c r="Q61" s="65" t="n">
        <x:f>IF(N61&lt;=0,0,MAX(0,N61-P61*K61))</x:f>
        <x:v>6007.821653022582</x:v>
      </x:c>
      <x:c r="R61" s="65" t="n">
        <x:f>IF(J61&lt;=0,0,MAX(1E-12,(L61*('In_Cases'!P6-H61)+M61*('In_Cases'!P6-'In_Cases'!V6))*G61*J61/1000))</x:f>
        <x:v>0</x:v>
      </x:c>
      <x:c r="S61" s="65" t="str">
        <x:f>IF(J61&lt;=0,"",K61/R61)</x:f>
      </x:c>
      <x:c r="T61" s="65" t="n">
        <x:f>IF(J61&lt;=0,0,IF(ABS(S61-1)&lt;1E-9,'Calc_Case'!N6/('Calc_Case'!N6+1),(1-POWER(S61,-'Calc_Case'!N6))/(1-POWER(S61,-'Calc_Case'!N6-1))))</x:f>
        <x:v>0</x:v>
      </x:c>
      <x:c r="U61" s="65" t="n">
        <x:f>IF(J61&lt;=0,0,'In_Cases'!Q6*MAX(0,K61-T61*R61))</x:f>
        <x:v>0</x:v>
      </x:c>
      <x:c r="V61" s="65" t="n">
        <x:f>MAX(0,1-I61-J61)</x:f>
        <x:v>0</x:v>
      </x:c>
      <x:c r="W61" s="65" t="n">
        <x:f>'In_Cases'!T6*(H61+'In_Cases'!S6*('In_Cases'!O6-H61))+(1-'In_Cases'!T6)*'In_Cases'!O6</x:f>
        <x:v>14.798548387096774</x:v>
      </x:c>
      <x:c r="X61" s="65" t="n">
        <x:f>'In_Cases'!T6*(H61+'In_Cases'!S6*('In_Cases'!P6-H61))+(1-'In_Cases'!T6)*'In_Cases'!P6</x:f>
        <x:v>17.198548387096775</x:v>
      </x:c>
      <x:c r="Y61" s="65" t="n">
        <x:f>'In_Cases'!T6*(H61+'In_Cases'!S6*((('In_Cases'!O6+'In_Cases'!P6)/2)-H61))+(1-'In_Cases'!T6)*(('In_Cases'!O6+'In_Cases'!P6)/2)</x:f>
        <x:v>15.998548387096774</x:v>
      </x:c>
      <x:c r="Z61" s="65" t="n">
        <x:f>'In_Cases'!R6*M61*('In_Cases'!U6-W61)*G61*I61/1000</x:f>
        <x:v>5505.11235474725</x:v>
      </x:c>
      <x:c r="AA61" s="65" t="n">
        <x:f>'In_Cases'!R6*M61*('In_Cases'!V6-X61)*G61*J61/1000</x:f>
        <x:v>0</x:v>
      </x:c>
      <x:c r="AB61" s="65" t="n">
        <x:f>'In_Cases'!R6*M61*('In_Cases'!V6-Y61)*G61*V61/1000</x:f>
        <x:v>0</x:v>
      </x:c>
      <x:c r="AC61" s="65" t="n">
        <x:f>MAX(0,Z61)+MAX(0,AA61)+MAX(0,AB61)</x:f>
        <x:v>5505.11235474725</x:v>
      </x:c>
      <x:c r="AD61" s="65" t="n">
        <x:f>MAX(0,-Z61)+MAX(0,-AA61)+MAX(0,-AB61)</x:f>
        <x:v>0</x:v>
      </x:c>
      <x:c r="AE61" s="65" t="n">
        <x:f>Q61+AC61</x:f>
        <x:v>11512.934007769833</x:v>
      </x:c>
      <x:c r="AF61" s="65" t="n">
        <x:f>U61+AD61</x:f>
        <x:v>0</x:v>
      </x:c>
    </x:row>
    <x:row r="62">
      <x:c r="A62" s="39" t="str">
        <x:f>'In_Monthly'!A62</x:f>
        <x:v>18|upper</x:v>
      </x:c>
      <x:c r="B62" s="39" t="str">
        <x:f>'In_Monthly'!B62</x:f>
        <x:v>18</x:v>
      </x:c>
      <x:c r="C62" s="39" t="str">
        <x:f>'In_Monthly'!C62</x:f>
        <x:v>Test building 2</x:v>
      </x:c>
      <x:c r="D62" s="39" t="str">
        <x:f>'In_Monthly'!D62</x:f>
        <x:v>upper</x:v>
      </x:c>
      <x:c r="E62" s="39" t="str">
        <x:f>'In_Monthly'!E62</x:f>
        <x:v>2023-01</x:v>
      </x:c>
      <x:c r="F62" s="65" t="n">
        <x:f>'In_Monthly'!F62</x:f>
        <x:v>31</x:v>
      </x:c>
      <x:c r="G62" s="65" t="n">
        <x:f>F62*24</x:f>
        <x:v>744</x:v>
      </x:c>
      <x:c r="H62" s="65" t="n">
        <x:f>'In_Monthly'!G62</x:f>
        <x:v>2.638440860215054</x:v>
      </x:c>
      <x:c r="I62" s="65" t="n">
        <x:f>'In_Monthly'!K62</x:f>
        <x:v>1</x:v>
      </x:c>
      <x:c r="J62" s="65" t="n">
        <x:f>'In_Monthly'!L62</x:f>
        <x:v>0</x:v>
      </x:c>
      <x:c r="K62" s="65" t="n">
        <x:f>'In_Monthly'!J62*G62/1000</x:f>
        <x:v>1394.2756749389914</x:v>
      </x:c>
      <x:c r="L62" s="65" t="n">
        <x:f>'Calc_Case'!E7+'Calc_Case'!F7+'Calc_Case'!G7</x:f>
        <x:v>1566.8923416136743</x:v>
      </x:c>
      <x:c r="M62" s="65" t="n">
        <x:f>'Calc_Case'!H7</x:f>
        <x:v>0</x:v>
      </x:c>
      <x:c r="N62" s="65" t="n">
        <x:f>(L62*('In_Cases'!O7-H62)+M62*('In_Cases'!O7-'In_Cases'!U7))*G62*I62/1000</x:f>
        <x:v>20239.54837662383</x:v>
      </x:c>
      <x:c r="O62" s="65" t="n">
        <x:f>IF(N62&lt;=0,"",K62/N62)</x:f>
        <x:v>0.06888867523098217</x:v>
      </x:c>
      <x:c r="P62" s="65" t="n">
        <x:f>IF(N62&lt;=0,0,IF(ABS(O62-1)&lt;1E-9,'Calc_Case'!N7/('Calc_Case'!N7+1),(1-POWER(O62,'Calc_Case'!N7))/(1-POWER(O62,'Calc_Case'!N7+1))))</x:f>
        <x:v>0.9973847145835179</x:v>
      </x:c>
      <x:c r="Q62" s="65" t="n">
        <x:f>IF(N62&lt;=0,0,MAX(0,N62-P62*K62))</x:f>
        <x:v>18848.91913052406</x:v>
      </x:c>
      <x:c r="R62" s="65" t="n">
        <x:f>IF(J62&lt;=0,0,MAX(1E-12,(L62*('In_Cases'!P7-H62)+M62*('In_Cases'!P7-'In_Cases'!V7))*G62*J62/1000))</x:f>
        <x:v>0</x:v>
      </x:c>
      <x:c r="S62" s="65" t="str">
        <x:f>IF(J62&lt;=0,"",K62/R62)</x:f>
      </x:c>
      <x:c r="T62" s="65" t="n">
        <x:f>IF(J62&lt;=0,0,IF(ABS(S62-1)&lt;1E-9,'Calc_Case'!N7/('Calc_Case'!N7+1),(1-POWER(S62,-'Calc_Case'!N7))/(1-POWER(S62,-'Calc_Case'!N7-1))))</x:f>
        <x:v>0</x:v>
      </x:c>
      <x:c r="U62" s="65" t="n">
        <x:f>IF(J62&lt;=0,0,'In_Cases'!Q7*MAX(0,K62-T62*R62))</x:f>
        <x:v>0</x:v>
      </x:c>
      <x:c r="V62" s="65" t="n">
        <x:f>MAX(0,1-I62-J62)</x:f>
        <x:v>0</x:v>
      </x:c>
      <x:c r="W62" s="65" t="n">
        <x:f>'In_Cases'!T7*(H62+'In_Cases'!S7*('In_Cases'!O7-H62))+(1-'In_Cases'!T7)*'In_Cases'!O7</x:f>
        <x:v>2.638440860215054</x:v>
      </x:c>
      <x:c r="X62" s="65" t="n">
        <x:f>'In_Cases'!T7*(H62+'In_Cases'!S7*('In_Cases'!P7-H62))+(1-'In_Cases'!T7)*'In_Cases'!P7</x:f>
        <x:v>2.638440860215054</x:v>
      </x:c>
      <x:c r="Y62" s="65" t="n">
        <x:f>'In_Cases'!T7*(H62+'In_Cases'!S7*((('In_Cases'!O7+'In_Cases'!P7)/2)-H62))+(1-'In_Cases'!T7)*(('In_Cases'!O7+'In_Cases'!P7)/2)</x:f>
        <x:v>2.638440860215054</x:v>
      </x:c>
      <x:c r="Z62" s="65" t="n">
        <x:f>'In_Cases'!R7*M62*('In_Cases'!U7-W62)*G62*I62/1000</x:f>
        <x:v>0</x:v>
      </x:c>
      <x:c r="AA62" s="65" t="n">
        <x:f>'In_Cases'!R7*M62*('In_Cases'!V7-X62)*G62*J62/1000</x:f>
        <x:v>0</x:v>
      </x:c>
      <x:c r="AB62" s="65" t="n">
        <x:f>'In_Cases'!R7*M62*('In_Cases'!V7-Y62)*G62*V62/1000</x:f>
        <x:v>0</x:v>
      </x:c>
      <x:c r="AC62" s="65" t="n">
        <x:f>MAX(0,Z62)+MAX(0,AA62)+MAX(0,AB62)</x:f>
        <x:v>0</x:v>
      </x:c>
      <x:c r="AD62" s="65" t="n">
        <x:f>MAX(0,-Z62)+MAX(0,-AA62)+MAX(0,-AB62)</x:f>
        <x:v>0</x:v>
      </x:c>
      <x:c r="AE62" s="65" t="n">
        <x:f>Q62+AC62</x:f>
        <x:v>18848.91913052406</x:v>
      </x:c>
      <x:c r="AF62" s="65" t="n">
        <x:f>U62+AD62</x:f>
        <x:v>0</x:v>
      </x:c>
    </x:row>
    <x:row r="63">
      <x:c r="A63" s="39" t="str">
        <x:f>'In_Monthly'!A63</x:f>
        <x:v>18|upper</x:v>
      </x:c>
      <x:c r="B63" s="39" t="str">
        <x:f>'In_Monthly'!B63</x:f>
        <x:v>18</x:v>
      </x:c>
      <x:c r="C63" s="39" t="str">
        <x:f>'In_Monthly'!C63</x:f>
        <x:v>Test building 2</x:v>
      </x:c>
      <x:c r="D63" s="39" t="str">
        <x:f>'In_Monthly'!D63</x:f>
        <x:v>upper</x:v>
      </x:c>
      <x:c r="E63" s="39" t="str">
        <x:f>'In_Monthly'!E63</x:f>
        <x:v>2023-02</x:v>
      </x:c>
      <x:c r="F63" s="65" t="n">
        <x:f>'In_Monthly'!F63</x:f>
        <x:v>28</x:v>
      </x:c>
      <x:c r="G63" s="65" t="n">
        <x:f>F63*24</x:f>
        <x:v>672</x:v>
      </x:c>
      <x:c r="H63" s="65" t="n">
        <x:f>'In_Monthly'!G63</x:f>
        <x:v>3.8903273809523813</x:v>
      </x:c>
      <x:c r="I63" s="65" t="n">
        <x:f>'In_Monthly'!K63</x:f>
        <x:v>1</x:v>
      </x:c>
      <x:c r="J63" s="65" t="n">
        <x:f>'In_Monthly'!L63</x:f>
        <x:v>0</x:v>
      </x:c>
      <x:c r="K63" s="65" t="n">
        <x:f>'In_Monthly'!J63*G63/1000</x:f>
        <x:v>1788.971781998956</x:v>
      </x:c>
      <x:c r="L63" s="65" t="n">
        <x:f>'Calc_Case'!E7+'Calc_Case'!F7+'Calc_Case'!G7</x:f>
        <x:v>1566.8923416136743</x:v>
      </x:c>
      <x:c r="M63" s="65" t="n">
        <x:f>'Calc_Case'!H7</x:f>
        <x:v>0</x:v>
      </x:c>
      <x:c r="N63" s="65" t="n">
        <x:f>(L63*('In_Cases'!O7-H63)+M63*('In_Cases'!O7-'In_Cases'!U7))*G63*I63/1000</x:f>
        <x:v>16962.706422607152</x:v>
      </x:c>
      <x:c r="O63" s="65" t="n">
        <x:f>IF(N63&lt;=0,"",K63/N63)</x:f>
        <x:v>0.10546499700158064</x:v>
      </x:c>
      <x:c r="P63" s="65" t="n">
        <x:f>IF(N63&lt;=0,0,IF(ABS(O63-1)&lt;1E-9,'Calc_Case'!N7/('Calc_Case'!N7+1),(1-POWER(O63,'Calc_Case'!N7))/(1-POWER(O63,'Calc_Case'!N7+1))))</x:f>
        <x:v>0.9935944843616986</x:v>
      </x:c>
      <x:c r="Q63" s="65" t="n">
        <x:f>IF(N63&lt;=0,0,MAX(0,N63-P63*K63))</x:f>
        <x:v>15185.19392733427</x:v>
      </x:c>
      <x:c r="R63" s="65" t="n">
        <x:f>IF(J63&lt;=0,0,MAX(1E-12,(L63*('In_Cases'!P7-H63)+M63*('In_Cases'!P7-'In_Cases'!V7))*G63*J63/1000))</x:f>
        <x:v>0</x:v>
      </x:c>
      <x:c r="S63" s="65" t="str">
        <x:f>IF(J63&lt;=0,"",K63/R63)</x:f>
      </x:c>
      <x:c r="T63" s="65" t="n">
        <x:f>IF(J63&lt;=0,0,IF(ABS(S63-1)&lt;1E-9,'Calc_Case'!N7/('Calc_Case'!N7+1),(1-POWER(S63,-'Calc_Case'!N7))/(1-POWER(S63,-'Calc_Case'!N7-1))))</x:f>
        <x:v>0</x:v>
      </x:c>
      <x:c r="U63" s="65" t="n">
        <x:f>IF(J63&lt;=0,0,'In_Cases'!Q7*MAX(0,K63-T63*R63))</x:f>
        <x:v>0</x:v>
      </x:c>
      <x:c r="V63" s="65" t="n">
        <x:f>MAX(0,1-I63-J63)</x:f>
        <x:v>0</x:v>
      </x:c>
      <x:c r="W63" s="65" t="n">
        <x:f>'In_Cases'!T7*(H63+'In_Cases'!S7*('In_Cases'!O7-H63))+(1-'In_Cases'!T7)*'In_Cases'!O7</x:f>
        <x:v>3.8903273809523813</x:v>
      </x:c>
      <x:c r="X63" s="65" t="n">
        <x:f>'In_Cases'!T7*(H63+'In_Cases'!S7*('In_Cases'!P7-H63))+(1-'In_Cases'!T7)*'In_Cases'!P7</x:f>
        <x:v>3.8903273809523813</x:v>
      </x:c>
      <x:c r="Y63" s="65" t="n">
        <x:f>'In_Cases'!T7*(H63+'In_Cases'!S7*((('In_Cases'!O7+'In_Cases'!P7)/2)-H63))+(1-'In_Cases'!T7)*(('In_Cases'!O7+'In_Cases'!P7)/2)</x:f>
        <x:v>3.8903273809523813</x:v>
      </x:c>
      <x:c r="Z63" s="65" t="n">
        <x:f>'In_Cases'!R7*M63*('In_Cases'!U7-W63)*G63*I63/1000</x:f>
        <x:v>0</x:v>
      </x:c>
      <x:c r="AA63" s="65" t="n">
        <x:f>'In_Cases'!R7*M63*('In_Cases'!V7-X63)*G63*J63/1000</x:f>
        <x:v>0</x:v>
      </x:c>
      <x:c r="AB63" s="65" t="n">
        <x:f>'In_Cases'!R7*M63*('In_Cases'!V7-Y63)*G63*V63/1000</x:f>
        <x:v>0</x:v>
      </x:c>
      <x:c r="AC63" s="65" t="n">
        <x:f>MAX(0,Z63)+MAX(0,AA63)+MAX(0,AB63)</x:f>
        <x:v>0</x:v>
      </x:c>
      <x:c r="AD63" s="65" t="n">
        <x:f>MAX(0,-Z63)+MAX(0,-AA63)+MAX(0,-AB63)</x:f>
        <x:v>0</x:v>
      </x:c>
      <x:c r="AE63" s="65" t="n">
        <x:f>Q63+AC63</x:f>
        <x:v>15185.19392733427</x:v>
      </x:c>
      <x:c r="AF63" s="65" t="n">
        <x:f>U63+AD63</x:f>
        <x:v>0</x:v>
      </x:c>
    </x:row>
    <x:row r="64">
      <x:c r="A64" s="39" t="str">
        <x:f>'In_Monthly'!A64</x:f>
        <x:v>18|upper</x:v>
      </x:c>
      <x:c r="B64" s="39" t="str">
        <x:f>'In_Monthly'!B64</x:f>
        <x:v>18</x:v>
      </x:c>
      <x:c r="C64" s="39" t="str">
        <x:f>'In_Monthly'!C64</x:f>
        <x:v>Test building 2</x:v>
      </x:c>
      <x:c r="D64" s="39" t="str">
        <x:f>'In_Monthly'!D64</x:f>
        <x:v>upper</x:v>
      </x:c>
      <x:c r="E64" s="39" t="str">
        <x:f>'In_Monthly'!E64</x:f>
        <x:v>2023-03</x:v>
      </x:c>
      <x:c r="F64" s="65" t="n">
        <x:f>'In_Monthly'!F64</x:f>
        <x:v>31</x:v>
      </x:c>
      <x:c r="G64" s="65" t="n">
        <x:f>F64*24</x:f>
        <x:v>744</x:v>
      </x:c>
      <x:c r="H64" s="65" t="n">
        <x:f>'In_Monthly'!G64</x:f>
        <x:v>7.746908602150539</x:v>
      </x:c>
      <x:c r="I64" s="65" t="n">
        <x:f>'In_Monthly'!K64</x:f>
        <x:v>1</x:v>
      </x:c>
      <x:c r="J64" s="65" t="n">
        <x:f>'In_Monthly'!L64</x:f>
        <x:v>0</x:v>
      </x:c>
      <x:c r="K64" s="65" t="n">
        <x:f>'In_Monthly'!J64*G64/1000</x:f>
        <x:v>3870.409262102637</x:v>
      </x:c>
      <x:c r="L64" s="65" t="n">
        <x:f>'Calc_Case'!E7+'Calc_Case'!F7+'Calc_Case'!G7</x:f>
        <x:v>1566.8923416136743</x:v>
      </x:c>
      <x:c r="M64" s="65" t="n">
        <x:f>'Calc_Case'!H7</x:f>
        <x:v>0</x:v>
      </x:c>
      <x:c r="N64" s="65" t="n">
        <x:f>(L64*('In_Cases'!O7-H64)+M64*('In_Cases'!O7-'In_Cases'!U7))*G64*I64/1000</x:f>
        <x:v>14284.260653852738</x:v>
      </x:c>
      <x:c r="O64" s="65" t="n">
        <x:f>IF(N64&lt;=0,"",K64/N64)</x:f>
        <x:v>0.2709562192887256</x:v>
      </x:c>
      <x:c r="P64" s="65" t="n">
        <x:f>IF(N64&lt;=0,0,IF(ABS(O64-1)&lt;1E-9,'Calc_Case'!N7/('Calc_Case'!N7+1),(1-POWER(O64,'Calc_Case'!N7))/(1-POWER(O64,'Calc_Case'!N7+1))))</x:f>
        <x:v>0.9579203958892081</x:v>
      </x:c>
      <x:c r="Q64" s="65" t="n">
        <x:f>IF(N64&lt;=0,0,MAX(0,N64-P64*K64))</x:f>
        <x:v>10576.716681246122</x:v>
      </x:c>
      <x:c r="R64" s="65" t="n">
        <x:f>IF(J64&lt;=0,0,MAX(1E-12,(L64*('In_Cases'!P7-H64)+M64*('In_Cases'!P7-'In_Cases'!V7))*G64*J64/1000))</x:f>
        <x:v>0</x:v>
      </x:c>
      <x:c r="S64" s="65" t="str">
        <x:f>IF(J64&lt;=0,"",K64/R64)</x:f>
      </x:c>
      <x:c r="T64" s="65" t="n">
        <x:f>IF(J64&lt;=0,0,IF(ABS(S64-1)&lt;1E-9,'Calc_Case'!N7/('Calc_Case'!N7+1),(1-POWER(S64,-'Calc_Case'!N7))/(1-POWER(S64,-'Calc_Case'!N7-1))))</x:f>
        <x:v>0</x:v>
      </x:c>
      <x:c r="U64" s="65" t="n">
        <x:f>IF(J64&lt;=0,0,'In_Cases'!Q7*MAX(0,K64-T64*R64))</x:f>
        <x:v>0</x:v>
      </x:c>
      <x:c r="V64" s="65" t="n">
        <x:f>MAX(0,1-I64-J64)</x:f>
        <x:v>0</x:v>
      </x:c>
      <x:c r="W64" s="65" t="n">
        <x:f>'In_Cases'!T7*(H64+'In_Cases'!S7*('In_Cases'!O7-H64))+(1-'In_Cases'!T7)*'In_Cases'!O7</x:f>
        <x:v>7.746908602150539</x:v>
      </x:c>
      <x:c r="X64" s="65" t="n">
        <x:f>'In_Cases'!T7*(H64+'In_Cases'!S7*('In_Cases'!P7-H64))+(1-'In_Cases'!T7)*'In_Cases'!P7</x:f>
        <x:v>7.746908602150539</x:v>
      </x:c>
      <x:c r="Y64" s="65" t="n">
        <x:f>'In_Cases'!T7*(H64+'In_Cases'!S7*((('In_Cases'!O7+'In_Cases'!P7)/2)-H64))+(1-'In_Cases'!T7)*(('In_Cases'!O7+'In_Cases'!P7)/2)</x:f>
        <x:v>7.746908602150539</x:v>
      </x:c>
      <x:c r="Z64" s="65" t="n">
        <x:f>'In_Cases'!R7*M64*('In_Cases'!U7-W64)*G64*I64/1000</x:f>
        <x:v>0</x:v>
      </x:c>
      <x:c r="AA64" s="65" t="n">
        <x:f>'In_Cases'!R7*M64*('In_Cases'!V7-X64)*G64*J64/1000</x:f>
        <x:v>0</x:v>
      </x:c>
      <x:c r="AB64" s="65" t="n">
        <x:f>'In_Cases'!R7*M64*('In_Cases'!V7-Y64)*G64*V64/1000</x:f>
        <x:v>0</x:v>
      </x:c>
      <x:c r="AC64" s="65" t="n">
        <x:f>MAX(0,Z64)+MAX(0,AA64)+MAX(0,AB64)</x:f>
        <x:v>0</x:v>
      </x:c>
      <x:c r="AD64" s="65" t="n">
        <x:f>MAX(0,-Z64)+MAX(0,-AA64)+MAX(0,-AB64)</x:f>
        <x:v>0</x:v>
      </x:c>
      <x:c r="AE64" s="65" t="n">
        <x:f>Q64+AC64</x:f>
        <x:v>10576.716681246122</x:v>
      </x:c>
      <x:c r="AF64" s="65" t="n">
        <x:f>U64+AD64</x:f>
        <x:v>0</x:v>
      </x:c>
    </x:row>
    <x:row r="65">
      <x:c r="A65" s="39" t="str">
        <x:f>'In_Monthly'!A65</x:f>
        <x:v>18|upper</x:v>
      </x:c>
      <x:c r="B65" s="39" t="str">
        <x:f>'In_Monthly'!B65</x:f>
        <x:v>18</x:v>
      </x:c>
      <x:c r="C65" s="39" t="str">
        <x:f>'In_Monthly'!C65</x:f>
        <x:v>Test building 2</x:v>
      </x:c>
      <x:c r="D65" s="39" t="str">
        <x:f>'In_Monthly'!D65</x:f>
        <x:v>upper</x:v>
      </x:c>
      <x:c r="E65" s="39" t="str">
        <x:f>'In_Monthly'!E65</x:f>
        <x:v>2023-04</x:v>
      </x:c>
      <x:c r="F65" s="65" t="n">
        <x:f>'In_Monthly'!F65</x:f>
        <x:v>30</x:v>
      </x:c>
      <x:c r="G65" s="65" t="n">
        <x:f>F65*24</x:f>
        <x:v>720</x:v>
      </x:c>
      <x:c r="H65" s="65" t="n">
        <x:f>'In_Monthly'!G65</x:f>
        <x:v>12.03041666666667</x:v>
      </x:c>
      <x:c r="I65" s="65" t="n">
        <x:f>'In_Monthly'!K65</x:f>
        <x:v>1</x:v>
      </x:c>
      <x:c r="J65" s="65" t="n">
        <x:f>'In_Monthly'!L65</x:f>
        <x:v>0</x:v>
      </x:c>
      <x:c r="K65" s="65" t="n">
        <x:f>'In_Monthly'!J65*G65/1000</x:f>
        <x:v>4948.163515598815</x:v>
      </x:c>
      <x:c r="L65" s="65" t="n">
        <x:f>'Calc_Case'!E7+'Calc_Case'!F7+'Calc_Case'!G7</x:f>
        <x:v>1566.8923416136743</x:v>
      </x:c>
      <x:c r="M65" s="65" t="n">
        <x:f>'Calc_Case'!H7</x:f>
        <x:v>0</x:v>
      </x:c>
      <x:c r="N65" s="65" t="n">
        <x:f>(L65*('In_Cases'!O7-H65)+M65*('In_Cases'!O7-'In_Cases'!U7))*G65*I65/1000</x:f>
        <x:v>8990.984945413422</x:v>
      </x:c>
      <x:c r="O65" s="65" t="n">
        <x:f>IF(N65&lt;=0,"",K65/N65)</x:f>
        <x:v>0.55034721397493</x:v>
      </x:c>
      <x:c r="P65" s="65" t="n">
        <x:f>IF(N65&lt;=0,0,IF(ABS(O65-1)&lt;1E-9,'Calc_Case'!N7/('Calc_Case'!N7+1),(1-POWER(O65,'Calc_Case'!N7))/(1-POWER(O65,'Calc_Case'!N7+1))))</x:f>
        <x:v>0.8577733376278661</x:v>
      </x:c>
      <x:c r="Q65" s="65" t="n">
        <x:f>IF(N65&lt;=0,0,MAX(0,N65-P65*K65))</x:f>
        <x:v>4746.582211509791</x:v>
      </x:c>
      <x:c r="R65" s="65" t="n">
        <x:f>IF(J65&lt;=0,0,MAX(1E-12,(L65*('In_Cases'!P7-H65)+M65*('In_Cases'!P7-'In_Cases'!V7))*G65*J65/1000))</x:f>
        <x:v>0</x:v>
      </x:c>
      <x:c r="S65" s="65" t="str">
        <x:f>IF(J65&lt;=0,"",K65/R65)</x:f>
      </x:c>
      <x:c r="T65" s="65" t="n">
        <x:f>IF(J65&lt;=0,0,IF(ABS(S65-1)&lt;1E-9,'Calc_Case'!N7/('Calc_Case'!N7+1),(1-POWER(S65,-'Calc_Case'!N7))/(1-POWER(S65,-'Calc_Case'!N7-1))))</x:f>
        <x:v>0</x:v>
      </x:c>
      <x:c r="U65" s="65" t="n">
        <x:f>IF(J65&lt;=0,0,'In_Cases'!Q7*MAX(0,K65-T65*R65))</x:f>
        <x:v>0</x:v>
      </x:c>
      <x:c r="V65" s="65" t="n">
        <x:f>MAX(0,1-I65-J65)</x:f>
        <x:v>0</x:v>
      </x:c>
      <x:c r="W65" s="65" t="n">
        <x:f>'In_Cases'!T7*(H65+'In_Cases'!S7*('In_Cases'!O7-H65))+(1-'In_Cases'!T7)*'In_Cases'!O7</x:f>
        <x:v>12.03041666666667</x:v>
      </x:c>
      <x:c r="X65" s="65" t="n">
        <x:f>'In_Cases'!T7*(H65+'In_Cases'!S7*('In_Cases'!P7-H65))+(1-'In_Cases'!T7)*'In_Cases'!P7</x:f>
        <x:v>12.03041666666667</x:v>
      </x:c>
      <x:c r="Y65" s="65" t="n">
        <x:f>'In_Cases'!T7*(H65+'In_Cases'!S7*((('In_Cases'!O7+'In_Cases'!P7)/2)-H65))+(1-'In_Cases'!T7)*(('In_Cases'!O7+'In_Cases'!P7)/2)</x:f>
        <x:v>12.03041666666667</x:v>
      </x:c>
      <x:c r="Z65" s="65" t="n">
        <x:f>'In_Cases'!R7*M65*('In_Cases'!U7-W65)*G65*I65/1000</x:f>
        <x:v>0</x:v>
      </x:c>
      <x:c r="AA65" s="65" t="n">
        <x:f>'In_Cases'!R7*M65*('In_Cases'!V7-X65)*G65*J65/1000</x:f>
        <x:v>0</x:v>
      </x:c>
      <x:c r="AB65" s="65" t="n">
        <x:f>'In_Cases'!R7*M65*('In_Cases'!V7-Y65)*G65*V65/1000</x:f>
        <x:v>0</x:v>
      </x:c>
      <x:c r="AC65" s="65" t="n">
        <x:f>MAX(0,Z65)+MAX(0,AA65)+MAX(0,AB65)</x:f>
        <x:v>0</x:v>
      </x:c>
      <x:c r="AD65" s="65" t="n">
        <x:f>MAX(0,-Z65)+MAX(0,-AA65)+MAX(0,-AB65)</x:f>
        <x:v>0</x:v>
      </x:c>
      <x:c r="AE65" s="65" t="n">
        <x:f>Q65+AC65</x:f>
        <x:v>4746.582211509791</x:v>
      </x:c>
      <x:c r="AF65" s="65" t="n">
        <x:f>U65+AD65</x:f>
        <x:v>0</x:v>
      </x:c>
    </x:row>
    <x:row r="66">
      <x:c r="A66" s="39" t="str">
        <x:f>'In_Monthly'!A66</x:f>
        <x:v>18|upper</x:v>
      </x:c>
      <x:c r="B66" s="39" t="str">
        <x:f>'In_Monthly'!B66</x:f>
        <x:v>18</x:v>
      </x:c>
      <x:c r="C66" s="39" t="str">
        <x:f>'In_Monthly'!C66</x:f>
        <x:v>Test building 2</x:v>
      </x:c>
      <x:c r="D66" s="39" t="str">
        <x:f>'In_Monthly'!D66</x:f>
        <x:v>upper</x:v>
      </x:c>
      <x:c r="E66" s="39" t="str">
        <x:f>'In_Monthly'!E66</x:f>
        <x:v>2023-05</x:v>
      </x:c>
      <x:c r="F66" s="65" t="n">
        <x:f>'In_Monthly'!F66</x:f>
        <x:v>31</x:v>
      </x:c>
      <x:c r="G66" s="65" t="n">
        <x:f>F66*24</x:f>
        <x:v>744</x:v>
      </x:c>
      <x:c r="H66" s="65" t="n">
        <x:f>'In_Monthly'!G66</x:f>
        <x:v>17.244086021505375</x:v>
      </x:c>
      <x:c r="I66" s="65" t="n">
        <x:f>'In_Monthly'!K66</x:f>
        <x:v>0</x:v>
      </x:c>
      <x:c r="J66" s="65" t="n">
        <x:f>'In_Monthly'!L66</x:f>
        <x:v>0</x:v>
      </x:c>
      <x:c r="K66" s="65" t="n">
        <x:f>'In_Monthly'!J66*G66/1000</x:f>
        <x:v>6335.754162462015</x:v>
      </x:c>
      <x:c r="L66" s="65" t="n">
        <x:f>'Calc_Case'!E7+'Calc_Case'!F7+'Calc_Case'!G7</x:f>
        <x:v>1566.8923416136743</x:v>
      </x:c>
      <x:c r="M66" s="65" t="n">
        <x:f>'Calc_Case'!H7</x:f>
        <x:v>0</x:v>
      </x:c>
      <x:c r="N66" s="65" t="n">
        <x:f>(L66*('In_Cases'!O7-H66)+M66*('In_Cases'!O7-'In_Cases'!U7))*G66*I66/1000</x:f>
        <x:v>0</x:v>
      </x:c>
      <x:c r="O66" s="65" t="str">
        <x:f>IF(N66&lt;=0,"",K66/N66)</x:f>
      </x:c>
      <x:c r="P66" s="65" t="n">
        <x:f>IF(N66&lt;=0,0,IF(ABS(O66-1)&lt;1E-9,'Calc_Case'!N7/('Calc_Case'!N7+1),(1-POWER(O66,'Calc_Case'!N7))/(1-POWER(O66,'Calc_Case'!N7+1))))</x:f>
        <x:v>0</x:v>
      </x:c>
      <x:c r="Q66" s="65" t="n">
        <x:f>IF(N66&lt;=0,0,MAX(0,N66-P66*K66))</x:f>
        <x:v>0</x:v>
      </x:c>
      <x:c r="R66" s="65" t="n">
        <x:f>IF(J66&lt;=0,0,MAX(1E-12,(L66*('In_Cases'!P7-H66)+M66*('In_Cases'!P7-'In_Cases'!V7))*G66*J66/1000))</x:f>
        <x:v>0</x:v>
      </x:c>
      <x:c r="S66" s="65" t="str">
        <x:f>IF(J66&lt;=0,"",K66/R66)</x:f>
      </x:c>
      <x:c r="T66" s="65" t="n">
        <x:f>IF(J66&lt;=0,0,IF(ABS(S66-1)&lt;1E-9,'Calc_Case'!N7/('Calc_Case'!N7+1),(1-POWER(S66,-'Calc_Case'!N7))/(1-POWER(S66,-'Calc_Case'!N7-1))))</x:f>
        <x:v>0</x:v>
      </x:c>
      <x:c r="U66" s="65" t="n">
        <x:f>IF(J66&lt;=0,0,'In_Cases'!Q7*MAX(0,K66-T66*R66))</x:f>
        <x:v>0</x:v>
      </x:c>
      <x:c r="V66" s="65" t="n">
        <x:f>MAX(0,1-I66-J66)</x:f>
        <x:v>1</x:v>
      </x:c>
      <x:c r="W66" s="65" t="n">
        <x:f>'In_Cases'!T7*(H66+'In_Cases'!S7*('In_Cases'!O7-H66))+(1-'In_Cases'!T7)*'In_Cases'!O7</x:f>
        <x:v>17.244086021505375</x:v>
      </x:c>
      <x:c r="X66" s="65" t="n">
        <x:f>'In_Cases'!T7*(H66+'In_Cases'!S7*('In_Cases'!P7-H66))+(1-'In_Cases'!T7)*'In_Cases'!P7</x:f>
        <x:v>17.244086021505375</x:v>
      </x:c>
      <x:c r="Y66" s="65" t="n">
        <x:f>'In_Cases'!T7*(H66+'In_Cases'!S7*((('In_Cases'!O7+'In_Cases'!P7)/2)-H66))+(1-'In_Cases'!T7)*(('In_Cases'!O7+'In_Cases'!P7)/2)</x:f>
        <x:v>17.244086021505375</x:v>
      </x:c>
      <x:c r="Z66" s="65" t="n">
        <x:f>'In_Cases'!R7*M66*('In_Cases'!U7-W66)*G66*I66/1000</x:f>
        <x:v>0</x:v>
      </x:c>
      <x:c r="AA66" s="65" t="n">
        <x:f>'In_Cases'!R7*M66*('In_Cases'!V7-X66)*G66*J66/1000</x:f>
        <x:v>0</x:v>
      </x:c>
      <x:c r="AB66" s="65" t="n">
        <x:f>'In_Cases'!R7*M66*('In_Cases'!V7-Y66)*G66*V66/1000</x:f>
        <x:v>0</x:v>
      </x:c>
      <x:c r="AC66" s="65" t="n">
        <x:f>MAX(0,Z66)+MAX(0,AA66)+MAX(0,AB66)</x:f>
        <x:v>0</x:v>
      </x:c>
      <x:c r="AD66" s="65" t="n">
        <x:f>MAX(0,-Z66)+MAX(0,-AA66)+MAX(0,-AB66)</x:f>
        <x:v>0</x:v>
      </x:c>
      <x:c r="AE66" s="65" t="n">
        <x:f>Q66+AC66</x:f>
        <x:v>0</x:v>
      </x:c>
      <x:c r="AF66" s="65" t="n">
        <x:f>U66+AD66</x:f>
        <x:v>0</x:v>
      </x:c>
    </x:row>
    <x:row r="67">
      <x:c r="A67" s="39" t="str">
        <x:f>'In_Monthly'!A67</x:f>
        <x:v>18|upper</x:v>
      </x:c>
      <x:c r="B67" s="39" t="str">
        <x:f>'In_Monthly'!B67</x:f>
        <x:v>18</x:v>
      </x:c>
      <x:c r="C67" s="39" t="str">
        <x:f>'In_Monthly'!C67</x:f>
        <x:v>Test building 2</x:v>
      </x:c>
      <x:c r="D67" s="39" t="str">
        <x:f>'In_Monthly'!D67</x:f>
        <x:v>upper</x:v>
      </x:c>
      <x:c r="E67" s="39" t="str">
        <x:f>'In_Monthly'!E67</x:f>
        <x:v>2023-06</x:v>
      </x:c>
      <x:c r="F67" s="65" t="n">
        <x:f>'In_Monthly'!F67</x:f>
        <x:v>30</x:v>
      </x:c>
      <x:c r="G67" s="65" t="n">
        <x:f>F67*24</x:f>
        <x:v>720</x:v>
      </x:c>
      <x:c r="H67" s="65" t="n">
        <x:f>'In_Monthly'!G67</x:f>
        <x:v>20.758194444444445</x:v>
      </x:c>
      <x:c r="I67" s="65" t="n">
        <x:f>'In_Monthly'!K67</x:f>
        <x:v>0</x:v>
      </x:c>
      <x:c r="J67" s="65" t="n">
        <x:f>'In_Monthly'!L67</x:f>
        <x:v>1</x:v>
      </x:c>
      <x:c r="K67" s="65" t="n">
        <x:f>'In_Monthly'!J67*G67/1000</x:f>
        <x:v>6424.573605752875</x:v>
      </x:c>
      <x:c r="L67" s="65" t="n">
        <x:f>'Calc_Case'!E7+'Calc_Case'!F7+'Calc_Case'!G7</x:f>
        <x:v>1566.8923416136743</x:v>
      </x:c>
      <x:c r="M67" s="65" t="n">
        <x:f>'Calc_Case'!H7</x:f>
        <x:v>0</x:v>
      </x:c>
      <x:c r="N67" s="65" t="n">
        <x:f>(L67*('In_Cases'!O7-H67)+M67*('In_Cases'!O7-'In_Cases'!U7))*G67*I67/1000</x:f>
        <x:v>0</x:v>
      </x:c>
      <x:c r="O67" s="65" t="str">
        <x:f>IF(N67&lt;=0,"",K67/N67)</x:f>
      </x:c>
      <x:c r="P67" s="65" t="n">
        <x:f>IF(N67&lt;=0,0,IF(ABS(O67-1)&lt;1E-9,'Calc_Case'!N7/('Calc_Case'!N7+1),(1-POWER(O67,'Calc_Case'!N7))/(1-POWER(O67,'Calc_Case'!N7+1))))</x:f>
        <x:v>0</x:v>
      </x:c>
      <x:c r="Q67" s="65" t="n">
        <x:f>IF(N67&lt;=0,0,MAX(0,N67-P67*K67))</x:f>
        <x:v>0</x:v>
      </x:c>
      <x:c r="R67" s="65" t="n">
        <x:f>IF(J67&lt;=0,0,MAX(1E-12,(L67*('In_Cases'!P7-H67)+M67*('In_Cases'!P7-'In_Cases'!V7))*G67*J67/1000))</x:f>
        <x:v>5913.608386484168</x:v>
      </x:c>
      <x:c r="S67" s="65" t="n">
        <x:f>IF(J67&lt;=0,"",K67/R67)</x:f>
        <x:v>1.086404980829732</x:v>
      </x:c>
      <x:c r="T67" s="65" t="n">
        <x:f>IF(J67&lt;=0,0,IF(ABS(S67-1)&lt;1E-9,'Calc_Case'!N7/('Calc_Case'!N7+1),(1-POWER(S67,-'Calc_Case'!N7))/(1-POWER(S67,-'Calc_Case'!N7-1))))</x:f>
        <x:v>0.7150876311198697</x:v>
      </x:c>
      <x:c r="U67" s="65" t="n">
        <x:f>IF(J67&lt;=0,0,'In_Cases'!Q7*MAX(0,K67-T67*R67))</x:f>
        <x:v>2195.8253932913167</x:v>
      </x:c>
      <x:c r="V67" s="65" t="n">
        <x:f>MAX(0,1-I67-J67)</x:f>
        <x:v>0</x:v>
      </x:c>
      <x:c r="W67" s="65" t="n">
        <x:f>'In_Cases'!T7*(H67+'In_Cases'!S7*('In_Cases'!O7-H67))+(1-'In_Cases'!T7)*'In_Cases'!O7</x:f>
        <x:v>20.758194444444445</x:v>
      </x:c>
      <x:c r="X67" s="65" t="n">
        <x:f>'In_Cases'!T7*(H67+'In_Cases'!S7*('In_Cases'!P7-H67))+(1-'In_Cases'!T7)*'In_Cases'!P7</x:f>
        <x:v>20.758194444444445</x:v>
      </x:c>
      <x:c r="Y67" s="65" t="n">
        <x:f>'In_Cases'!T7*(H67+'In_Cases'!S7*((('In_Cases'!O7+'In_Cases'!P7)/2)-H67))+(1-'In_Cases'!T7)*(('In_Cases'!O7+'In_Cases'!P7)/2)</x:f>
        <x:v>20.758194444444445</x:v>
      </x:c>
      <x:c r="Z67" s="65" t="n">
        <x:f>'In_Cases'!R7*M67*('In_Cases'!U7-W67)*G67*I67/1000</x:f>
        <x:v>0</x:v>
      </x:c>
      <x:c r="AA67" s="65" t="n">
        <x:f>'In_Cases'!R7*M67*('In_Cases'!V7-X67)*G67*J67/1000</x:f>
        <x:v>0</x:v>
      </x:c>
      <x:c r="AB67" s="65" t="n">
        <x:f>'In_Cases'!R7*M67*('In_Cases'!V7-Y67)*G67*V67/1000</x:f>
        <x:v>0</x:v>
      </x:c>
      <x:c r="AC67" s="65" t="n">
        <x:f>MAX(0,Z67)+MAX(0,AA67)+MAX(0,AB67)</x:f>
        <x:v>0</x:v>
      </x:c>
      <x:c r="AD67" s="65" t="n">
        <x:f>MAX(0,-Z67)+MAX(0,-AA67)+MAX(0,-AB67)</x:f>
        <x:v>0</x:v>
      </x:c>
      <x:c r="AE67" s="65" t="n">
        <x:f>Q67+AC67</x:f>
        <x:v>0</x:v>
      </x:c>
      <x:c r="AF67" s="65" t="n">
        <x:f>U67+AD67</x:f>
        <x:v>2195.8253932913167</x:v>
      </x:c>
    </x:row>
    <x:row r="68">
      <x:c r="A68" s="39" t="str">
        <x:f>'In_Monthly'!A68</x:f>
        <x:v>18|upper</x:v>
      </x:c>
      <x:c r="B68" s="39" t="str">
        <x:f>'In_Monthly'!B68</x:f>
        <x:v>18</x:v>
      </x:c>
      <x:c r="C68" s="39" t="str">
        <x:f>'In_Monthly'!C68</x:f>
        <x:v>Test building 2</x:v>
      </x:c>
      <x:c r="D68" s="39" t="str">
        <x:f>'In_Monthly'!D68</x:f>
        <x:v>upper</x:v>
      </x:c>
      <x:c r="E68" s="39" t="str">
        <x:f>'In_Monthly'!E68</x:f>
        <x:v>2023-07</x:v>
      </x:c>
      <x:c r="F68" s="65" t="n">
        <x:f>'In_Monthly'!F68</x:f>
        <x:v>31</x:v>
      </x:c>
      <x:c r="G68" s="65" t="n">
        <x:f>F68*24</x:f>
        <x:v>744</x:v>
      </x:c>
      <x:c r="H68" s="65" t="n">
        <x:f>'In_Monthly'!G68</x:f>
        <x:v>23.824193548387097</x:v>
      </x:c>
      <x:c r="I68" s="65" t="n">
        <x:f>'In_Monthly'!K68</x:f>
        <x:v>0</x:v>
      </x:c>
      <x:c r="J68" s="65" t="n">
        <x:f>'In_Monthly'!L68</x:f>
        <x:v>1</x:v>
      </x:c>
      <x:c r="K68" s="65" t="n">
        <x:f>'In_Monthly'!J68*G68/1000</x:f>
        <x:v>6945.841085545352</x:v>
      </x:c>
      <x:c r="L68" s="65" t="n">
        <x:f>'Calc_Case'!E7+'Calc_Case'!F7+'Calc_Case'!G7</x:f>
        <x:v>1566.8923416136743</x:v>
      </x:c>
      <x:c r="M68" s="65" t="n">
        <x:f>'Calc_Case'!H7</x:f>
        <x:v>0</x:v>
      </x:c>
      <x:c r="N68" s="65" t="n">
        <x:f>(L68*('In_Cases'!O7-H68)+M68*('In_Cases'!O7-'In_Cases'!U7))*G68*I68/1000</x:f>
        <x:v>0</x:v>
      </x:c>
      <x:c r="O68" s="65" t="str">
        <x:f>IF(N68&lt;=0,"",K68/N68)</x:f>
      </x:c>
      <x:c r="P68" s="65" t="n">
        <x:f>IF(N68&lt;=0,0,IF(ABS(O68-1)&lt;1E-9,'Calc_Case'!N7/('Calc_Case'!N7+1),(1-POWER(O68,'Calc_Case'!N7))/(1-POWER(O68,'Calc_Case'!N7+1))))</x:f>
        <x:v>0</x:v>
      </x:c>
      <x:c r="Q68" s="65" t="n">
        <x:f>IF(N68&lt;=0,0,MAX(0,N68-P68*K68))</x:f>
        <x:v>0</x:v>
      </x:c>
      <x:c r="R68" s="65" t="n">
        <x:f>IF(J68&lt;=0,0,MAX(1E-12,(L68*('In_Cases'!P7-H68)+M68*('In_Cases'!P7-'In_Cases'!V7))*G68*J68/1000))</x:f>
        <x:v>2536.485322604216</x:v>
      </x:c>
      <x:c r="S68" s="65" t="n">
        <x:f>IF(J68&lt;=0,"",K68/R68)</x:f>
        <x:v>2.738372275860063</x:v>
      </x:c>
      <x:c r="T68" s="65" t="n">
        <x:f>IF(J68&lt;=0,0,IF(ABS(S68-1)&lt;1E-9,'Calc_Case'!N7/('Calc_Case'!N7+1),(1-POWER(S68,-'Calc_Case'!N7))/(1-POWER(S68,-'Calc_Case'!N7-1))))</x:f>
        <x:v>0.9276265867150167</x:v>
      </x:c>
      <x:c r="U68" s="65" t="n">
        <x:f>IF(J68&lt;=0,0,'In_Cases'!Q7*MAX(0,K68-T68*R68))</x:f>
        <x:v>4592.929863485266</x:v>
      </x:c>
      <x:c r="V68" s="65" t="n">
        <x:f>MAX(0,1-I68-J68)</x:f>
        <x:v>0</x:v>
      </x:c>
      <x:c r="W68" s="65" t="n">
        <x:f>'In_Cases'!T7*(H68+'In_Cases'!S7*('In_Cases'!O7-H68))+(1-'In_Cases'!T7)*'In_Cases'!O7</x:f>
        <x:v>23.824193548387097</x:v>
      </x:c>
      <x:c r="X68" s="65" t="n">
        <x:f>'In_Cases'!T7*(H68+'In_Cases'!S7*('In_Cases'!P7-H68))+(1-'In_Cases'!T7)*'In_Cases'!P7</x:f>
        <x:v>23.824193548387097</x:v>
      </x:c>
      <x:c r="Y68" s="65" t="n">
        <x:f>'In_Cases'!T7*(H68+'In_Cases'!S7*((('In_Cases'!O7+'In_Cases'!P7)/2)-H68))+(1-'In_Cases'!T7)*(('In_Cases'!O7+'In_Cases'!P7)/2)</x:f>
        <x:v>23.824193548387097</x:v>
      </x:c>
      <x:c r="Z68" s="65" t="n">
        <x:f>'In_Cases'!R7*M68*('In_Cases'!U7-W68)*G68*I68/1000</x:f>
        <x:v>0</x:v>
      </x:c>
      <x:c r="AA68" s="65" t="n">
        <x:f>'In_Cases'!R7*M68*('In_Cases'!V7-X68)*G68*J68/1000</x:f>
        <x:v>0</x:v>
      </x:c>
      <x:c r="AB68" s="65" t="n">
        <x:f>'In_Cases'!R7*M68*('In_Cases'!V7-Y68)*G68*V68/1000</x:f>
        <x:v>0</x:v>
      </x:c>
      <x:c r="AC68" s="65" t="n">
        <x:f>MAX(0,Z68)+MAX(0,AA68)+MAX(0,AB68)</x:f>
        <x:v>0</x:v>
      </x:c>
      <x:c r="AD68" s="65" t="n">
        <x:f>MAX(0,-Z68)+MAX(0,-AA68)+MAX(0,-AB68)</x:f>
        <x:v>0</x:v>
      </x:c>
      <x:c r="AE68" s="65" t="n">
        <x:f>Q68+AC68</x:f>
        <x:v>0</x:v>
      </x:c>
      <x:c r="AF68" s="65" t="n">
        <x:f>U68+AD68</x:f>
        <x:v>4592.929863485266</x:v>
      </x:c>
    </x:row>
    <x:row r="69">
      <x:c r="A69" s="39" t="str">
        <x:f>'In_Monthly'!A69</x:f>
        <x:v>18|upper</x:v>
      </x:c>
      <x:c r="B69" s="39" t="str">
        <x:f>'In_Monthly'!B69</x:f>
        <x:v>18</x:v>
      </x:c>
      <x:c r="C69" s="39" t="str">
        <x:f>'In_Monthly'!C69</x:f>
        <x:v>Test building 2</x:v>
      </x:c>
      <x:c r="D69" s="39" t="str">
        <x:f>'In_Monthly'!D69</x:f>
        <x:v>upper</x:v>
      </x:c>
      <x:c r="E69" s="39" t="str">
        <x:f>'In_Monthly'!E69</x:f>
        <x:v>2023-08</x:v>
      </x:c>
      <x:c r="F69" s="65" t="n">
        <x:f>'In_Monthly'!F69</x:f>
        <x:v>31</x:v>
      </x:c>
      <x:c r="G69" s="65" t="n">
        <x:f>F69*24</x:f>
        <x:v>744</x:v>
      </x:c>
      <x:c r="H69" s="65" t="n">
        <x:f>'In_Monthly'!G69</x:f>
        <x:v>22.74717741935484</x:v>
      </x:c>
      <x:c r="I69" s="65" t="n">
        <x:f>'In_Monthly'!K69</x:f>
        <x:v>0</x:v>
      </x:c>
      <x:c r="J69" s="65" t="n">
        <x:f>'In_Monthly'!L69</x:f>
        <x:v>1</x:v>
      </x:c>
      <x:c r="K69" s="65" t="n">
        <x:f>'In_Monthly'!J69*G69/1000</x:f>
        <x:v>6190.93815453967</x:v>
      </x:c>
      <x:c r="L69" s="65" t="n">
        <x:f>'Calc_Case'!E7+'Calc_Case'!F7+'Calc_Case'!G7</x:f>
        <x:v>1566.8923416136743</x:v>
      </x:c>
      <x:c r="M69" s="65" t="n">
        <x:f>'Calc_Case'!H7</x:f>
        <x:v>0</x:v>
      </x:c>
      <x:c r="N69" s="65" t="n">
        <x:f>(L69*('In_Cases'!O7-H69)+M69*('In_Cases'!O7-'In_Cases'!U7))*G69*I69/1000</x:f>
        <x:v>0</x:v>
      </x:c>
      <x:c r="O69" s="65" t="str">
        <x:f>IF(N69&lt;=0,"",K69/N69)</x:f>
      </x:c>
      <x:c r="P69" s="65" t="n">
        <x:f>IF(N69&lt;=0,0,IF(ABS(O69-1)&lt;1E-9,'Calc_Case'!N7/('Calc_Case'!N7+1),(1-POWER(O69,'Calc_Case'!N7))/(1-POWER(O69,'Calc_Case'!N7+1))))</x:f>
        <x:v>0</x:v>
      </x:c>
      <x:c r="Q69" s="65" t="n">
        <x:f>IF(N69&lt;=0,0,MAX(0,N69-P69*K69))</x:f>
        <x:v>0</x:v>
      </x:c>
      <x:c r="R69" s="65" t="n">
        <x:f>IF(J69&lt;=0,0,MAX(1E-12,(L69*('In_Cases'!P7-H69)+M69*('In_Cases'!P7-'In_Cases'!V7))*G69*J69/1000))</x:f>
        <x:v>3792.03615593925</x:v>
      </x:c>
      <x:c r="S69" s="65" t="n">
        <x:f>IF(J69&lt;=0,"",K69/R69)</x:f>
        <x:v>1.6326158032125186</x:v>
      </x:c>
      <x:c r="T69" s="65" t="n">
        <x:f>IF(J69&lt;=0,0,IF(ABS(S69-1)&lt;1E-9,'Calc_Case'!N7/('Calc_Case'!N7+1),(1-POWER(S69,-'Calc_Case'!N7))/(1-POWER(S69,-'Calc_Case'!N7-1))))</x:f>
        <x:v>0.8331155595528893</x:v>
      </x:c>
      <x:c r="U69" s="65" t="n">
        <x:f>IF(J69&lt;=0,0,'In_Cases'!Q7*MAX(0,K69-T69*R69))</x:f>
        <x:v>3031.7338306395545</x:v>
      </x:c>
      <x:c r="V69" s="65" t="n">
        <x:f>MAX(0,1-I69-J69)</x:f>
        <x:v>0</x:v>
      </x:c>
      <x:c r="W69" s="65" t="n">
        <x:f>'In_Cases'!T7*(H69+'In_Cases'!S7*('In_Cases'!O7-H69))+(1-'In_Cases'!T7)*'In_Cases'!O7</x:f>
        <x:v>22.74717741935484</x:v>
      </x:c>
      <x:c r="X69" s="65" t="n">
        <x:f>'In_Cases'!T7*(H69+'In_Cases'!S7*('In_Cases'!P7-H69))+(1-'In_Cases'!T7)*'In_Cases'!P7</x:f>
        <x:v>22.74717741935484</x:v>
      </x:c>
      <x:c r="Y69" s="65" t="n">
        <x:f>'In_Cases'!T7*(H69+'In_Cases'!S7*((('In_Cases'!O7+'In_Cases'!P7)/2)-H69))+(1-'In_Cases'!T7)*(('In_Cases'!O7+'In_Cases'!P7)/2)</x:f>
        <x:v>22.74717741935484</x:v>
      </x:c>
      <x:c r="Z69" s="65" t="n">
        <x:f>'In_Cases'!R7*M69*('In_Cases'!U7-W69)*G69*I69/1000</x:f>
        <x:v>0</x:v>
      </x:c>
      <x:c r="AA69" s="65" t="n">
        <x:f>'In_Cases'!R7*M69*('In_Cases'!V7-X69)*G69*J69/1000</x:f>
        <x:v>0</x:v>
      </x:c>
      <x:c r="AB69" s="65" t="n">
        <x:f>'In_Cases'!R7*M69*('In_Cases'!V7-Y69)*G69*V69/1000</x:f>
        <x:v>0</x:v>
      </x:c>
      <x:c r="AC69" s="65" t="n">
        <x:f>MAX(0,Z69)+MAX(0,AA69)+MAX(0,AB69)</x:f>
        <x:v>0</x:v>
      </x:c>
      <x:c r="AD69" s="65" t="n">
        <x:f>MAX(0,-Z69)+MAX(0,-AA69)+MAX(0,-AB69)</x:f>
        <x:v>0</x:v>
      </x:c>
      <x:c r="AE69" s="65" t="n">
        <x:f>Q69+AC69</x:f>
        <x:v>0</x:v>
      </x:c>
      <x:c r="AF69" s="65" t="n">
        <x:f>U69+AD69</x:f>
        <x:v>3031.7338306395545</x:v>
      </x:c>
    </x:row>
    <x:row r="70">
      <x:c r="A70" s="39" t="str">
        <x:f>'In_Monthly'!A70</x:f>
        <x:v>18|upper</x:v>
      </x:c>
      <x:c r="B70" s="39" t="str">
        <x:f>'In_Monthly'!B70</x:f>
        <x:v>18</x:v>
      </x:c>
      <x:c r="C70" s="39" t="str">
        <x:f>'In_Monthly'!C70</x:f>
        <x:v>Test building 2</x:v>
      </x:c>
      <x:c r="D70" s="39" t="str">
        <x:f>'In_Monthly'!D70</x:f>
        <x:v>upper</x:v>
      </x:c>
      <x:c r="E70" s="39" t="str">
        <x:f>'In_Monthly'!E70</x:f>
        <x:v>2023-09</x:v>
      </x:c>
      <x:c r="F70" s="65" t="n">
        <x:f>'In_Monthly'!F70</x:f>
        <x:v>30</x:v>
      </x:c>
      <x:c r="G70" s="65" t="n">
        <x:f>F70*24</x:f>
        <x:v>720</x:v>
      </x:c>
      <x:c r="H70" s="65" t="n">
        <x:f>'In_Monthly'!G70</x:f>
        <x:v>19.61638888888889</x:v>
      </x:c>
      <x:c r="I70" s="65" t="n">
        <x:f>'In_Monthly'!K70</x:f>
        <x:v>0</x:v>
      </x:c>
      <x:c r="J70" s="65" t="n">
        <x:f>'In_Monthly'!L70</x:f>
        <x:v>1</x:v>
      </x:c>
      <x:c r="K70" s="65" t="n">
        <x:f>'In_Monthly'!J70*G70/1000</x:f>
        <x:v>4760.91885787318</x:v>
      </x:c>
      <x:c r="L70" s="65" t="n">
        <x:f>'Calc_Case'!E7+'Calc_Case'!F7+'Calc_Case'!G7</x:f>
        <x:v>1566.8923416136743</x:v>
      </x:c>
      <x:c r="M70" s="65" t="n">
        <x:f>'Calc_Case'!H7</x:f>
        <x:v>0</x:v>
      </x:c>
      <x:c r="N70" s="65" t="n">
        <x:f>(L70*('In_Cases'!O7-H70)+M70*('In_Cases'!O7-'In_Cases'!U7))*G70*I70/1000</x:f>
        <x:v>0</x:v>
      </x:c>
      <x:c r="O70" s="65" t="str">
        <x:f>IF(N70&lt;=0,"",K70/N70)</x:f>
      </x:c>
      <x:c r="P70" s="65" t="n">
        <x:f>IF(N70&lt;=0,0,IF(ABS(O70-1)&lt;1E-9,'Calc_Case'!N7/('Calc_Case'!N7+1),(1-POWER(O70,'Calc_Case'!N7))/(1-POWER(O70,'Calc_Case'!N7+1))))</x:f>
        <x:v>0</x:v>
      </x:c>
      <x:c r="Q70" s="65" t="n">
        <x:f>IF(N70&lt;=0,0,MAX(0,N70-P70*K70))</x:f>
        <x:v>0</x:v>
      </x:c>
      <x:c r="R70" s="65" t="n">
        <x:f>IF(J70&lt;=0,0,MAX(1E-12,(L70*('In_Cases'!P7-H70)+M70*('In_Cases'!P7-'In_Cases'!V7))*G70*J70/1000))</x:f>
        <x:v>7201.75058052477</x:v>
      </x:c>
      <x:c r="S70" s="65" t="n">
        <x:f>IF(J70&lt;=0,"",K70/R70)</x:f>
        <x:v>0.6610779982783389</x:v>
      </x:c>
      <x:c r="T70" s="65" t="n">
        <x:f>IF(J70&lt;=0,0,IF(ABS(S70-1)&lt;1E-9,'Calc_Case'!N7/('Calc_Case'!N7+1),(1-POWER(S70,-'Calc_Case'!N7))/(1-POWER(S70,-'Calc_Case'!N7-1))))</x:f>
        <x:v>0.5380124930730947</x:v>
      </x:c>
      <x:c r="U70" s="65" t="n">
        <x:f>IF(J70&lt;=0,0,'In_Cases'!Q7*MAX(0,K70-T70*R70))</x:f>
        <x:v>886.2870735544411</x:v>
      </x:c>
      <x:c r="V70" s="65" t="n">
        <x:f>MAX(0,1-I70-J70)</x:f>
        <x:v>0</x:v>
      </x:c>
      <x:c r="W70" s="65" t="n">
        <x:f>'In_Cases'!T7*(H70+'In_Cases'!S7*('In_Cases'!O7-H70))+(1-'In_Cases'!T7)*'In_Cases'!O7</x:f>
        <x:v>19.61638888888889</x:v>
      </x:c>
      <x:c r="X70" s="65" t="n">
        <x:f>'In_Cases'!T7*(H70+'In_Cases'!S7*('In_Cases'!P7-H70))+(1-'In_Cases'!T7)*'In_Cases'!P7</x:f>
        <x:v>19.61638888888889</x:v>
      </x:c>
      <x:c r="Y70" s="65" t="n">
        <x:f>'In_Cases'!T7*(H70+'In_Cases'!S7*((('In_Cases'!O7+'In_Cases'!P7)/2)-H70))+(1-'In_Cases'!T7)*(('In_Cases'!O7+'In_Cases'!P7)/2)</x:f>
        <x:v>19.61638888888889</x:v>
      </x:c>
      <x:c r="Z70" s="65" t="n">
        <x:f>'In_Cases'!R7*M70*('In_Cases'!U7-W70)*G70*I70/1000</x:f>
        <x:v>0</x:v>
      </x:c>
      <x:c r="AA70" s="65" t="n">
        <x:f>'In_Cases'!R7*M70*('In_Cases'!V7-X70)*G70*J70/1000</x:f>
        <x:v>0</x:v>
      </x:c>
      <x:c r="AB70" s="65" t="n">
        <x:f>'In_Cases'!R7*M70*('In_Cases'!V7-Y70)*G70*V70/1000</x:f>
        <x:v>0</x:v>
      </x:c>
      <x:c r="AC70" s="65" t="n">
        <x:f>MAX(0,Z70)+MAX(0,AA70)+MAX(0,AB70)</x:f>
        <x:v>0</x:v>
      </x:c>
      <x:c r="AD70" s="65" t="n">
        <x:f>MAX(0,-Z70)+MAX(0,-AA70)+MAX(0,-AB70)</x:f>
        <x:v>0</x:v>
      </x:c>
      <x:c r="AE70" s="65" t="n">
        <x:f>Q70+AC70</x:f>
        <x:v>0</x:v>
      </x:c>
      <x:c r="AF70" s="65" t="n">
        <x:f>U70+AD70</x:f>
        <x:v>886.2870735544411</x:v>
      </x:c>
    </x:row>
    <x:row r="71">
      <x:c r="A71" s="39" t="str">
        <x:f>'In_Monthly'!A71</x:f>
        <x:v>18|upper</x:v>
      </x:c>
      <x:c r="B71" s="39" t="str">
        <x:f>'In_Monthly'!B71</x:f>
        <x:v>18</x:v>
      </x:c>
      <x:c r="C71" s="39" t="str">
        <x:f>'In_Monthly'!C71</x:f>
        <x:v>Test building 2</x:v>
      </x:c>
      <x:c r="D71" s="39" t="str">
        <x:f>'In_Monthly'!D71</x:f>
        <x:v>upper</x:v>
      </x:c>
      <x:c r="E71" s="39" t="str">
        <x:f>'In_Monthly'!E71</x:f>
        <x:v>2023-10</x:v>
      </x:c>
      <x:c r="F71" s="65" t="n">
        <x:f>'In_Monthly'!F71</x:f>
        <x:v>31</x:v>
      </x:c>
      <x:c r="G71" s="65" t="n">
        <x:f>F71*24</x:f>
        <x:v>744</x:v>
      </x:c>
      <x:c r="H71" s="65" t="n">
        <x:f>'In_Monthly'!G71</x:f>
        <x:v>13.926209677419354</x:v>
      </x:c>
      <x:c r="I71" s="65" t="n">
        <x:f>'In_Monthly'!K71</x:f>
        <x:v>0.5483870967741935</x:v>
      </x:c>
      <x:c r="J71" s="65" t="n">
        <x:f>'In_Monthly'!L71</x:f>
        <x:v>0</x:v>
      </x:c>
      <x:c r="K71" s="65" t="n">
        <x:f>'In_Monthly'!J71*G71/1000</x:f>
        <x:v>3213.257556843537</x:v>
      </x:c>
      <x:c r="L71" s="65" t="n">
        <x:f>'Calc_Case'!E7+'Calc_Case'!F7+'Calc_Case'!G7</x:f>
        <x:v>1566.8923416136743</x:v>
      </x:c>
      <x:c r="M71" s="65" t="n">
        <x:f>'Calc_Case'!H7</x:f>
        <x:v>0</x:v>
      </x:c>
      <x:c r="N71" s="65" t="n">
        <x:f>(L71*('In_Cases'!O7-H71)+M71*('In_Cases'!O7-'In_Cases'!U7))*G71*I71/1000</x:f>
        <x:v>3882.926020735695</x:v>
      </x:c>
      <x:c r="O71" s="65" t="n">
        <x:f>IF(N71&lt;=0,"",K71/N71)</x:f>
        <x:v>0.8275350958746114</x:v>
      </x:c>
      <x:c r="P71" s="65" t="n">
        <x:f>IF(N71&lt;=0,0,IF(ABS(O71-1)&lt;1E-9,'Calc_Case'!N7/('Calc_Case'!N7+1),(1-POWER(O71,'Calc_Case'!N7))/(1-POWER(O71,'Calc_Case'!N7+1))))</x:f>
        <x:v>0.7493050281880109</x:v>
      </x:c>
      <x:c r="Q71" s="65" t="n">
        <x:f>IF(N71&lt;=0,0,MAX(0,N71-P71*K71))</x:f>
        <x:v>1475.2159765297097</x:v>
      </x:c>
      <x:c r="R71" s="65" t="n">
        <x:f>IF(J71&lt;=0,0,MAX(1E-12,(L71*('In_Cases'!P7-H71)+M71*('In_Cases'!P7-'In_Cases'!V7))*G71*J71/1000))</x:f>
        <x:v>0</x:v>
      </x:c>
      <x:c r="S71" s="65" t="str">
        <x:f>IF(J71&lt;=0,"",K71/R71)</x:f>
      </x:c>
      <x:c r="T71" s="65" t="n">
        <x:f>IF(J71&lt;=0,0,IF(ABS(S71-1)&lt;1E-9,'Calc_Case'!N7/('Calc_Case'!N7+1),(1-POWER(S71,-'Calc_Case'!N7))/(1-POWER(S71,-'Calc_Case'!N7-1))))</x:f>
        <x:v>0</x:v>
      </x:c>
      <x:c r="U71" s="65" t="n">
        <x:f>IF(J71&lt;=0,0,'In_Cases'!Q7*MAX(0,K71-T71*R71))</x:f>
        <x:v>0</x:v>
      </x:c>
      <x:c r="V71" s="65" t="n">
        <x:f>MAX(0,1-I71-J71)</x:f>
        <x:v>0.4516129032258065</x:v>
      </x:c>
      <x:c r="W71" s="65" t="n">
        <x:f>'In_Cases'!T7*(H71+'In_Cases'!S7*('In_Cases'!O7-H71))+(1-'In_Cases'!T7)*'In_Cases'!O7</x:f>
        <x:v>13.926209677419354</x:v>
      </x:c>
      <x:c r="X71" s="65" t="n">
        <x:f>'In_Cases'!T7*(H71+'In_Cases'!S7*('In_Cases'!P7-H71))+(1-'In_Cases'!T7)*'In_Cases'!P7</x:f>
        <x:v>13.926209677419354</x:v>
      </x:c>
      <x:c r="Y71" s="65" t="n">
        <x:f>'In_Cases'!T7*(H71+'In_Cases'!S7*((('In_Cases'!O7+'In_Cases'!P7)/2)-H71))+(1-'In_Cases'!T7)*(('In_Cases'!O7+'In_Cases'!P7)/2)</x:f>
        <x:v>13.926209677419354</x:v>
      </x:c>
      <x:c r="Z71" s="65" t="n">
        <x:f>'In_Cases'!R7*M71*('In_Cases'!U7-W71)*G71*I71/1000</x:f>
        <x:v>0</x:v>
      </x:c>
      <x:c r="AA71" s="65" t="n">
        <x:f>'In_Cases'!R7*M71*('In_Cases'!V7-X71)*G71*J71/1000</x:f>
        <x:v>0</x:v>
      </x:c>
      <x:c r="AB71" s="65" t="n">
        <x:f>'In_Cases'!R7*M71*('In_Cases'!V7-Y71)*G71*V71/1000</x:f>
        <x:v>0</x:v>
      </x:c>
      <x:c r="AC71" s="65" t="n">
        <x:f>MAX(0,Z71)+MAX(0,AA71)+MAX(0,AB71)</x:f>
        <x:v>0</x:v>
      </x:c>
      <x:c r="AD71" s="65" t="n">
        <x:f>MAX(0,-Z71)+MAX(0,-AA71)+MAX(0,-AB71)</x:f>
        <x:v>0</x:v>
      </x:c>
      <x:c r="AE71" s="65" t="n">
        <x:f>Q71+AC71</x:f>
        <x:v>1475.2159765297097</x:v>
      </x:c>
      <x:c r="AF71" s="65" t="n">
        <x:f>U71+AD71</x:f>
        <x:v>0</x:v>
      </x:c>
    </x:row>
    <x:row r="72">
      <x:c r="A72" s="39" t="str">
        <x:f>'In_Monthly'!A72</x:f>
        <x:v>18|upper</x:v>
      </x:c>
      <x:c r="B72" s="39" t="str">
        <x:f>'In_Monthly'!B72</x:f>
        <x:v>18</x:v>
      </x:c>
      <x:c r="C72" s="39" t="str">
        <x:f>'In_Monthly'!C72</x:f>
        <x:v>Test building 2</x:v>
      </x:c>
      <x:c r="D72" s="39" t="str">
        <x:f>'In_Monthly'!D72</x:f>
        <x:v>upper</x:v>
      </x:c>
      <x:c r="E72" s="39" t="str">
        <x:f>'In_Monthly'!E72</x:f>
        <x:v>2023-11</x:v>
      </x:c>
      <x:c r="F72" s="65" t="n">
        <x:f>'In_Monthly'!F72</x:f>
        <x:v>30</x:v>
      </x:c>
      <x:c r="G72" s="65" t="n">
        <x:f>F72*24</x:f>
        <x:v>720</x:v>
      </x:c>
      <x:c r="H72" s="65" t="n">
        <x:f>'In_Monthly'!G72</x:f>
        <x:v>8.68388888888889</x:v>
      </x:c>
      <x:c r="I72" s="65" t="n">
        <x:f>'In_Monthly'!K72</x:f>
        <x:v>1</x:v>
      </x:c>
      <x:c r="J72" s="65" t="n">
        <x:f>'In_Monthly'!L72</x:f>
        <x:v>0</x:v>
      </x:c>
      <x:c r="K72" s="65" t="n">
        <x:f>'In_Monthly'!J72*G72/1000</x:f>
        <x:v>1398.5480441634554</x:v>
      </x:c>
      <x:c r="L72" s="65" t="n">
        <x:f>'Calc_Case'!E7+'Calc_Case'!F7+'Calc_Case'!G7</x:f>
        <x:v>1566.8923416136743</x:v>
      </x:c>
      <x:c r="M72" s="65" t="n">
        <x:f>'Calc_Case'!H7</x:f>
        <x:v>0</x:v>
      </x:c>
      <x:c r="N72" s="65" t="n">
        <x:f>(L72*('In_Cases'!O7-H72)+M72*('In_Cases'!O7-'In_Cases'!U7))*G72*I72/1000</x:f>
        <x:v>12766.412042531572</x:v>
      </x:c>
      <x:c r="O72" s="65" t="n">
        <x:f>IF(N72&lt;=0,"",K72/N72)</x:f>
        <x:v>0.10954902908539713</x:v>
      </x:c>
      <x:c r="P72" s="65" t="n">
        <x:f>IF(N72&lt;=0,0,IF(ABS(O72-1)&lt;1E-9,'Calc_Case'!N7/('Calc_Case'!N7+1),(1-POWER(O72,'Calc_Case'!N7))/(1-POWER(O72,'Calc_Case'!N7+1))))</x:f>
        <x:v>0.9930682082567078</x:v>
      </x:c>
      <x:c r="Q72" s="65" t="n">
        <x:f>IF(N72&lt;=0,0,MAX(0,N72-P72*K72))</x:f>
        <x:v>11377.558442153246</x:v>
      </x:c>
      <x:c r="R72" s="65" t="n">
        <x:f>IF(J72&lt;=0,0,MAX(1E-12,(L72*('In_Cases'!P7-H72)+M72*('In_Cases'!P7-'In_Cases'!V7))*G72*J72/1000))</x:f>
        <x:v>0</x:v>
      </x:c>
      <x:c r="S72" s="65" t="str">
        <x:f>IF(J72&lt;=0,"",K72/R72)</x:f>
      </x:c>
      <x:c r="T72" s="65" t="n">
        <x:f>IF(J72&lt;=0,0,IF(ABS(S72-1)&lt;1E-9,'Calc_Case'!N7/('Calc_Case'!N7+1),(1-POWER(S72,-'Calc_Case'!N7))/(1-POWER(S72,-'Calc_Case'!N7-1))))</x:f>
        <x:v>0</x:v>
      </x:c>
      <x:c r="U72" s="65" t="n">
        <x:f>IF(J72&lt;=0,0,'In_Cases'!Q7*MAX(0,K72-T72*R72))</x:f>
        <x:v>0</x:v>
      </x:c>
      <x:c r="V72" s="65" t="n">
        <x:f>MAX(0,1-I72-J72)</x:f>
        <x:v>0</x:v>
      </x:c>
      <x:c r="W72" s="65" t="n">
        <x:f>'In_Cases'!T7*(H72+'In_Cases'!S7*('In_Cases'!O7-H72))+(1-'In_Cases'!T7)*'In_Cases'!O7</x:f>
        <x:v>8.68388888888889</x:v>
      </x:c>
      <x:c r="X72" s="65" t="n">
        <x:f>'In_Cases'!T7*(H72+'In_Cases'!S7*('In_Cases'!P7-H72))+(1-'In_Cases'!T7)*'In_Cases'!P7</x:f>
        <x:v>8.68388888888889</x:v>
      </x:c>
      <x:c r="Y72" s="65" t="n">
        <x:f>'In_Cases'!T7*(H72+'In_Cases'!S7*((('In_Cases'!O7+'In_Cases'!P7)/2)-H72))+(1-'In_Cases'!T7)*(('In_Cases'!O7+'In_Cases'!P7)/2)</x:f>
        <x:v>8.68388888888889</x:v>
      </x:c>
      <x:c r="Z72" s="65" t="n">
        <x:f>'In_Cases'!R7*M72*('In_Cases'!U7-W72)*G72*I72/1000</x:f>
        <x:v>0</x:v>
      </x:c>
      <x:c r="AA72" s="65" t="n">
        <x:f>'In_Cases'!R7*M72*('In_Cases'!V7-X72)*G72*J72/1000</x:f>
        <x:v>0</x:v>
      </x:c>
      <x:c r="AB72" s="65" t="n">
        <x:f>'In_Cases'!R7*M72*('In_Cases'!V7-Y72)*G72*V72/1000</x:f>
        <x:v>0</x:v>
      </x:c>
      <x:c r="AC72" s="65" t="n">
        <x:f>MAX(0,Z72)+MAX(0,AA72)+MAX(0,AB72)</x:f>
        <x:v>0</x:v>
      </x:c>
      <x:c r="AD72" s="65" t="n">
        <x:f>MAX(0,-Z72)+MAX(0,-AA72)+MAX(0,-AB72)</x:f>
        <x:v>0</x:v>
      </x:c>
      <x:c r="AE72" s="65" t="n">
        <x:f>Q72+AC72</x:f>
        <x:v>11377.558442153246</x:v>
      </x:c>
      <x:c r="AF72" s="65" t="n">
        <x:f>U72+AD72</x:f>
        <x:v>0</x:v>
      </x:c>
    </x:row>
    <x:row r="73">
      <x:c r="A73" s="39" t="str">
        <x:f>'In_Monthly'!A73</x:f>
        <x:v>18|upper</x:v>
      </x:c>
      <x:c r="B73" s="39" t="str">
        <x:f>'In_Monthly'!B73</x:f>
        <x:v>18</x:v>
      </x:c>
      <x:c r="C73" s="39" t="str">
        <x:f>'In_Monthly'!C73</x:f>
        <x:v>Test building 2</x:v>
      </x:c>
      <x:c r="D73" s="39" t="str">
        <x:f>'In_Monthly'!D73</x:f>
        <x:v>upper</x:v>
      </x:c>
      <x:c r="E73" s="39" t="str">
        <x:f>'In_Monthly'!E73</x:f>
        <x:v>2023-12</x:v>
      </x:c>
      <x:c r="F73" s="65" t="n">
        <x:f>'In_Monthly'!F73</x:f>
        <x:v>31</x:v>
      </x:c>
      <x:c r="G73" s="65" t="n">
        <x:f>F73*24</x:f>
        <x:v>744</x:v>
      </x:c>
      <x:c r="H73" s="65" t="n">
        <x:f>'In_Monthly'!G73</x:f>
        <x:v>3.9963709677419357</x:v>
      </x:c>
      <x:c r="I73" s="65" t="n">
        <x:f>'In_Monthly'!K73</x:f>
        <x:v>1</x:v>
      </x:c>
      <x:c r="J73" s="65" t="n">
        <x:f>'In_Monthly'!L73</x:f>
        <x:v>0</x:v>
      </x:c>
      <x:c r="K73" s="65" t="n">
        <x:f>'In_Monthly'!J73*G73/1000</x:f>
        <x:v>1151.5467492332139</x:v>
      </x:c>
      <x:c r="L73" s="65" t="n">
        <x:f>'Calc_Case'!E7+'Calc_Case'!F7+'Calc_Case'!G7</x:f>
        <x:v>1566.8923416136743</x:v>
      </x:c>
      <x:c r="M73" s="65" t="n">
        <x:f>'Calc_Case'!H7</x:f>
        <x:v>0</x:v>
      </x:c>
      <x:c r="N73" s="65" t="n">
        <x:f>(L73*('In_Cases'!O7-H73)+M73*('In_Cases'!O7-'In_Cases'!U7))*G73*I73/1000</x:f>
        <x:v>18656.517043891537</x:v>
      </x:c>
      <x:c r="O73" s="65" t="n">
        <x:f>IF(N73&lt;=0,"",K73/N73)</x:f>
        <x:v>0.06172356536453571</x:v>
      </x:c>
      <x:c r="P73" s="65" t="n">
        <x:f>IF(N73&lt;=0,0,IF(ABS(O73-1)&lt;1E-9,'Calc_Case'!N7/('Calc_Case'!N7+1),(1-POWER(O73,'Calc_Case'!N7))/(1-POWER(O73,'Calc_Case'!N7+1))))</x:f>
        <x:v>0.9979294988922114</x:v>
      </x:c>
      <x:c r="Q73" s="65" t="n">
        <x:f>IF(N73&lt;=0,0,MAX(0,N73-P73*K73))</x:f>
        <x:v>17507.354573478282</x:v>
      </x:c>
      <x:c r="R73" s="65" t="n">
        <x:f>IF(J73&lt;=0,0,MAX(1E-12,(L73*('In_Cases'!P7-H73)+M73*('In_Cases'!P7-'In_Cases'!V7))*G73*J73/1000))</x:f>
        <x:v>0</x:v>
      </x:c>
      <x:c r="S73" s="65" t="str">
        <x:f>IF(J73&lt;=0,"",K73/R73)</x:f>
      </x:c>
      <x:c r="T73" s="65" t="n">
        <x:f>IF(J73&lt;=0,0,IF(ABS(S73-1)&lt;1E-9,'Calc_Case'!N7/('Calc_Case'!N7+1),(1-POWER(S73,-'Calc_Case'!N7))/(1-POWER(S73,-'Calc_Case'!N7-1))))</x:f>
        <x:v>0</x:v>
      </x:c>
      <x:c r="U73" s="65" t="n">
        <x:f>IF(J73&lt;=0,0,'In_Cases'!Q7*MAX(0,K73-T73*R73))</x:f>
        <x:v>0</x:v>
      </x:c>
      <x:c r="V73" s="65" t="n">
        <x:f>MAX(0,1-I73-J73)</x:f>
        <x:v>0</x:v>
      </x:c>
      <x:c r="W73" s="65" t="n">
        <x:f>'In_Cases'!T7*(H73+'In_Cases'!S7*('In_Cases'!O7-H73))+(1-'In_Cases'!T7)*'In_Cases'!O7</x:f>
        <x:v>3.9963709677419357</x:v>
      </x:c>
      <x:c r="X73" s="65" t="n">
        <x:f>'In_Cases'!T7*(H73+'In_Cases'!S7*('In_Cases'!P7-H73))+(1-'In_Cases'!T7)*'In_Cases'!P7</x:f>
        <x:v>3.9963709677419357</x:v>
      </x:c>
      <x:c r="Y73" s="65" t="n">
        <x:f>'In_Cases'!T7*(H73+'In_Cases'!S7*((('In_Cases'!O7+'In_Cases'!P7)/2)-H73))+(1-'In_Cases'!T7)*(('In_Cases'!O7+'In_Cases'!P7)/2)</x:f>
        <x:v>3.9963709677419357</x:v>
      </x:c>
      <x:c r="Z73" s="65" t="n">
        <x:f>'In_Cases'!R7*M73*('In_Cases'!U7-W73)*G73*I73/1000</x:f>
        <x:v>0</x:v>
      </x:c>
      <x:c r="AA73" s="65" t="n">
        <x:f>'In_Cases'!R7*M73*('In_Cases'!V7-X73)*G73*J73/1000</x:f>
        <x:v>0</x:v>
      </x:c>
      <x:c r="AB73" s="65" t="n">
        <x:f>'In_Cases'!R7*M73*('In_Cases'!V7-Y73)*G73*V73/1000</x:f>
        <x:v>0</x:v>
      </x:c>
      <x:c r="AC73" s="65" t="n">
        <x:f>MAX(0,Z73)+MAX(0,AA73)+MAX(0,AB73)</x:f>
        <x:v>0</x:v>
      </x:c>
      <x:c r="AD73" s="65" t="n">
        <x:f>MAX(0,-Z73)+MAX(0,-AA73)+MAX(0,-AB73)</x:f>
        <x:v>0</x:v>
      </x:c>
      <x:c r="AE73" s="65" t="n">
        <x:f>Q73+AC73</x:f>
        <x:v>17507.354573478282</x:v>
      </x:c>
      <x:c r="AF73" s="65" t="n">
        <x:f>U73+AD73</x:f>
        <x:v>0</x:v>
      </x:c>
    </x:row>
    <x:row r="74">
      <x:c r="A74" s="39" t="str">
        <x:f>'In_Monthly'!A74</x:f>
        <x:v>19|aggregate</x:v>
      </x:c>
      <x:c r="B74" s="39" t="str">
        <x:f>'In_Monthly'!B74</x:f>
        <x:v>19</x:v>
      </x:c>
      <x:c r="C74" s="39" t="str">
        <x:f>'In_Monthly'!C74</x:f>
        <x:v>Test building 3</x:v>
      </x:c>
      <x:c r="D74" s="39" t="str">
        <x:f>'In_Monthly'!D74</x:f>
        <x:v>aggregate</x:v>
      </x:c>
      <x:c r="E74" s="39" t="str">
        <x:f>'In_Monthly'!E74</x:f>
        <x:v>2023-01</x:v>
      </x:c>
      <x:c r="F74" s="65" t="n">
        <x:f>'In_Monthly'!F74</x:f>
        <x:v>31</x:v>
      </x:c>
      <x:c r="G74" s="65" t="n">
        <x:f>F74*24</x:f>
        <x:v>744</x:v>
      </x:c>
      <x:c r="H74" s="65" t="n">
        <x:f>'In_Monthly'!G74</x:f>
        <x:v>2.638440860215054</x:v>
      </x:c>
      <x:c r="I74" s="65" t="n">
        <x:f>'In_Monthly'!K74</x:f>
        <x:v>1</x:v>
      </x:c>
      <x:c r="J74" s="65" t="n">
        <x:f>'In_Monthly'!L74</x:f>
        <x:v>0</x:v>
      </x:c>
      <x:c r="K74" s="65" t="n">
        <x:f>'In_Monthly'!J74*G74/1000</x:f>
        <x:v>11059.902357405477</x:v>
      </x:c>
      <x:c r="L74" s="65" t="n">
        <x:f>'Calc_Case'!E8+'Calc_Case'!F8+'Calc_Case'!G8</x:f>
        <x:v>5223.042232939988</x:v>
      </x:c>
      <x:c r="M74" s="65" t="n">
        <x:f>'Calc_Case'!H8</x:f>
        <x:v>1303.3393173984375</x:v>
      </x:c>
      <x:c r="N74" s="65" t="n">
        <x:f>(L74*('In_Cases'!O8-H74)+M74*('In_Cases'!O8-'In_Cases'!U8))*G74*I74/1000</x:f>
        <x:v>67954.48155532284</x:v>
      </x:c>
      <x:c r="O74" s="65" t="n">
        <x:f>IF(N74&lt;=0,"",K74/N74)</x:f>
        <x:v>0.16275456900368568</x:v>
      </x:c>
      <x:c r="P74" s="65" t="n">
        <x:f>IF(N74&lt;=0,0,IF(ABS(O74-1)&lt;1E-9,'Calc_Case'!N8/('Calc_Case'!N8+1),(1-POWER(O74,'Calc_Case'!N8))/(1-POWER(O74,'Calc_Case'!N8+1))))</x:f>
        <x:v>0.9694985019795299</x:v>
      </x:c>
      <x:c r="Q74" s="65" t="n">
        <x:f>IF(N74&lt;=0,0,MAX(0,N74-P74*K74))</x:f>
        <x:v>57231.922787778356</x:v>
      </x:c>
      <x:c r="R74" s="65" t="n">
        <x:f>IF(J74&lt;=0,0,MAX(1E-12,(L74*('In_Cases'!P8-H74)+M74*('In_Cases'!P8-'In_Cases'!V8))*G74*J74/1000))</x:f>
        <x:v>0</x:v>
      </x:c>
      <x:c r="S74" s="65" t="str">
        <x:f>IF(J74&lt;=0,"",K74/R74)</x:f>
      </x:c>
      <x:c r="T74" s="65" t="n">
        <x:f>IF(J74&lt;=0,0,IF(ABS(S74-1)&lt;1E-9,'Calc_Case'!N8/('Calc_Case'!N8+1),(1-POWER(S74,-'Calc_Case'!N8))/(1-POWER(S74,-'Calc_Case'!N8-1))))</x:f>
        <x:v>0</x:v>
      </x:c>
      <x:c r="U74" s="65" t="n">
        <x:f>IF(J74&lt;=0,0,'In_Cases'!Q8*MAX(0,K74-T74*R74))</x:f>
        <x:v>0</x:v>
      </x:c>
      <x:c r="V74" s="65" t="n">
        <x:f>MAX(0,1-I74-J74)</x:f>
        <x:v>0</x:v>
      </x:c>
      <x:c r="W74" s="65" t="n">
        <x:f>'In_Cases'!T8*(H74+'In_Cases'!S8*('In_Cases'!O8-H74))+(1-'In_Cases'!T8)*'In_Cases'!O8</x:f>
        <x:v>13.35537634408602</x:v>
      </x:c>
      <x:c r="X74" s="65" t="n">
        <x:f>'In_Cases'!T8*(H74+'In_Cases'!S8*('In_Cases'!P8-H74))+(1-'In_Cases'!T8)*'In_Cases'!P8</x:f>
        <x:v>16.655376344086022</x:v>
      </x:c>
      <x:c r="Y74" s="65" t="n">
        <x:f>'In_Cases'!T8*(H74+'In_Cases'!S8*((('In_Cases'!O8+'In_Cases'!P8)/2)-H74))+(1-'In_Cases'!T8)*(('In_Cases'!O8+'In_Cases'!P8)/2)</x:f>
        <x:v>15.00537634408602</x:v>
      </x:c>
      <x:c r="Z74" s="65" t="n">
        <x:f>'In_Cases'!R8*M74*('In_Cases'!U8-W74)*G74*I74/1000</x:f>
        <x:v>8382.557153779793</x:v>
      </x:c>
      <x:c r="AA74" s="65" t="n">
        <x:f>'In_Cases'!R8*M74*('In_Cases'!V8-X74)*G74*J74/1000</x:f>
        <x:v>0</x:v>
      </x:c>
      <x:c r="AB74" s="65" t="n">
        <x:f>'In_Cases'!R8*M74*('In_Cases'!V8-Y74)*G74*V74/1000</x:f>
        <x:v>0</x:v>
      </x:c>
      <x:c r="AC74" s="65" t="n">
        <x:f>MAX(0,Z74)+MAX(0,AA74)+MAX(0,AB74)</x:f>
        <x:v>8382.557153779793</x:v>
      </x:c>
      <x:c r="AD74" s="65" t="n">
        <x:f>MAX(0,-Z74)+MAX(0,-AA74)+MAX(0,-AB74)</x:f>
        <x:v>0</x:v>
      </x:c>
      <x:c r="AE74" s="65" t="n">
        <x:f>Q74+AC74</x:f>
        <x:v>65614.47994155815</x:v>
      </x:c>
      <x:c r="AF74" s="65" t="n">
        <x:f>U74+AD74</x:f>
        <x:v>0</x:v>
      </x:c>
    </x:row>
    <x:row r="75">
      <x:c r="A75" s="39" t="str">
        <x:f>'In_Monthly'!A75</x:f>
        <x:v>19|aggregate</x:v>
      </x:c>
      <x:c r="B75" s="39" t="str">
        <x:f>'In_Monthly'!B75</x:f>
        <x:v>19</x:v>
      </x:c>
      <x:c r="C75" s="39" t="str">
        <x:f>'In_Monthly'!C75</x:f>
        <x:v>Test building 3</x:v>
      </x:c>
      <x:c r="D75" s="39" t="str">
        <x:f>'In_Monthly'!D75</x:f>
        <x:v>aggregate</x:v>
      </x:c>
      <x:c r="E75" s="39" t="str">
        <x:f>'In_Monthly'!E75</x:f>
        <x:v>2023-02</x:v>
      </x:c>
      <x:c r="F75" s="65" t="n">
        <x:f>'In_Monthly'!F75</x:f>
        <x:v>28</x:v>
      </x:c>
      <x:c r="G75" s="65" t="n">
        <x:f>F75*24</x:f>
        <x:v>672</x:v>
      </x:c>
      <x:c r="H75" s="65" t="n">
        <x:f>'In_Monthly'!G75</x:f>
        <x:v>3.8903273809523813</x:v>
      </x:c>
      <x:c r="I75" s="65" t="n">
        <x:f>'In_Monthly'!K75</x:f>
        <x:v>1</x:v>
      </x:c>
      <x:c r="J75" s="65" t="n">
        <x:f>'In_Monthly'!L75</x:f>
        <x:v>0</x:v>
      </x:c>
      <x:c r="K75" s="65" t="n">
        <x:f>'In_Monthly'!J75*G75/1000</x:f>
        <x:v>10680.110304518994</x:v>
      </x:c>
      <x:c r="L75" s="65" t="n">
        <x:f>'Calc_Case'!E8+'Calc_Case'!F8+'Calc_Case'!G8</x:f>
        <x:v>5223.042232939988</x:v>
      </x:c>
      <x:c r="M75" s="65" t="n">
        <x:f>'Calc_Case'!H8</x:f>
        <x:v>1303.3393173984375</x:v>
      </x:c>
      <x:c r="N75" s="65" t="n">
        <x:f>(L75*('In_Cases'!O8-H75)+M75*('In_Cases'!O8-'In_Cases'!U8))*G75*I75/1000</x:f>
        <x:v>56984.26445946864</x:v>
      </x:c>
      <x:c r="O75" s="65" t="n">
        <x:f>IF(N75&lt;=0,"",K75/N75)</x:f>
        <x:v>0.18742209635987256</x:v>
      </x:c>
      <x:c r="P75" s="65" t="n">
        <x:f>IF(N75&lt;=0,0,IF(ABS(O75-1)&lt;1E-9,'Calc_Case'!N8/('Calc_Case'!N8+1),(1-POWER(O75,'Calc_Case'!N8))/(1-POWER(O75,'Calc_Case'!N8+1))))</x:f>
        <x:v>0.9615749164666757</x:v>
      </x:c>
      <x:c r="Q75" s="65" t="n">
        <x:f>IF(N75&lt;=0,0,MAX(0,N75-P75*K75))</x:f>
        <x:v>46714.53828554591</x:v>
      </x:c>
      <x:c r="R75" s="65" t="n">
        <x:f>IF(J75&lt;=0,0,MAX(1E-12,(L75*('In_Cases'!P8-H75)+M75*('In_Cases'!P8-'In_Cases'!V8))*G75*J75/1000))</x:f>
        <x:v>0</x:v>
      </x:c>
      <x:c r="S75" s="65" t="str">
        <x:f>IF(J75&lt;=0,"",K75/R75)</x:f>
      </x:c>
      <x:c r="T75" s="65" t="n">
        <x:f>IF(J75&lt;=0,0,IF(ABS(S75-1)&lt;1E-9,'Calc_Case'!N8/('Calc_Case'!N8+1),(1-POWER(S75,-'Calc_Case'!N8))/(1-POWER(S75,-'Calc_Case'!N8-1))))</x:f>
        <x:v>0</x:v>
      </x:c>
      <x:c r="U75" s="65" t="n">
        <x:f>IF(J75&lt;=0,0,'In_Cases'!Q8*MAX(0,K75-T75*R75))</x:f>
        <x:v>0</x:v>
      </x:c>
      <x:c r="V75" s="65" t="n">
        <x:f>MAX(0,1-I75-J75)</x:f>
        <x:v>0</x:v>
      </x:c>
      <x:c r="W75" s="65" t="n">
        <x:f>'In_Cases'!T8*(H75+'In_Cases'!S8*('In_Cases'!O8-H75))+(1-'In_Cases'!T8)*'In_Cases'!O8</x:f>
        <x:v>13.856130952380953</x:v>
      </x:c>
      <x:c r="X75" s="65" t="n">
        <x:f>'In_Cases'!T8*(H75+'In_Cases'!S8*('In_Cases'!P8-H75))+(1-'In_Cases'!T8)*'In_Cases'!P8</x:f>
        <x:v>17.156130952380952</x:v>
      </x:c>
      <x:c r="Y75" s="65" t="n">
        <x:f>'In_Cases'!T8*(H75+'In_Cases'!S8*((('In_Cases'!O8+'In_Cases'!P8)/2)-H75))+(1-'In_Cases'!T8)*(('In_Cases'!O8+'In_Cases'!P8)/2)</x:f>
        <x:v>15.506130952380952</x:v>
      </x:c>
      <x:c r="Z75" s="65" t="n">
        <x:f>'In_Cases'!R8*M75*('In_Cases'!U8-W75)*G75*I75/1000</x:f>
        <x:v>7132.75901554008</x:v>
      </x:c>
      <x:c r="AA75" s="65" t="n">
        <x:f>'In_Cases'!R8*M75*('In_Cases'!V8-X75)*G75*J75/1000</x:f>
        <x:v>0</x:v>
      </x:c>
      <x:c r="AB75" s="65" t="n">
        <x:f>'In_Cases'!R8*M75*('In_Cases'!V8-Y75)*G75*V75/1000</x:f>
        <x:v>0</x:v>
      </x:c>
      <x:c r="AC75" s="65" t="n">
        <x:f>MAX(0,Z75)+MAX(0,AA75)+MAX(0,AB75)</x:f>
        <x:v>7132.75901554008</x:v>
      </x:c>
      <x:c r="AD75" s="65" t="n">
        <x:f>MAX(0,-Z75)+MAX(0,-AA75)+MAX(0,-AB75)</x:f>
        <x:v>0</x:v>
      </x:c>
      <x:c r="AE75" s="65" t="n">
        <x:f>Q75+AC75</x:f>
        <x:v>53847.29730108599</x:v>
      </x:c>
      <x:c r="AF75" s="65" t="n">
        <x:f>U75+AD75</x:f>
        <x:v>0</x:v>
      </x:c>
    </x:row>
    <x:row r="76">
      <x:c r="A76" s="39" t="str">
        <x:f>'In_Monthly'!A76</x:f>
        <x:v>19|aggregate</x:v>
      </x:c>
      <x:c r="B76" s="39" t="str">
        <x:f>'In_Monthly'!B76</x:f>
        <x:v>19</x:v>
      </x:c>
      <x:c r="C76" s="39" t="str">
        <x:f>'In_Monthly'!C76</x:f>
        <x:v>Test building 3</x:v>
      </x:c>
      <x:c r="D76" s="39" t="str">
        <x:f>'In_Monthly'!D76</x:f>
        <x:v>aggregate</x:v>
      </x:c>
      <x:c r="E76" s="39" t="str">
        <x:f>'In_Monthly'!E76</x:f>
        <x:v>2023-03</x:v>
      </x:c>
      <x:c r="F76" s="65" t="n">
        <x:f>'In_Monthly'!F76</x:f>
        <x:v>31</x:v>
      </x:c>
      <x:c r="G76" s="65" t="n">
        <x:f>F76*24</x:f>
        <x:v>744</x:v>
      </x:c>
      <x:c r="H76" s="65" t="n">
        <x:f>'In_Monthly'!G76</x:f>
        <x:v>7.746908602150539</x:v>
      </x:c>
      <x:c r="I76" s="65" t="n">
        <x:f>'In_Monthly'!K76</x:f>
        <x:v>1</x:v>
      </x:c>
      <x:c r="J76" s="65" t="n">
        <x:f>'In_Monthly'!L76</x:f>
        <x:v>0</x:v>
      </x:c>
      <x:c r="K76" s="65" t="n">
        <x:f>'In_Monthly'!J76*G76/1000</x:f>
        <x:v>15161.080902079344</x:v>
      </x:c>
      <x:c r="L76" s="65" t="n">
        <x:f>'Calc_Case'!E8+'Calc_Case'!F8+'Calc_Case'!G8</x:f>
        <x:v>5223.042232939988</x:v>
      </x:c>
      <x:c r="M76" s="65" t="n">
        <x:f>'Calc_Case'!H8</x:f>
        <x:v>1303.3393173984375</x:v>
      </x:c>
      <x:c r="N76" s="65" t="n">
        <x:f>(L76*('In_Cases'!O8-H76)+M76*('In_Cases'!O8-'In_Cases'!U8))*G76*I76/1000</x:f>
        <x:v>48103.26494058783</x:v>
      </x:c>
      <x:c r="O76" s="65" t="n">
        <x:f>IF(N76&lt;=0,"",K76/N76)</x:f>
        <x:v>0.3151777934575697</x:v>
      </x:c>
      <x:c r="P76" s="65" t="n">
        <x:f>IF(N76&lt;=0,0,IF(ABS(O76-1)&lt;1E-9,'Calc_Case'!N8/('Calc_Case'!N8+1),(1-POWER(O76,'Calc_Case'!N8))/(1-POWER(O76,'Calc_Case'!N8+1))))</x:f>
        <x:v>0.913703901595394</x:v>
      </x:c>
      <x:c r="Q76" s="65" t="n">
        <x:f>IF(N76&lt;=0,0,MAX(0,N76-P76*K76))</x:f>
        <x:v>34250.52616795452</x:v>
      </x:c>
      <x:c r="R76" s="65" t="n">
        <x:f>IF(J76&lt;=0,0,MAX(1E-12,(L76*('In_Cases'!P8-H76)+M76*('In_Cases'!P8-'In_Cases'!V8))*G76*J76/1000))</x:f>
        <x:v>0</x:v>
      </x:c>
      <x:c r="S76" s="65" t="str">
        <x:f>IF(J76&lt;=0,"",K76/R76)</x:f>
      </x:c>
      <x:c r="T76" s="65" t="n">
        <x:f>IF(J76&lt;=0,0,IF(ABS(S76-1)&lt;1E-9,'Calc_Case'!N8/('Calc_Case'!N8+1),(1-POWER(S76,-'Calc_Case'!N8))/(1-POWER(S76,-'Calc_Case'!N8-1))))</x:f>
        <x:v>0</x:v>
      </x:c>
      <x:c r="U76" s="65" t="n">
        <x:f>IF(J76&lt;=0,0,'In_Cases'!Q8*MAX(0,K76-T76*R76))</x:f>
        <x:v>0</x:v>
      </x:c>
      <x:c r="V76" s="65" t="n">
        <x:f>MAX(0,1-I76-J76)</x:f>
        <x:v>0</x:v>
      </x:c>
      <x:c r="W76" s="65" t="n">
        <x:f>'In_Cases'!T8*(H76+'In_Cases'!S8*('In_Cases'!O8-H76))+(1-'In_Cases'!T8)*'In_Cases'!O8</x:f>
        <x:v>15.398763440860215</x:v>
      </x:c>
      <x:c r="X76" s="65" t="n">
        <x:f>'In_Cases'!T8*(H76+'In_Cases'!S8*('In_Cases'!P8-H76))+(1-'In_Cases'!T8)*'In_Cases'!P8</x:f>
        <x:v>18.698763440860212</x:v>
      </x:c>
      <x:c r="Y76" s="65" t="n">
        <x:f>'In_Cases'!T8*(H76+'In_Cases'!S8*((('In_Cases'!O8+'In_Cases'!P8)/2)-H76))+(1-'In_Cases'!T8)*(('In_Cases'!O8+'In_Cases'!P8)/2)</x:f>
        <x:v>17.048763440860213</x:v>
      </x:c>
      <x:c r="Z76" s="65" t="n">
        <x:f>'In_Cases'!R8*M76*('In_Cases'!U8-W76)*G76*I76/1000</x:f>
        <x:v>6401.116456325294</x:v>
      </x:c>
      <x:c r="AA76" s="65" t="n">
        <x:f>'In_Cases'!R8*M76*('In_Cases'!V8-X76)*G76*J76/1000</x:f>
        <x:v>0</x:v>
      </x:c>
      <x:c r="AB76" s="65" t="n">
        <x:f>'In_Cases'!R8*M76*('In_Cases'!V8-Y76)*G76*V76/1000</x:f>
        <x:v>0</x:v>
      </x:c>
      <x:c r="AC76" s="65" t="n">
        <x:f>MAX(0,Z76)+MAX(0,AA76)+MAX(0,AB76)</x:f>
        <x:v>6401.116456325294</x:v>
      </x:c>
      <x:c r="AD76" s="65" t="n">
        <x:f>MAX(0,-Z76)+MAX(0,-AA76)+MAX(0,-AB76)</x:f>
        <x:v>0</x:v>
      </x:c>
      <x:c r="AE76" s="65" t="n">
        <x:f>Q76+AC76</x:f>
        <x:v>40651.64262427982</x:v>
      </x:c>
      <x:c r="AF76" s="65" t="n">
        <x:f>U76+AD76</x:f>
        <x:v>0</x:v>
      </x:c>
    </x:row>
    <x:row r="77">
      <x:c r="A77" s="39" t="str">
        <x:f>'In_Monthly'!A77</x:f>
        <x:v>19|aggregate</x:v>
      </x:c>
      <x:c r="B77" s="39" t="str">
        <x:f>'In_Monthly'!B77</x:f>
        <x:v>19</x:v>
      </x:c>
      <x:c r="C77" s="39" t="str">
        <x:f>'In_Monthly'!C77</x:f>
        <x:v>Test building 3</x:v>
      </x:c>
      <x:c r="D77" s="39" t="str">
        <x:f>'In_Monthly'!D77</x:f>
        <x:v>aggregate</x:v>
      </x:c>
      <x:c r="E77" s="39" t="str">
        <x:f>'In_Monthly'!E77</x:f>
        <x:v>2023-04</x:v>
      </x:c>
      <x:c r="F77" s="65" t="n">
        <x:f>'In_Monthly'!F77</x:f>
        <x:v>30</x:v>
      </x:c>
      <x:c r="G77" s="65" t="n">
        <x:f>F77*24</x:f>
        <x:v>720</x:v>
      </x:c>
      <x:c r="H77" s="65" t="n">
        <x:f>'In_Monthly'!G77</x:f>
        <x:v>12.03041666666667</x:v>
      </x:c>
      <x:c r="I77" s="65" t="n">
        <x:f>'In_Monthly'!K77</x:f>
        <x:v>1</x:v>
      </x:c>
      <x:c r="J77" s="65" t="n">
        <x:f>'In_Monthly'!L77</x:f>
        <x:v>0</x:v>
      </x:c>
      <x:c r="K77" s="65" t="n">
        <x:f>'In_Monthly'!J77*G77/1000</x:f>
        <x:v>17083.453084305507</x:v>
      </x:c>
      <x:c r="L77" s="65" t="n">
        <x:f>'Calc_Case'!E8+'Calc_Case'!F8+'Calc_Case'!G8</x:f>
        <x:v>5223.042232939988</x:v>
      </x:c>
      <x:c r="M77" s="65" t="n">
        <x:f>'Calc_Case'!H8</x:f>
        <x:v>1303.3393173984375</x:v>
      </x:c>
      <x:c r="N77" s="65" t="n">
        <x:f>(L77*('In_Cases'!O8-H77)+M77*('In_Cases'!O8-'In_Cases'!U8))*G77*I77/1000</x:f>
        <x:v>30443.02737790102</x:v>
      </x:c>
      <x:c r="O77" s="65" t="n">
        <x:f>IF(N77&lt;=0,"",K77/N77)</x:f>
        <x:v>0.5611614400973342</x:v>
      </x:c>
      <x:c r="P77" s="65" t="n">
        <x:f>IF(N77&lt;=0,0,IF(ABS(O77-1)&lt;1E-9,'Calc_Case'!N8/('Calc_Case'!N8+1),(1-POWER(O77,'Calc_Case'!N8))/(1-POWER(O77,'Calc_Case'!N8+1))))</x:f>
        <x:v>0.8103201336794015</x:v>
      </x:c>
      <x:c r="Q77" s="65" t="n">
        <x:f>IF(N77&lt;=0,0,MAX(0,N77-P77*K77))</x:f>
        <x:v>16599.9613909208</x:v>
      </x:c>
      <x:c r="R77" s="65" t="n">
        <x:f>IF(J77&lt;=0,0,MAX(1E-12,(L77*('In_Cases'!P8-H77)+M77*('In_Cases'!P8-'In_Cases'!V8))*G77*J77/1000))</x:f>
        <x:v>0</x:v>
      </x:c>
      <x:c r="S77" s="65" t="str">
        <x:f>IF(J77&lt;=0,"",K77/R77)</x:f>
      </x:c>
      <x:c r="T77" s="65" t="n">
        <x:f>IF(J77&lt;=0,0,IF(ABS(S77-1)&lt;1E-9,'Calc_Case'!N8/('Calc_Case'!N8+1),(1-POWER(S77,-'Calc_Case'!N8))/(1-POWER(S77,-'Calc_Case'!N8-1))))</x:f>
        <x:v>0</x:v>
      </x:c>
      <x:c r="U77" s="65" t="n">
        <x:f>IF(J77&lt;=0,0,'In_Cases'!Q8*MAX(0,K77-T77*R77))</x:f>
        <x:v>0</x:v>
      </x:c>
      <x:c r="V77" s="65" t="n">
        <x:f>MAX(0,1-I77-J77)</x:f>
        <x:v>0</x:v>
      </x:c>
      <x:c r="W77" s="65" t="n">
        <x:f>'In_Cases'!T8*(H77+'In_Cases'!S8*('In_Cases'!O8-H77))+(1-'In_Cases'!T8)*'In_Cases'!O8</x:f>
        <x:v>17.112166666666667</x:v>
      </x:c>
      <x:c r="X77" s="65" t="n">
        <x:f>'In_Cases'!T8*(H77+'In_Cases'!S8*('In_Cases'!P8-H77))+(1-'In_Cases'!T8)*'In_Cases'!P8</x:f>
        <x:v>20.412166666666668</x:v>
      </x:c>
      <x:c r="Y77" s="65" t="n">
        <x:f>'In_Cases'!T8*(H77+'In_Cases'!S8*((('In_Cases'!O8+'In_Cases'!P8)/2)-H77))+(1-'In_Cases'!T8)*(('In_Cases'!O8+'In_Cases'!P8)/2)</x:f>
        <x:v>18.762166666666666</x:v>
      </x:c>
      <x:c r="Z77" s="65" t="n">
        <x:f>'In_Cases'!R8*M77*('In_Cases'!U8-W77)*G77*I77/1000</x:f>
        <x:v>4586.763859361277</x:v>
      </x:c>
      <x:c r="AA77" s="65" t="n">
        <x:f>'In_Cases'!R8*M77*('In_Cases'!V8-X77)*G77*J77/1000</x:f>
        <x:v>0</x:v>
      </x:c>
      <x:c r="AB77" s="65" t="n">
        <x:f>'In_Cases'!R8*M77*('In_Cases'!V8-Y77)*G77*V77/1000</x:f>
        <x:v>0</x:v>
      </x:c>
      <x:c r="AC77" s="65" t="n">
        <x:f>MAX(0,Z77)+MAX(0,AA77)+MAX(0,AB77)</x:f>
        <x:v>4586.763859361277</x:v>
      </x:c>
      <x:c r="AD77" s="65" t="n">
        <x:f>MAX(0,-Z77)+MAX(0,-AA77)+MAX(0,-AB77)</x:f>
        <x:v>0</x:v>
      </x:c>
      <x:c r="AE77" s="65" t="n">
        <x:f>Q77+AC77</x:f>
        <x:v>21186.725250282077</x:v>
      </x:c>
      <x:c r="AF77" s="65" t="n">
        <x:f>U77+AD77</x:f>
        <x:v>0</x:v>
      </x:c>
    </x:row>
    <x:row r="78">
      <x:c r="A78" s="39" t="str">
        <x:f>'In_Monthly'!A78</x:f>
        <x:v>19|aggregate</x:v>
      </x:c>
      <x:c r="B78" s="39" t="str">
        <x:f>'In_Monthly'!B78</x:f>
        <x:v>19</x:v>
      </x:c>
      <x:c r="C78" s="39" t="str">
        <x:f>'In_Monthly'!C78</x:f>
        <x:v>Test building 3</x:v>
      </x:c>
      <x:c r="D78" s="39" t="str">
        <x:f>'In_Monthly'!D78</x:f>
        <x:v>aggregate</x:v>
      </x:c>
      <x:c r="E78" s="39" t="str">
        <x:f>'In_Monthly'!E78</x:f>
        <x:v>2023-05</x:v>
      </x:c>
      <x:c r="F78" s="65" t="n">
        <x:f>'In_Monthly'!F78</x:f>
        <x:v>31</x:v>
      </x:c>
      <x:c r="G78" s="65" t="n">
        <x:f>F78*24</x:f>
        <x:v>744</x:v>
      </x:c>
      <x:c r="H78" s="65" t="n">
        <x:f>'In_Monthly'!G78</x:f>
        <x:v>17.244086021505375</x:v>
      </x:c>
      <x:c r="I78" s="65" t="n">
        <x:f>'In_Monthly'!K78</x:f>
        <x:v>0</x:v>
      </x:c>
      <x:c r="J78" s="65" t="n">
        <x:f>'In_Monthly'!L78</x:f>
        <x:v>0</x:v>
      </x:c>
      <x:c r="K78" s="65" t="n">
        <x:f>'In_Monthly'!J78*G78/1000</x:f>
        <x:v>20263.806173444384</x:v>
      </x:c>
      <x:c r="L78" s="65" t="n">
        <x:f>'Calc_Case'!E8+'Calc_Case'!F8+'Calc_Case'!G8</x:f>
        <x:v>5223.042232939988</x:v>
      </x:c>
      <x:c r="M78" s="65" t="n">
        <x:f>'Calc_Case'!H8</x:f>
        <x:v>1303.3393173984375</x:v>
      </x:c>
      <x:c r="N78" s="65" t="n">
        <x:f>(L78*('In_Cases'!O8-H78)+M78*('In_Cases'!O8-'In_Cases'!U8))*G78*I78/1000</x:f>
        <x:v>0</x:v>
      </x:c>
      <x:c r="O78" s="65" t="str">
        <x:f>IF(N78&lt;=0,"",K78/N78)</x:f>
      </x:c>
      <x:c r="P78" s="65" t="n">
        <x:f>IF(N78&lt;=0,0,IF(ABS(O78-1)&lt;1E-9,'Calc_Case'!N8/('Calc_Case'!N8+1),(1-POWER(O78,'Calc_Case'!N8))/(1-POWER(O78,'Calc_Case'!N8+1))))</x:f>
        <x:v>0</x:v>
      </x:c>
      <x:c r="Q78" s="65" t="n">
        <x:f>IF(N78&lt;=0,0,MAX(0,N78-P78*K78))</x:f>
        <x:v>0</x:v>
      </x:c>
      <x:c r="R78" s="65" t="n">
        <x:f>IF(J78&lt;=0,0,MAX(1E-12,(L78*('In_Cases'!P8-H78)+M78*('In_Cases'!P8-'In_Cases'!V8))*G78*J78/1000))</x:f>
        <x:v>0</x:v>
      </x:c>
      <x:c r="S78" s="65" t="str">
        <x:f>IF(J78&lt;=0,"",K78/R78)</x:f>
      </x:c>
      <x:c r="T78" s="65" t="n">
        <x:f>IF(J78&lt;=0,0,IF(ABS(S78-1)&lt;1E-9,'Calc_Case'!N8/('Calc_Case'!N8+1),(1-POWER(S78,-'Calc_Case'!N8))/(1-POWER(S78,-'Calc_Case'!N8-1))))</x:f>
        <x:v>0</x:v>
      </x:c>
      <x:c r="U78" s="65" t="n">
        <x:f>IF(J78&lt;=0,0,'In_Cases'!Q8*MAX(0,K78-T78*R78))</x:f>
        <x:v>0</x:v>
      </x:c>
      <x:c r="V78" s="65" t="n">
        <x:f>MAX(0,1-I78-J78)</x:f>
        <x:v>1</x:v>
      </x:c>
      <x:c r="W78" s="65" t="n">
        <x:f>'In_Cases'!T8*(H78+'In_Cases'!S8*('In_Cases'!O8-H78))+(1-'In_Cases'!T8)*'In_Cases'!O8</x:f>
        <x:v>19.19763440860215</x:v>
      </x:c>
      <x:c r="X78" s="65" t="n">
        <x:f>'In_Cases'!T8*(H78+'In_Cases'!S8*('In_Cases'!P8-H78))+(1-'In_Cases'!T8)*'In_Cases'!P8</x:f>
        <x:v>22.49763440860215</x:v>
      </x:c>
      <x:c r="Y78" s="65" t="n">
        <x:f>'In_Cases'!T8*(H78+'In_Cases'!S8*((('In_Cases'!O8+'In_Cases'!P8)/2)-H78))+(1-'In_Cases'!T8)*(('In_Cases'!O8+'In_Cases'!P8)/2)</x:f>
        <x:v>20.84763440860215</x:v>
      </x:c>
      <x:c r="Z78" s="65" t="n">
        <x:f>'In_Cases'!R8*M78*('In_Cases'!U8-W78)*G78*I78/1000</x:f>
        <x:v>0</x:v>
      </x:c>
      <x:c r="AA78" s="65" t="n">
        <x:f>'In_Cases'!R8*M78*('In_Cases'!V8-X78)*G78*J78/1000</x:f>
        <x:v>0</x:v>
      </x:c>
      <x:c r="AB78" s="65" t="n">
        <x:f>'In_Cases'!R8*M78*('In_Cases'!V8-Y78)*G78*V78/1000</x:f>
        <x:v>2087.1154493091617</x:v>
      </x:c>
      <x:c r="AC78" s="65" t="n">
        <x:f>MAX(0,Z78)+MAX(0,AA78)+MAX(0,AB78)</x:f>
        <x:v>2087.1154493091617</x:v>
      </x:c>
      <x:c r="AD78" s="65" t="n">
        <x:f>MAX(0,-Z78)+MAX(0,-AA78)+MAX(0,-AB78)</x:f>
        <x:v>0</x:v>
      </x:c>
      <x:c r="AE78" s="65" t="n">
        <x:f>Q78+AC78</x:f>
        <x:v>2087.1154493091617</x:v>
      </x:c>
      <x:c r="AF78" s="65" t="n">
        <x:f>U78+AD78</x:f>
        <x:v>0</x:v>
      </x:c>
    </x:row>
    <x:row r="79">
      <x:c r="A79" s="39" t="str">
        <x:f>'In_Monthly'!A79</x:f>
        <x:v>19|aggregate</x:v>
      </x:c>
      <x:c r="B79" s="39" t="str">
        <x:f>'In_Monthly'!B79</x:f>
        <x:v>19</x:v>
      </x:c>
      <x:c r="C79" s="39" t="str">
        <x:f>'In_Monthly'!C79</x:f>
        <x:v>Test building 3</x:v>
      </x:c>
      <x:c r="D79" s="39" t="str">
        <x:f>'In_Monthly'!D79</x:f>
        <x:v>aggregate</x:v>
      </x:c>
      <x:c r="E79" s="39" t="str">
        <x:f>'In_Monthly'!E79</x:f>
        <x:v>2023-06</x:v>
      </x:c>
      <x:c r="F79" s="65" t="n">
        <x:f>'In_Monthly'!F79</x:f>
        <x:v>30</x:v>
      </x:c>
      <x:c r="G79" s="65" t="n">
        <x:f>F79*24</x:f>
        <x:v>720</x:v>
      </x:c>
      <x:c r="H79" s="65" t="n">
        <x:f>'In_Monthly'!G79</x:f>
        <x:v>20.758194444444445</x:v>
      </x:c>
      <x:c r="I79" s="65" t="n">
        <x:f>'In_Monthly'!K79</x:f>
        <x:v>0</x:v>
      </x:c>
      <x:c r="J79" s="65" t="n">
        <x:f>'In_Monthly'!L79</x:f>
        <x:v>1</x:v>
      </x:c>
      <x:c r="K79" s="65" t="n">
        <x:f>'In_Monthly'!J79*G79/1000</x:f>
        <x:v>20378.529768112556</x:v>
      </x:c>
      <x:c r="L79" s="65" t="n">
        <x:f>'Calc_Case'!E8+'Calc_Case'!F8+'Calc_Case'!G8</x:f>
        <x:v>5223.042232939988</x:v>
      </x:c>
      <x:c r="M79" s="65" t="n">
        <x:f>'Calc_Case'!H8</x:f>
        <x:v>1303.3393173984375</x:v>
      </x:c>
      <x:c r="N79" s="65" t="n">
        <x:f>(L79*('In_Cases'!O8-H79)+M79*('In_Cases'!O8-'In_Cases'!U8))*G79*I79/1000</x:f>
        <x:v>0</x:v>
      </x:c>
      <x:c r="O79" s="65" t="str">
        <x:f>IF(N79&lt;=0,"",K79/N79)</x:f>
      </x:c>
      <x:c r="P79" s="65" t="n">
        <x:f>IF(N79&lt;=0,0,IF(ABS(O79-1)&lt;1E-9,'Calc_Case'!N8/('Calc_Case'!N8+1),(1-POWER(O79,'Calc_Case'!N8))/(1-POWER(O79,'Calc_Case'!N8+1))))</x:f>
        <x:v>0</x:v>
      </x:c>
      <x:c r="Q79" s="65" t="n">
        <x:f>IF(N79&lt;=0,0,MAX(0,N79-P79*K79))</x:f>
        <x:v>0</x:v>
      </x:c>
      <x:c r="R79" s="65" t="n">
        <x:f>IF(J79&lt;=0,0,MAX(1E-12,(L79*('In_Cases'!P8-H79)+M79*('In_Cases'!P8-'In_Cases'!V8))*G79*J79/1000))</x:f>
        <x:v>22527.496616919427</x:v>
      </x:c>
      <x:c r="S79" s="65" t="n">
        <x:f>IF(J79&lt;=0,"",K79/R79)</x:f>
        <x:v>0.9046069394504813</x:v>
      </x:c>
      <x:c r="T79" s="65" t="n">
        <x:f>IF(J79&lt;=0,0,IF(ABS(S79-1)&lt;1E-9,'Calc_Case'!N8/('Calc_Case'!N8+1),(1-POWER(S79,-'Calc_Case'!N8))/(1-POWER(S79,-'Calc_Case'!N8-1))))</x:f>
        <x:v>0.6135607351874772</x:v>
      </x:c>
      <x:c r="U79" s="65" t="n">
        <x:f>IF(J79&lt;=0,0,'In_Cases'!Q8*MAX(0,K79-T79*R79))</x:f>
        <x:v>6556.542381902067</x:v>
      </x:c>
      <x:c r="V79" s="65" t="n">
        <x:f>MAX(0,1-I79-J79)</x:f>
        <x:v>0</x:v>
      </x:c>
      <x:c r="W79" s="65" t="n">
        <x:f>'In_Cases'!T8*(H79+'In_Cases'!S8*('In_Cases'!O8-H79))+(1-'In_Cases'!T8)*'In_Cases'!O8</x:f>
        <x:v>20.603277777777777</x:v>
      </x:c>
      <x:c r="X79" s="65" t="n">
        <x:f>'In_Cases'!T8*(H79+'In_Cases'!S8*('In_Cases'!P8-H79))+(1-'In_Cases'!T8)*'In_Cases'!P8</x:f>
        <x:v>23.903277777777777</x:v>
      </x:c>
      <x:c r="Y79" s="65" t="n">
        <x:f>'In_Cases'!T8*(H79+'In_Cases'!S8*((('In_Cases'!O8+'In_Cases'!P8)/2)-H79))+(1-'In_Cases'!T8)*(('In_Cases'!O8+'In_Cases'!P8)/2)</x:f>
        <x:v>22.25327777777778</x:v>
      </x:c>
      <x:c r="Z79" s="65" t="n">
        <x:f>'In_Cases'!R8*M79*('In_Cases'!U8-W79)*G79*I79/1000</x:f>
        <x:v>0</x:v>
      </x:c>
      <x:c r="AA79" s="65" t="n">
        <x:f>'In_Cases'!R8*M79*('In_Cases'!V8-X79)*G79*J79/1000</x:f>
        <x:v>-847.6397584632474</x:v>
      </x:c>
      <x:c r="AB79" s="65" t="n">
        <x:f>'In_Cases'!R8*M79*('In_Cases'!V8-Y79)*G79*V79/1000</x:f>
        <x:v>0</x:v>
      </x:c>
      <x:c r="AC79" s="65" t="n">
        <x:f>MAX(0,Z79)+MAX(0,AA79)+MAX(0,AB79)</x:f>
        <x:v>0</x:v>
      </x:c>
      <x:c r="AD79" s="65" t="n">
        <x:f>MAX(0,-Z79)+MAX(0,-AA79)+MAX(0,-AB79)</x:f>
        <x:v>847.6397584632474</x:v>
      </x:c>
      <x:c r="AE79" s="65" t="n">
        <x:f>Q79+AC79</x:f>
        <x:v>0</x:v>
      </x:c>
      <x:c r="AF79" s="65" t="n">
        <x:f>U79+AD79</x:f>
        <x:v>7404.182140365315</x:v>
      </x:c>
    </x:row>
    <x:row r="80">
      <x:c r="A80" s="39" t="str">
        <x:f>'In_Monthly'!A80</x:f>
        <x:v>19|aggregate</x:v>
      </x:c>
      <x:c r="B80" s="39" t="str">
        <x:f>'In_Monthly'!B80</x:f>
        <x:v>19</x:v>
      </x:c>
      <x:c r="C80" s="39" t="str">
        <x:f>'In_Monthly'!C80</x:f>
        <x:v>Test building 3</x:v>
      </x:c>
      <x:c r="D80" s="39" t="str">
        <x:f>'In_Monthly'!D80</x:f>
        <x:v>aggregate</x:v>
      </x:c>
      <x:c r="E80" s="39" t="str">
        <x:f>'In_Monthly'!E80</x:f>
        <x:v>2023-07</x:v>
      </x:c>
      <x:c r="F80" s="65" t="n">
        <x:f>'In_Monthly'!F80</x:f>
        <x:v>31</x:v>
      </x:c>
      <x:c r="G80" s="65" t="n">
        <x:f>F80*24</x:f>
        <x:v>744</x:v>
      </x:c>
      <x:c r="H80" s="65" t="n">
        <x:f>'In_Monthly'!G80</x:f>
        <x:v>23.824193548387097</x:v>
      </x:c>
      <x:c r="I80" s="65" t="n">
        <x:f>'In_Monthly'!K80</x:f>
        <x:v>0</x:v>
      </x:c>
      <x:c r="J80" s="65" t="n">
        <x:f>'In_Monthly'!L80</x:f>
        <x:v>1</x:v>
      </x:c>
      <x:c r="K80" s="65" t="n">
        <x:f>'In_Monthly'!J80*G80/1000</x:f>
        <x:v>21574.07816406244</x:v>
      </x:c>
      <x:c r="L80" s="65" t="n">
        <x:f>'Calc_Case'!E8+'Calc_Case'!F8+'Calc_Case'!G8</x:f>
        <x:v>5223.042232939988</x:v>
      </x:c>
      <x:c r="M80" s="65" t="n">
        <x:f>'Calc_Case'!H8</x:f>
        <x:v>1303.3393173984375</x:v>
      </x:c>
      <x:c r="N80" s="65" t="n">
        <x:f>(L80*('In_Cases'!O8-H80)+M80*('In_Cases'!O8-'In_Cases'!U8))*G80*I80/1000</x:f>
        <x:v>0</x:v>
      </x:c>
      <x:c r="O80" s="65" t="str">
        <x:f>IF(N80&lt;=0,"",K80/N80)</x:f>
      </x:c>
      <x:c r="P80" s="65" t="n">
        <x:f>IF(N80&lt;=0,0,IF(ABS(O80-1)&lt;1E-9,'Calc_Case'!N8/('Calc_Case'!N8+1),(1-POWER(O80,'Calc_Case'!N8))/(1-POWER(O80,'Calc_Case'!N8+1))))</x:f>
        <x:v>0</x:v>
      </x:c>
      <x:c r="Q80" s="65" t="n">
        <x:f>IF(N80&lt;=0,0,MAX(0,N80-P80*K80))</x:f>
        <x:v>0</x:v>
      </x:c>
      <x:c r="R80" s="65" t="n">
        <x:f>IF(J80&lt;=0,0,MAX(1E-12,(L80*('In_Cases'!P8-H80)+M80*('In_Cases'!P8-'In_Cases'!V8))*G80*J80/1000))</x:f>
        <x:v>11364.114123116564</x:v>
      </x:c>
      <x:c r="S80" s="65" t="n">
        <x:f>IF(J80&lt;=0,"",K80/R80)</x:f>
        <x:v>1.8984390626786345</x:v>
      </x:c>
      <x:c r="T80" s="65" t="n">
        <x:f>IF(J80&lt;=0,0,IF(ABS(S80-1)&lt;1E-9,'Calc_Case'!N8/('Calc_Case'!N8+1),(1-POWER(S80,-'Calc_Case'!N8))/(1-POWER(S80,-'Calc_Case'!N8-1))))</x:f>
        <x:v>0.8247539492254492</x:v>
      </x:c>
      <x:c r="U80" s="65" t="n">
        <x:f>IF(J80&lt;=0,0,'In_Cases'!Q8*MAX(0,K80-T80*R80))</x:f>
        <x:v>12201.480161573352</x:v>
      </x:c>
      <x:c r="V80" s="65" t="n">
        <x:f>MAX(0,1-I80-J80)</x:f>
        <x:v>0</x:v>
      </x:c>
      <x:c r="W80" s="65" t="n">
        <x:f>'In_Cases'!T8*(H80+'In_Cases'!S8*('In_Cases'!O8-H80))+(1-'In_Cases'!T8)*'In_Cases'!O8</x:f>
        <x:v>21.829677419354837</x:v>
      </x:c>
      <x:c r="X80" s="65" t="n">
        <x:f>'In_Cases'!T8*(H80+'In_Cases'!S8*('In_Cases'!P8-H80))+(1-'In_Cases'!T8)*'In_Cases'!P8</x:f>
        <x:v>25.129677419354838</x:v>
      </x:c>
      <x:c r="Y80" s="65" t="n">
        <x:f>'In_Cases'!T8*(H80+'In_Cases'!S8*((('In_Cases'!O8+'In_Cases'!P8)/2)-H80))+(1-'In_Cases'!T8)*(('In_Cases'!O8+'In_Cases'!P8)/2)</x:f>
        <x:v>23.47967741935484</x:v>
      </x:c>
      <x:c r="Z80" s="65" t="n">
        <x:f>'In_Cases'!R8*M80*('In_Cases'!U8-W80)*G80*I80/1000</x:f>
        <x:v>0</x:v>
      </x:c>
      <x:c r="AA80" s="65" t="n">
        <x:f>'In_Cases'!R8*M80*('In_Cases'!V8-X80)*G80*J80/1000</x:f>
        <x:v>-2065.1150816314757</x:v>
      </x:c>
      <x:c r="AB80" s="65" t="n">
        <x:f>'In_Cases'!R8*M80*('In_Cases'!V8-Y80)*G80*V80/1000</x:f>
        <x:v>0</x:v>
      </x:c>
      <x:c r="AC80" s="65" t="n">
        <x:f>MAX(0,Z80)+MAX(0,AA80)+MAX(0,AB80)</x:f>
        <x:v>0</x:v>
      </x:c>
      <x:c r="AD80" s="65" t="n">
        <x:f>MAX(0,-Z80)+MAX(0,-AA80)+MAX(0,-AB80)</x:f>
        <x:v>2065.1150816314757</x:v>
      </x:c>
      <x:c r="AE80" s="65" t="n">
        <x:f>Q80+AC80</x:f>
        <x:v>0</x:v>
      </x:c>
      <x:c r="AF80" s="65" t="n">
        <x:f>U80+AD80</x:f>
        <x:v>14266.595243204829</x:v>
      </x:c>
    </x:row>
    <x:row r="81">
      <x:c r="A81" s="39" t="str">
        <x:f>'In_Monthly'!A81</x:f>
        <x:v>19|aggregate</x:v>
      </x:c>
      <x:c r="B81" s="39" t="str">
        <x:f>'In_Monthly'!B81</x:f>
        <x:v>19</x:v>
      </x:c>
      <x:c r="C81" s="39" t="str">
        <x:f>'In_Monthly'!C81</x:f>
        <x:v>Test building 3</x:v>
      </x:c>
      <x:c r="D81" s="39" t="str">
        <x:f>'In_Monthly'!D81</x:f>
        <x:v>aggregate</x:v>
      </x:c>
      <x:c r="E81" s="39" t="str">
        <x:f>'In_Monthly'!E81</x:f>
        <x:v>2023-08</x:v>
      </x:c>
      <x:c r="F81" s="65" t="n">
        <x:f>'In_Monthly'!F81</x:f>
        <x:v>31</x:v>
      </x:c>
      <x:c r="G81" s="65" t="n">
        <x:f>F81*24</x:f>
        <x:v>744</x:v>
      </x:c>
      <x:c r="H81" s="65" t="n">
        <x:f>'In_Monthly'!G81</x:f>
        <x:v>22.74717741935484</x:v>
      </x:c>
      <x:c r="I81" s="65" t="n">
        <x:f>'In_Monthly'!K81</x:f>
        <x:v>0</x:v>
      </x:c>
      <x:c r="J81" s="65" t="n">
        <x:f>'In_Monthly'!L81</x:f>
        <x:v>1</x:v>
      </x:c>
      <x:c r="K81" s="65" t="n">
        <x:f>'In_Monthly'!J81*G81/1000</x:f>
        <x:v>19690.10955152474</x:v>
      </x:c>
      <x:c r="L81" s="65" t="n">
        <x:f>'Calc_Case'!E8+'Calc_Case'!F8+'Calc_Case'!G8</x:f>
        <x:v>5223.042232939988</x:v>
      </x:c>
      <x:c r="M81" s="65" t="n">
        <x:f>'Calc_Case'!H8</x:f>
        <x:v>1303.3393173984375</x:v>
      </x:c>
      <x:c r="N81" s="65" t="n">
        <x:f>(L81*('In_Cases'!O8-H81)+M81*('In_Cases'!O8-'In_Cases'!U8))*G81*I81/1000</x:f>
        <x:v>0</x:v>
      </x:c>
      <x:c r="O81" s="65" t="str">
        <x:f>IF(N81&lt;=0,"",K81/N81)</x:f>
      </x:c>
      <x:c r="P81" s="65" t="n">
        <x:f>IF(N81&lt;=0,0,IF(ABS(O81-1)&lt;1E-9,'Calc_Case'!N8/('Calc_Case'!N8+1),(1-POWER(O81,'Calc_Case'!N8))/(1-POWER(O81,'Calc_Case'!N8+1))))</x:f>
        <x:v>0</x:v>
      </x:c>
      <x:c r="Q81" s="65" t="n">
        <x:f>IF(N81&lt;=0,0,MAX(0,N81-P81*K81))</x:f>
        <x:v>0</x:v>
      </x:c>
      <x:c r="R81" s="65" t="n">
        <x:f>IF(J81&lt;=0,0,MAX(1E-12,(L81*('In_Cases'!P8-H81)+M81*('In_Cases'!P8-'In_Cases'!V8))*G81*J81/1000))</x:f>
        <x:v>15549.337864371368</x:v>
      </x:c>
      <x:c r="S81" s="65" t="n">
        <x:f>IF(J81&lt;=0,"",K81/R81)</x:f>
        <x:v>1.2662989075979394</x:v>
      </x:c>
      <x:c r="T81" s="65" t="n">
        <x:f>IF(J81&lt;=0,0,IF(ABS(S81-1)&lt;1E-9,'Calc_Case'!N8/('Calc_Case'!N8+1),(1-POWER(S81,-'Calc_Case'!N8))/(1-POWER(S81,-'Calc_Case'!N8-1))))</x:f>
        <x:v>0.7195653799491861</x:v>
      </x:c>
      <x:c r="U81" s="65" t="n">
        <x:f>IF(J81&lt;=0,0,'In_Cases'!Q8*MAX(0,K81-T81*R81))</x:f>
        <x:v>8501.34434319009</x:v>
      </x:c>
      <x:c r="V81" s="65" t="n">
        <x:f>MAX(0,1-I81-J81)</x:f>
        <x:v>0</x:v>
      </x:c>
      <x:c r="W81" s="65" t="n">
        <x:f>'In_Cases'!T8*(H81+'In_Cases'!S8*('In_Cases'!O8-H81))+(1-'In_Cases'!T8)*'In_Cases'!O8</x:f>
        <x:v>21.398870967741935</x:v>
      </x:c>
      <x:c r="X81" s="65" t="n">
        <x:f>'In_Cases'!T8*(H81+'In_Cases'!S8*('In_Cases'!P8-H81))+(1-'In_Cases'!T8)*'In_Cases'!P8</x:f>
        <x:v>24.698870967741936</x:v>
      </x:c>
      <x:c r="Y81" s="65" t="n">
        <x:f>'In_Cases'!T8*(H81+'In_Cases'!S8*((('In_Cases'!O8+'In_Cases'!P8)/2)-H81))+(1-'In_Cases'!T8)*(('In_Cases'!O8+'In_Cases'!P8)/2)</x:f>
        <x:v>23.048870967741937</x:v>
      </x:c>
      <x:c r="Z81" s="65" t="n">
        <x:f>'In_Cases'!R8*M81*('In_Cases'!U8-W81)*G81*I81/1000</x:f>
        <x:v>0</x:v>
      </x:c>
      <x:c r="AA81" s="65" t="n">
        <x:f>'In_Cases'!R8*M81*('In_Cases'!V8-X81)*G81*J81/1000</x:f>
        <x:v>-1647.3687636189293</x:v>
      </x:c>
      <x:c r="AB81" s="65" t="n">
        <x:f>'In_Cases'!R8*M81*('In_Cases'!V8-Y81)*G81*V81/1000</x:f>
        <x:v>0</x:v>
      </x:c>
      <x:c r="AC81" s="65" t="n">
        <x:f>MAX(0,Z81)+MAX(0,AA81)+MAX(0,AB81)</x:f>
        <x:v>0</x:v>
      </x:c>
      <x:c r="AD81" s="65" t="n">
        <x:f>MAX(0,-Z81)+MAX(0,-AA81)+MAX(0,-AB81)</x:f>
        <x:v>1647.3687636189293</x:v>
      </x:c>
      <x:c r="AE81" s="65" t="n">
        <x:f>Q81+AC81</x:f>
        <x:v>0</x:v>
      </x:c>
      <x:c r="AF81" s="65" t="n">
        <x:f>U81+AD81</x:f>
        <x:v>10148.71310680902</x:v>
      </x:c>
    </x:row>
    <x:row r="82">
      <x:c r="A82" s="39" t="str">
        <x:f>'In_Monthly'!A82</x:f>
        <x:v>19|aggregate</x:v>
      </x:c>
      <x:c r="B82" s="39" t="str">
        <x:f>'In_Monthly'!B82</x:f>
        <x:v>19</x:v>
      </x:c>
      <x:c r="C82" s="39" t="str">
        <x:f>'In_Monthly'!C82</x:f>
        <x:v>Test building 3</x:v>
      </x:c>
      <x:c r="D82" s="39" t="str">
        <x:f>'In_Monthly'!D82</x:f>
        <x:v>aggregate</x:v>
      </x:c>
      <x:c r="E82" s="39" t="str">
        <x:f>'In_Monthly'!E82</x:f>
        <x:v>2023-09</x:v>
      </x:c>
      <x:c r="F82" s="65" t="n">
        <x:f>'In_Monthly'!F82</x:f>
        <x:v>30</x:v>
      </x:c>
      <x:c r="G82" s="65" t="n">
        <x:f>F82*24</x:f>
        <x:v>720</x:v>
      </x:c>
      <x:c r="H82" s="65" t="n">
        <x:f>'In_Monthly'!G82</x:f>
        <x:v>19.61638888888889</x:v>
      </x:c>
      <x:c r="I82" s="65" t="n">
        <x:f>'In_Monthly'!K82</x:f>
        <x:v>0</x:v>
      </x:c>
      <x:c r="J82" s="65" t="n">
        <x:f>'In_Monthly'!L82</x:f>
        <x:v>1</x:v>
      </x:c>
      <x:c r="K82" s="65" t="n">
        <x:f>'In_Monthly'!J82*G82/1000</x:f>
        <x:v>16449.75301698582</x:v>
      </x:c>
      <x:c r="L82" s="65" t="n">
        <x:f>'Calc_Case'!E8+'Calc_Case'!F8+'Calc_Case'!G8</x:f>
        <x:v>5223.042232939988</x:v>
      </x:c>
      <x:c r="M82" s="65" t="n">
        <x:f>'Calc_Case'!H8</x:f>
        <x:v>1303.3393173984375</x:v>
      </x:c>
      <x:c r="N82" s="65" t="n">
        <x:f>(L82*('In_Cases'!O8-H82)+M82*('In_Cases'!O8-'In_Cases'!U8))*G82*I82/1000</x:f>
        <x:v>0</x:v>
      </x:c>
      <x:c r="O82" s="65" t="str">
        <x:f>IF(N82&lt;=0,"",K82/N82)</x:f>
      </x:c>
      <x:c r="P82" s="65" t="n">
        <x:f>IF(N82&lt;=0,0,IF(ABS(O82-1)&lt;1E-9,'Calc_Case'!N8/('Calc_Case'!N8+1),(1-POWER(O82,'Calc_Case'!N8))/(1-POWER(O82,'Calc_Case'!N8+1))))</x:f>
        <x:v>0</x:v>
      </x:c>
      <x:c r="Q82" s="65" t="n">
        <x:f>IF(N82&lt;=0,0,MAX(0,N82-P82*K82))</x:f>
        <x:v>0</x:v>
      </x:c>
      <x:c r="R82" s="65" t="n">
        <x:f>IF(J82&lt;=0,0,MAX(1E-12,(L82*('In_Cases'!P8-H82)+M82*('In_Cases'!P8-'In_Cases'!V8))*G82*J82/1000))</x:f>
        <x:v>26821.3596366194</x:v>
      </x:c>
      <x:c r="S82" s="65" t="n">
        <x:f>IF(J82&lt;=0,"",K82/R82)</x:f>
        <x:v>0.6133079470932878</x:v>
      </x:c>
      <x:c r="T82" s="65" t="n">
        <x:f>IF(J82&lt;=0,0,IF(ABS(S82-1)&lt;1E-9,'Calc_Case'!N8/('Calc_Case'!N8+1),(1-POWER(S82,-'Calc_Case'!N8))/(1-POWER(S82,-'Calc_Case'!N8-1))))</x:f>
        <x:v>0.48374608053937185</x:v>
      </x:c>
      <x:c r="U82" s="65" t="n">
        <x:f>IF(J82&lt;=0,0,'In_Cases'!Q8*MAX(0,K82-T82*R82))</x:f>
        <x:v>3475.0254180342727</x:v>
      </x:c>
      <x:c r="V82" s="65" t="n">
        <x:f>MAX(0,1-I82-J82)</x:f>
        <x:v>0</x:v>
      </x:c>
      <x:c r="W82" s="65" t="n">
        <x:f>'In_Cases'!T8*(H82+'In_Cases'!S8*('In_Cases'!O8-H82))+(1-'In_Cases'!T8)*'In_Cases'!O8</x:f>
        <x:v>20.146555555555555</x:v>
      </x:c>
      <x:c r="X82" s="65" t="n">
        <x:f>'In_Cases'!T8*(H82+'In_Cases'!S8*('In_Cases'!P8-H82))+(1-'In_Cases'!T8)*'In_Cases'!P8</x:f>
        <x:v>23.446555555555555</x:v>
      </x:c>
      <x:c r="Y82" s="65" t="n">
        <x:f>'In_Cases'!T8*(H82+'In_Cases'!S8*((('In_Cases'!O8+'In_Cases'!P8)/2)-H82))+(1-'In_Cases'!T8)*(('In_Cases'!O8+'In_Cases'!P8)/2)</x:f>
        <x:v>21.796555555555557</x:v>
      </x:c>
      <x:c r="Z82" s="65" t="n">
        <x:f>'In_Cases'!R8*M82*('In_Cases'!U8-W82)*G82*I82/1000</x:f>
        <x:v>0</x:v>
      </x:c>
      <x:c r="AA82" s="65" t="n">
        <x:f>'In_Cases'!R8*M82*('In_Cases'!V8-X82)*G82*J82/1000</x:f>
        <x:v>-419.0496573299455</x:v>
      </x:c>
      <x:c r="AB82" s="65" t="n">
        <x:f>'In_Cases'!R8*M82*('In_Cases'!V8-Y82)*G82*V82/1000</x:f>
        <x:v>0</x:v>
      </x:c>
      <x:c r="AC82" s="65" t="n">
        <x:f>MAX(0,Z82)+MAX(0,AA82)+MAX(0,AB82)</x:f>
        <x:v>0</x:v>
      </x:c>
      <x:c r="AD82" s="65" t="n">
        <x:f>MAX(0,-Z82)+MAX(0,-AA82)+MAX(0,-AB82)</x:f>
        <x:v>419.0496573299455</x:v>
      </x:c>
      <x:c r="AE82" s="65" t="n">
        <x:f>Q82+AC82</x:f>
        <x:v>0</x:v>
      </x:c>
      <x:c r="AF82" s="65" t="n">
        <x:f>U82+AD82</x:f>
        <x:v>3894.0750753642183</x:v>
      </x:c>
    </x:row>
    <x:row r="83">
      <x:c r="A83" s="39" t="str">
        <x:f>'In_Monthly'!A83</x:f>
        <x:v>19|aggregate</x:v>
      </x:c>
      <x:c r="B83" s="39" t="str">
        <x:f>'In_Monthly'!B83</x:f>
        <x:v>19</x:v>
      </x:c>
      <x:c r="C83" s="39" t="str">
        <x:f>'In_Monthly'!C83</x:f>
        <x:v>Test building 3</x:v>
      </x:c>
      <x:c r="D83" s="39" t="str">
        <x:f>'In_Monthly'!D83</x:f>
        <x:v>aggregate</x:v>
      </x:c>
      <x:c r="E83" s="39" t="str">
        <x:f>'In_Monthly'!E83</x:f>
        <x:v>2023-10</x:v>
      </x:c>
      <x:c r="F83" s="65" t="n">
        <x:f>'In_Monthly'!F83</x:f>
        <x:v>31</x:v>
      </x:c>
      <x:c r="G83" s="65" t="n">
        <x:f>F83*24</x:f>
        <x:v>744</x:v>
      </x:c>
      <x:c r="H83" s="65" t="n">
        <x:f>'In_Monthly'!G83</x:f>
        <x:v>13.926209677419354</x:v>
      </x:c>
      <x:c r="I83" s="65" t="n">
        <x:f>'In_Monthly'!K83</x:f>
        <x:v>0.5483870967741935</x:v>
      </x:c>
      <x:c r="J83" s="65" t="n">
        <x:f>'In_Monthly'!L83</x:f>
        <x:v>0</x:v>
      </x:c>
      <x:c r="K83" s="65" t="n">
        <x:f>'In_Monthly'!J83*G83/1000</x:f>
        <x:v>13845.536284922904</x:v>
      </x:c>
      <x:c r="L83" s="65" t="n">
        <x:f>'Calc_Case'!E8+'Calc_Case'!F8+'Calc_Case'!G8</x:f>
        <x:v>5223.042232939988</x:v>
      </x:c>
      <x:c r="M83" s="65" t="n">
        <x:f>'Calc_Case'!H8</x:f>
        <x:v>1303.3393173984375</x:v>
      </x:c>
      <x:c r="N83" s="65" t="n">
        <x:f>(L83*('In_Cases'!O8-H83)+M83*('In_Cases'!O8-'In_Cases'!U8))*G83*I83/1000</x:f>
        <x:v>13211.111607767165</x:v>
      </x:c>
      <x:c r="O83" s="65" t="n">
        <x:f>IF(N83&lt;=0,"",K83/N83)</x:f>
        <x:v>1.0480220511332856</x:v>
      </x:c>
      <x:c r="P83" s="65" t="n">
        <x:f>IF(N83&lt;=0,0,IF(ABS(O83-1)&lt;1E-9,'Calc_Case'!N8/('Calc_Case'!N8+1),(1-POWER(O83,'Calc_Case'!N8))/(1-POWER(O83,'Calc_Case'!N8+1))))</x:f>
        <x:v>0.6311070290734381</x:v>
      </x:c>
      <x:c r="Q83" s="65" t="n">
        <x:f>IF(N83&lt;=0,0,MAX(0,N83-P83*K83))</x:f>
        <x:v>4473.096337060984</x:v>
      </x:c>
      <x:c r="R83" s="65" t="n">
        <x:f>IF(J83&lt;=0,0,MAX(1E-12,(L83*('In_Cases'!P8-H83)+M83*('In_Cases'!P8-'In_Cases'!V8))*G83*J83/1000))</x:f>
        <x:v>0</x:v>
      </x:c>
      <x:c r="S83" s="65" t="str">
        <x:f>IF(J83&lt;=0,"",K83/R83)</x:f>
      </x:c>
      <x:c r="T83" s="65" t="n">
        <x:f>IF(J83&lt;=0,0,IF(ABS(S83-1)&lt;1E-9,'Calc_Case'!N8/('Calc_Case'!N8+1),(1-POWER(S83,-'Calc_Case'!N8))/(1-POWER(S83,-'Calc_Case'!N8-1))))</x:f>
        <x:v>0</x:v>
      </x:c>
      <x:c r="U83" s="65" t="n">
        <x:f>IF(J83&lt;=0,0,'In_Cases'!Q8*MAX(0,K83-T83*R83))</x:f>
        <x:v>0</x:v>
      </x:c>
      <x:c r="V83" s="65" t="n">
        <x:f>MAX(0,1-I83-J83)</x:f>
        <x:v>0.4516129032258065</x:v>
      </x:c>
      <x:c r="W83" s="65" t="n">
        <x:f>'In_Cases'!T8*(H83+'In_Cases'!S8*('In_Cases'!O8-H83))+(1-'In_Cases'!T8)*'In_Cases'!O8</x:f>
        <x:v>17.870483870967742</x:v>
      </x:c>
      <x:c r="X83" s="65" t="n">
        <x:f>'In_Cases'!T8*(H83+'In_Cases'!S8*('In_Cases'!P8-H83))+(1-'In_Cases'!T8)*'In_Cases'!P8</x:f>
        <x:v>21.170483870967743</x:v>
      </x:c>
      <x:c r="Y83" s="65" t="n">
        <x:f>'In_Cases'!T8*(H83+'In_Cases'!S8*((('In_Cases'!O8+'In_Cases'!P8)/2)-H83))+(1-'In_Cases'!T8)*(('In_Cases'!O8+'In_Cases'!P8)/2)</x:f>
        <x:v>19.52048387096774</x:v>
      </x:c>
      <x:c r="Z83" s="65" t="n">
        <x:f>'In_Cases'!R8*M83*('In_Cases'!U8-W83)*G83*I83/1000</x:f>
        <x:v>2195.921578981886</x:v>
      </x:c>
      <x:c r="AA83" s="65" t="n">
        <x:f>'In_Cases'!R8*M83*('In_Cases'!V8-X83)*G83*J83/1000</x:f>
        <x:v>0</x:v>
      </x:c>
      <x:c r="AB83" s="65" t="n">
        <x:f>'In_Cases'!R8*M83*('In_Cases'!V8-Y83)*G83*V83/1000</x:f>
        <x:v>1523.7566993005587</x:v>
      </x:c>
      <x:c r="AC83" s="65" t="n">
        <x:f>MAX(0,Z83)+MAX(0,AA83)+MAX(0,AB83)</x:f>
        <x:v>3719.678278282445</x:v>
      </x:c>
      <x:c r="AD83" s="65" t="n">
        <x:f>MAX(0,-Z83)+MAX(0,-AA83)+MAX(0,-AB83)</x:f>
        <x:v>0</x:v>
      </x:c>
      <x:c r="AE83" s="65" t="n">
        <x:f>Q83+AC83</x:f>
        <x:v>8192.77461534343</x:v>
      </x:c>
      <x:c r="AF83" s="65" t="n">
        <x:f>U83+AD83</x:f>
        <x:v>0</x:v>
      </x:c>
    </x:row>
    <x:row r="84">
      <x:c r="A84" s="39" t="str">
        <x:f>'In_Monthly'!A84</x:f>
        <x:v>19|aggregate</x:v>
      </x:c>
      <x:c r="B84" s="39" t="str">
        <x:f>'In_Monthly'!B84</x:f>
        <x:v>19</x:v>
      </x:c>
      <x:c r="C84" s="39" t="str">
        <x:f>'In_Monthly'!C84</x:f>
        <x:v>Test building 3</x:v>
      </x:c>
      <x:c r="D84" s="39" t="str">
        <x:f>'In_Monthly'!D84</x:f>
        <x:v>aggregate</x:v>
      </x:c>
      <x:c r="E84" s="39" t="str">
        <x:f>'In_Monthly'!E84</x:f>
        <x:v>2023-11</x:v>
      </x:c>
      <x:c r="F84" s="65" t="n">
        <x:f>'In_Monthly'!F84</x:f>
        <x:v>30</x:v>
      </x:c>
      <x:c r="G84" s="65" t="n">
        <x:f>F84*24</x:f>
        <x:v>720</x:v>
      </x:c>
      <x:c r="H84" s="65" t="n">
        <x:f>'In_Monthly'!G84</x:f>
        <x:v>8.68388888888889</x:v>
      </x:c>
      <x:c r="I84" s="65" t="n">
        <x:f>'In_Monthly'!K84</x:f>
        <x:v>1</x:v>
      </x:c>
      <x:c r="J84" s="65" t="n">
        <x:f>'In_Monthly'!L84</x:f>
        <x:v>0</x:v>
      </x:c>
      <x:c r="K84" s="65" t="n">
        <x:f>'In_Monthly'!J84*G84/1000</x:f>
        <x:v>10771.374380255716</x:v>
      </x:c>
      <x:c r="L84" s="65" t="n">
        <x:f>'Calc_Case'!E8+'Calc_Case'!F8+'Calc_Case'!G8</x:f>
        <x:v>5223.042232939988</x:v>
      </x:c>
      <x:c r="M84" s="65" t="n">
        <x:f>'Calc_Case'!H8</x:f>
        <x:v>1303.3393173984375</x:v>
      </x:c>
      <x:c r="N84" s="65" t="n">
        <x:f>(L84*('In_Cases'!O8-H84)+M84*('In_Cases'!O8-'In_Cases'!U8))*G84*I84/1000</x:f>
        <x:v>43027.94763816993</x:v>
      </x:c>
      <x:c r="O84" s="65" t="n">
        <x:f>IF(N84&lt;=0,"",K84/N84)</x:f>
        <x:v>0.2503343750167733</x:v>
      </x:c>
      <x:c r="P84" s="65" t="n">
        <x:f>IF(N84&lt;=0,0,IF(ABS(O84-1)&lt;1E-9,'Calc_Case'!N8/('Calc_Case'!N8+1),(1-POWER(O84,'Calc_Case'!N8))/(1-POWER(O84,'Calc_Case'!N8+1))))</x:f>
        <x:v>0.9391492610710083</x:v>
      </x:c>
      <x:c r="Q84" s="65" t="n">
        <x:f>IF(N84&lt;=0,0,MAX(0,N84-P84*K84))</x:f>
        <x:v>32912.01934823358</x:v>
      </x:c>
      <x:c r="R84" s="65" t="n">
        <x:f>IF(J84&lt;=0,0,MAX(1E-12,(L84*('In_Cases'!P8-H84)+M84*('In_Cases'!P8-'In_Cases'!V8))*G84*J84/1000))</x:f>
        <x:v>0</x:v>
      </x:c>
      <x:c r="S84" s="65" t="str">
        <x:f>IF(J84&lt;=0,"",K84/R84)</x:f>
      </x:c>
      <x:c r="T84" s="65" t="n">
        <x:f>IF(J84&lt;=0,0,IF(ABS(S84-1)&lt;1E-9,'Calc_Case'!N8/('Calc_Case'!N8+1),(1-POWER(S84,-'Calc_Case'!N8))/(1-POWER(S84,-'Calc_Case'!N8-1))))</x:f>
        <x:v>0</x:v>
      </x:c>
      <x:c r="U84" s="65" t="n">
        <x:f>IF(J84&lt;=0,0,'In_Cases'!Q8*MAX(0,K84-T84*R84))</x:f>
        <x:v>0</x:v>
      </x:c>
      <x:c r="V84" s="65" t="n">
        <x:f>MAX(0,1-I84-J84)</x:f>
        <x:v>0</x:v>
      </x:c>
      <x:c r="W84" s="65" t="n">
        <x:f>'In_Cases'!T8*(H84+'In_Cases'!S8*('In_Cases'!O8-H84))+(1-'In_Cases'!T8)*'In_Cases'!O8</x:f>
        <x:v>15.773555555555555</x:v>
      </x:c>
      <x:c r="X84" s="65" t="n">
        <x:f>'In_Cases'!T8*(H84+'In_Cases'!S8*('In_Cases'!P8-H84))+(1-'In_Cases'!T8)*'In_Cases'!P8</x:f>
        <x:v>19.073555555555558</x:v>
      </x:c>
      <x:c r="Y84" s="65" t="n">
        <x:f>'In_Cases'!T8*(H84+'In_Cases'!S8*((('In_Cases'!O8+'In_Cases'!P8)/2)-H84))+(1-'In_Cases'!T8)*(('In_Cases'!O8+'In_Cases'!P8)/2)</x:f>
        <x:v>17.423555555555556</x:v>
      </x:c>
      <x:c r="Z84" s="65" t="n">
        <x:f>'In_Cases'!R8*M84*('In_Cases'!U8-W84)*G84*I84/1000</x:f>
        <x:v>5842.922293469891</x:v>
      </x:c>
      <x:c r="AA84" s="65" t="n">
        <x:f>'In_Cases'!R8*M84*('In_Cases'!V8-X84)*G84*J84/1000</x:f>
        <x:v>0</x:v>
      </x:c>
      <x:c r="AB84" s="65" t="n">
        <x:f>'In_Cases'!R8*M84*('In_Cases'!V8-Y84)*G84*V84/1000</x:f>
        <x:v>0</x:v>
      </x:c>
      <x:c r="AC84" s="65" t="n">
        <x:f>MAX(0,Z84)+MAX(0,AA84)+MAX(0,AB84)</x:f>
        <x:v>5842.922293469891</x:v>
      </x:c>
      <x:c r="AD84" s="65" t="n">
        <x:f>MAX(0,-Z84)+MAX(0,-AA84)+MAX(0,-AB84)</x:f>
        <x:v>0</x:v>
      </x:c>
      <x:c r="AE84" s="65" t="n">
        <x:f>Q84+AC84</x:f>
        <x:v>38754.94164170347</x:v>
      </x:c>
      <x:c r="AF84" s="65" t="n">
        <x:f>U84+AD84</x:f>
        <x:v>0</x:v>
      </x:c>
    </x:row>
    <x:row r="85">
      <x:c r="A85" s="39" t="str">
        <x:f>'In_Monthly'!A85</x:f>
        <x:v>19|aggregate</x:v>
      </x:c>
      <x:c r="B85" s="39" t="str">
        <x:f>'In_Monthly'!B85</x:f>
        <x:v>19</x:v>
      </x:c>
      <x:c r="C85" s="39" t="str">
        <x:f>'In_Monthly'!C85</x:f>
        <x:v>Test building 3</x:v>
      </x:c>
      <x:c r="D85" s="39" t="str">
        <x:f>'In_Monthly'!D85</x:f>
        <x:v>aggregate</x:v>
      </x:c>
      <x:c r="E85" s="39" t="str">
        <x:f>'In_Monthly'!E85</x:f>
        <x:v>2023-12</x:v>
      </x:c>
      <x:c r="F85" s="65" t="n">
        <x:f>'In_Monthly'!F85</x:f>
        <x:v>31</x:v>
      </x:c>
      <x:c r="G85" s="65" t="n">
        <x:f>F85*24</x:f>
        <x:v>744</x:v>
      </x:c>
      <x:c r="H85" s="65" t="n">
        <x:f>'In_Monthly'!G85</x:f>
        <x:v>3.9963709677419357</x:v>
      </x:c>
      <x:c r="I85" s="65" t="n">
        <x:f>'In_Monthly'!K85</x:f>
        <x:v>1</x:v>
      </x:c>
      <x:c r="J85" s="65" t="n">
        <x:f>'In_Monthly'!L85</x:f>
        <x:v>0</x:v>
      </x:c>
      <x:c r="K85" s="65" t="n">
        <x:f>'In_Monthly'!J85*G85/1000</x:f>
        <x:v>10685.3426475119</x:v>
      </x:c>
      <x:c r="L85" s="65" t="n">
        <x:f>'Calc_Case'!E8+'Calc_Case'!F8+'Calc_Case'!G8</x:f>
        <x:v>5223.042232939988</x:v>
      </x:c>
      <x:c r="M85" s="65" t="n">
        <x:f>'Calc_Case'!H8</x:f>
        <x:v>1303.3393173984375</x:v>
      </x:c>
      <x:c r="N85" s="65" t="n">
        <x:f>(L85*('In_Cases'!O8-H85)+M85*('In_Cases'!O8-'In_Cases'!U8))*G85*I85/1000</x:f>
        <x:v>62677.641987383584</x:v>
      </x:c>
      <x:c r="O85" s="65" t="n">
        <x:f>IF(N85&lt;=0,"",K85/N85)</x:f>
        <x:v>0.17048092922293978</x:v>
      </x:c>
      <x:c r="P85" s="65" t="n">
        <x:f>IF(N85&lt;=0,0,IF(ABS(O85-1)&lt;1E-9,'Calc_Case'!N8/('Calc_Case'!N8+1),(1-POWER(O85,'Calc_Case'!N8))/(1-POWER(O85,'Calc_Case'!N8+1))))</x:f>
        <x:v>0.9670791608911264</x:v>
      </x:c>
      <x:c r="Q85" s="65" t="n">
        <x:f>IF(N85&lt;=0,0,MAX(0,N85-P85*K85))</x:f>
        <x:v>52344.069785993604</x:v>
      </x:c>
      <x:c r="R85" s="65" t="n">
        <x:f>IF(J85&lt;=0,0,MAX(1E-12,(L85*('In_Cases'!P8-H85)+M85*('In_Cases'!P8-'In_Cases'!V8))*G85*J85/1000))</x:f>
        <x:v>0</x:v>
      </x:c>
      <x:c r="S85" s="65" t="str">
        <x:f>IF(J85&lt;=0,"",K85/R85)</x:f>
      </x:c>
      <x:c r="T85" s="65" t="n">
        <x:f>IF(J85&lt;=0,0,IF(ABS(S85-1)&lt;1E-9,'Calc_Case'!N8/('Calc_Case'!N8+1),(1-POWER(S85,-'Calc_Case'!N8))/(1-POWER(S85,-'Calc_Case'!N8-1))))</x:f>
        <x:v>0</x:v>
      </x:c>
      <x:c r="U85" s="65" t="n">
        <x:f>IF(J85&lt;=0,0,'In_Cases'!Q8*MAX(0,K85-T85*R85))</x:f>
        <x:v>0</x:v>
      </x:c>
      <x:c r="V85" s="65" t="n">
        <x:f>MAX(0,1-I85-J85)</x:f>
        <x:v>0</x:v>
      </x:c>
      <x:c r="W85" s="65" t="n">
        <x:f>'In_Cases'!T8*(H85+'In_Cases'!S8*('In_Cases'!O8-H85))+(1-'In_Cases'!T8)*'In_Cases'!O8</x:f>
        <x:v>13.898548387096774</x:v>
      </x:c>
      <x:c r="X85" s="65" t="n">
        <x:f>'In_Cases'!T8*(H85+'In_Cases'!S8*('In_Cases'!P8-H85))+(1-'In_Cases'!T8)*'In_Cases'!P8</x:f>
        <x:v>17.198548387096775</x:v>
      </x:c>
      <x:c r="Y85" s="65" t="n">
        <x:f>'In_Cases'!T8*(H85+'In_Cases'!S8*((('In_Cases'!O8+'In_Cases'!P8)/2)-H85))+(1-'In_Cases'!T8)*(('In_Cases'!O8+'In_Cases'!P8)/2)</x:f>
        <x:v>15.548548387096774</x:v>
      </x:c>
      <x:c r="Z85" s="65" t="n">
        <x:f>'In_Cases'!R8*M85*('In_Cases'!U8-W85)*G85*I85/1000</x:f>
        <x:v>7855.8516688327345</x:v>
      </x:c>
      <x:c r="AA85" s="65" t="n">
        <x:f>'In_Cases'!R8*M85*('In_Cases'!V8-X85)*G85*J85/1000</x:f>
        <x:v>0</x:v>
      </x:c>
      <x:c r="AB85" s="65" t="n">
        <x:f>'In_Cases'!R8*M85*('In_Cases'!V8-Y85)*G85*V85/1000</x:f>
        <x:v>0</x:v>
      </x:c>
      <x:c r="AC85" s="65" t="n">
        <x:f>MAX(0,Z85)+MAX(0,AA85)+MAX(0,AB85)</x:f>
        <x:v>7855.8516688327345</x:v>
      </x:c>
      <x:c r="AD85" s="65" t="n">
        <x:f>MAX(0,-Z85)+MAX(0,-AA85)+MAX(0,-AB85)</x:f>
        <x:v>0</x:v>
      </x:c>
      <x:c r="AE85" s="65" t="n">
        <x:f>Q85+AC85</x:f>
        <x:v>60199.92145482634</x:v>
      </x:c>
      <x:c r="AF85" s="65" t="n">
        <x:f>U85+AD85</x:f>
        <x:v>0</x:v>
      </x:c>
    </x:row>
    <x:row r="86">
      <x:c r="A86" s="39" t="str">
        <x:f>'In_Monthly'!A86</x:f>
        <x:v>19|lower</x:v>
      </x:c>
      <x:c r="B86" s="39" t="str">
        <x:f>'In_Monthly'!B86</x:f>
        <x:v>19</x:v>
      </x:c>
      <x:c r="C86" s="39" t="str">
        <x:f>'In_Monthly'!C86</x:f>
        <x:v>Test building 3</x:v>
      </x:c>
      <x:c r="D86" s="39" t="str">
        <x:f>'In_Monthly'!D86</x:f>
        <x:v>lower</x:v>
      </x:c>
      <x:c r="E86" s="39" t="str">
        <x:f>'In_Monthly'!E86</x:f>
        <x:v>2023-01</x:v>
      </x:c>
      <x:c r="F86" s="65" t="n">
        <x:f>'In_Monthly'!F86</x:f>
        <x:v>31</x:v>
      </x:c>
      <x:c r="G86" s="65" t="n">
        <x:f>F86*24</x:f>
        <x:v>744</x:v>
      </x:c>
      <x:c r="H86" s="65" t="n">
        <x:f>'In_Monthly'!G86</x:f>
        <x:v>2.638440860215054</x:v>
      </x:c>
      <x:c r="I86" s="65" t="n">
        <x:f>'In_Monthly'!K86</x:f>
        <x:v>1</x:v>
      </x:c>
      <x:c r="J86" s="65" t="n">
        <x:f>'In_Monthly'!L86</x:f>
        <x:v>0</x:v>
      </x:c>
      <x:c r="K86" s="65" t="n">
        <x:f>'In_Monthly'!J86*G86/1000</x:f>
        <x:v>9177.931641850922</x:v>
      </x:c>
      <x:c r="L86" s="65" t="n">
        <x:f>'Calc_Case'!E9+'Calc_Case'!F9+'Calc_Case'!G9</x:f>
        <x:v>1163.0529765732276</x:v>
      </x:c>
      <x:c r="M86" s="65" t="n">
        <x:f>'Calc_Case'!H9</x:f>
        <x:v>1303.3393173984375</x:v>
      </x:c>
      <x:c r="N86" s="65" t="n">
        <x:f>(L86*('In_Cases'!O9-H86)+M86*('In_Cases'!O9-'In_Cases'!U9))*G86*I86/1000</x:f>
        <x:v>16753.77812753734</x:v>
      </x:c>
      <x:c r="O86" s="65" t="n">
        <x:f>IF(N86&lt;=0,"",K86/N86)</x:f>
        <x:v>0.5478126528824933</x:v>
      </x:c>
      <x:c r="P86" s="65" t="n">
        <x:f>IF(N86&lt;=0,0,IF(ABS(O86-1)&lt;1E-9,'Calc_Case'!N9/('Calc_Case'!N9+1),(1-POWER(O86,'Calc_Case'!N9))/(1-POWER(O86,'Calc_Case'!N9+1))))</x:f>
        <x:v>0.850111786294256</x:v>
      </x:c>
      <x:c r="Q86" s="65" t="n">
        <x:f>IF(N86&lt;=0,0,MAX(0,N86-P86*K86))</x:f>
        <x:v>8951.51026499688</x:v>
      </x:c>
      <x:c r="R86" s="65" t="n">
        <x:f>IF(J86&lt;=0,0,MAX(1E-12,(L86*('In_Cases'!P9-H86)+M86*('In_Cases'!P9-'In_Cases'!V9))*G86*J86/1000))</x:f>
        <x:v>0</x:v>
      </x:c>
      <x:c r="S86" s="65" t="str">
        <x:f>IF(J86&lt;=0,"",K86/R86)</x:f>
      </x:c>
      <x:c r="T86" s="65" t="n">
        <x:f>IF(J86&lt;=0,0,IF(ABS(S86-1)&lt;1E-9,'Calc_Case'!N9/('Calc_Case'!N9+1),(1-POWER(S86,-'Calc_Case'!N9))/(1-POWER(S86,-'Calc_Case'!N9-1))))</x:f>
        <x:v>0</x:v>
      </x:c>
      <x:c r="U86" s="65" t="n">
        <x:f>IF(J86&lt;=0,0,'In_Cases'!Q9*MAX(0,K86-T86*R86))</x:f>
        <x:v>0</x:v>
      </x:c>
      <x:c r="V86" s="65" t="n">
        <x:f>MAX(0,1-I86-J86)</x:f>
        <x:v>0</x:v>
      </x:c>
      <x:c r="W86" s="65" t="n">
        <x:f>'In_Cases'!T9*(H86+'In_Cases'!S9*('In_Cases'!O9-H86))+(1-'In_Cases'!T9)*'In_Cases'!O9</x:f>
        <x:v>14.25537634408602</x:v>
      </x:c>
      <x:c r="X86" s="65" t="n">
        <x:f>'In_Cases'!T9*(H86+'In_Cases'!S9*('In_Cases'!P9-H86))+(1-'In_Cases'!T9)*'In_Cases'!P9</x:f>
        <x:v>16.655376344086022</x:v>
      </x:c>
      <x:c r="Y86" s="65" t="n">
        <x:f>'In_Cases'!T9*(H86+'In_Cases'!S9*((('In_Cases'!O9+'In_Cases'!P9)/2)-H86))+(1-'In_Cases'!T9)*(('In_Cases'!O9+'In_Cases'!P9)/2)</x:f>
        <x:v>15.45537634408602</x:v>
      </x:c>
      <x:c r="Z86" s="65" t="n">
        <x:f>'In_Cases'!R9*M86*('In_Cases'!U9-W86)*G86*I86/1000</x:f>
        <x:v>7509.841146849798</x:v>
      </x:c>
      <x:c r="AA86" s="65" t="n">
        <x:f>'In_Cases'!R9*M86*('In_Cases'!V9-X86)*G86*J86/1000</x:f>
        <x:v>0</x:v>
      </x:c>
      <x:c r="AB86" s="65" t="n">
        <x:f>'In_Cases'!R9*M86*('In_Cases'!V9-Y86)*G86*V86/1000</x:f>
        <x:v>0</x:v>
      </x:c>
      <x:c r="AC86" s="65" t="n">
        <x:f>MAX(0,Z86)+MAX(0,AA86)+MAX(0,AB86)</x:f>
        <x:v>7509.841146849798</x:v>
      </x:c>
      <x:c r="AD86" s="65" t="n">
        <x:f>MAX(0,-Z86)+MAX(0,-AA86)+MAX(0,-AB86)</x:f>
        <x:v>0</x:v>
      </x:c>
      <x:c r="AE86" s="65" t="n">
        <x:f>Q86+AC86</x:f>
        <x:v>16461.351411846677</x:v>
      </x:c>
      <x:c r="AF86" s="65" t="n">
        <x:f>U86+AD86</x:f>
        <x:v>0</x:v>
      </x:c>
    </x:row>
    <x:row r="87">
      <x:c r="A87" s="39" t="str">
        <x:f>'In_Monthly'!A87</x:f>
        <x:v>19|lower</x:v>
      </x:c>
      <x:c r="B87" s="39" t="str">
        <x:f>'In_Monthly'!B87</x:f>
        <x:v>19</x:v>
      </x:c>
      <x:c r="C87" s="39" t="str">
        <x:f>'In_Monthly'!C87</x:f>
        <x:v>Test building 3</x:v>
      </x:c>
      <x:c r="D87" s="39" t="str">
        <x:f>'In_Monthly'!D87</x:f>
        <x:v>lower</x:v>
      </x:c>
      <x:c r="E87" s="39" t="str">
        <x:f>'In_Monthly'!E87</x:f>
        <x:v>2023-02</x:v>
      </x:c>
      <x:c r="F87" s="65" t="n">
        <x:f>'In_Monthly'!F87</x:f>
        <x:v>28</x:v>
      </x:c>
      <x:c r="G87" s="65" t="n">
        <x:f>F87*24</x:f>
        <x:v>672</x:v>
      </x:c>
      <x:c r="H87" s="65" t="n">
        <x:f>'In_Monthly'!G87</x:f>
        <x:v>3.8903273809523813</x:v>
      </x:c>
      <x:c r="I87" s="65" t="n">
        <x:f>'In_Monthly'!K87</x:f>
        <x:v>1</x:v>
      </x:c>
      <x:c r="J87" s="65" t="n">
        <x:f>'In_Monthly'!L87</x:f>
        <x:v>0</x:v>
      </x:c>
      <x:c r="K87" s="65" t="n">
        <x:f>'In_Monthly'!J87*G87/1000</x:f>
        <x:v>8439.151460022022</x:v>
      </x:c>
      <x:c r="L87" s="65" t="n">
        <x:f>'Calc_Case'!E9+'Calc_Case'!F9+'Calc_Case'!G9</x:f>
        <x:v>1163.0529765732276</x:v>
      </x:c>
      <x:c r="M87" s="65" t="n">
        <x:f>'Calc_Case'!H9</x:f>
        <x:v>1303.3393173984375</x:v>
      </x:c>
      <x:c r="N87" s="65" t="n">
        <x:f>(L87*('In_Cases'!O9-H87)+M87*('In_Cases'!O9-'In_Cases'!U9))*G87*I87/1000</x:f>
        <x:v>14154.005809003207</x:v>
      </x:c>
      <x:c r="O87" s="65" t="n">
        <x:f>IF(N87&lt;=0,"",K87/N87)</x:f>
        <x:v>0.5962376710806471</x:v>
      </x:c>
      <x:c r="P87" s="65" t="n">
        <x:f>IF(N87&lt;=0,0,IF(ABS(O87-1)&lt;1E-9,'Calc_Case'!N9/('Calc_Case'!N9+1),(1-POWER(O87,'Calc_Case'!N9))/(1-POWER(O87,'Calc_Case'!N9+1))))</x:f>
        <x:v>0.8306703865172798</x:v>
      </x:c>
      <x:c r="Q87" s="65" t="n">
        <x:f>IF(N87&lt;=0,0,MAX(0,N87-P87*K87))</x:f>
        <x:v>7143.852603828848</x:v>
      </x:c>
      <x:c r="R87" s="65" t="n">
        <x:f>IF(J87&lt;=0,0,MAX(1E-12,(L87*('In_Cases'!P9-H87)+M87*('In_Cases'!P9-'In_Cases'!V9))*G87*J87/1000))</x:f>
        <x:v>0</x:v>
      </x:c>
      <x:c r="S87" s="65" t="str">
        <x:f>IF(J87&lt;=0,"",K87/R87)</x:f>
      </x:c>
      <x:c r="T87" s="65" t="n">
        <x:f>IF(J87&lt;=0,0,IF(ABS(S87-1)&lt;1E-9,'Calc_Case'!N9/('Calc_Case'!N9+1),(1-POWER(S87,-'Calc_Case'!N9))/(1-POWER(S87,-'Calc_Case'!N9-1))))</x:f>
        <x:v>0</x:v>
      </x:c>
      <x:c r="U87" s="65" t="n">
        <x:f>IF(J87&lt;=0,0,'In_Cases'!Q9*MAX(0,K87-T87*R87))</x:f>
        <x:v>0</x:v>
      </x:c>
      <x:c r="V87" s="65" t="n">
        <x:f>MAX(0,1-I87-J87)</x:f>
        <x:v>0</x:v>
      </x:c>
      <x:c r="W87" s="65" t="n">
        <x:f>'In_Cases'!T9*(H87+'In_Cases'!S9*('In_Cases'!O9-H87))+(1-'In_Cases'!T9)*'In_Cases'!O9</x:f>
        <x:v>14.756130952380952</x:v>
      </x:c>
      <x:c r="X87" s="65" t="n">
        <x:f>'In_Cases'!T9*(H87+'In_Cases'!S9*('In_Cases'!P9-H87))+(1-'In_Cases'!T9)*'In_Cases'!P9</x:f>
        <x:v>17.156130952380952</x:v>
      </x:c>
      <x:c r="Y87" s="65" t="n">
        <x:f>'In_Cases'!T9*(H87+'In_Cases'!S9*((('In_Cases'!O9+'In_Cases'!P9)/2)-H87))+(1-'In_Cases'!T9)*(('In_Cases'!O9+'In_Cases'!P9)/2)</x:f>
        <x:v>15.956130952380953</x:v>
      </x:c>
      <x:c r="Z87" s="65" t="n">
        <x:f>'In_Cases'!R9*M87*('In_Cases'!U9-W87)*G87*I87/1000</x:f>
        <x:v>6344.499396377508</x:v>
      </x:c>
      <x:c r="AA87" s="65" t="n">
        <x:f>'In_Cases'!R9*M87*('In_Cases'!V9-X87)*G87*J87/1000</x:f>
        <x:v>0</x:v>
      </x:c>
      <x:c r="AB87" s="65" t="n">
        <x:f>'In_Cases'!R9*M87*('In_Cases'!V9-Y87)*G87*V87/1000</x:f>
        <x:v>0</x:v>
      </x:c>
      <x:c r="AC87" s="65" t="n">
        <x:f>MAX(0,Z87)+MAX(0,AA87)+MAX(0,AB87)</x:f>
        <x:v>6344.499396377508</x:v>
      </x:c>
      <x:c r="AD87" s="65" t="n">
        <x:f>MAX(0,-Z87)+MAX(0,-AA87)+MAX(0,-AB87)</x:f>
        <x:v>0</x:v>
      </x:c>
      <x:c r="AE87" s="65" t="n">
        <x:f>Q87+AC87</x:f>
        <x:v>13488.352000206356</x:v>
      </x:c>
      <x:c r="AF87" s="65" t="n">
        <x:f>U87+AD87</x:f>
        <x:v>0</x:v>
      </x:c>
    </x:row>
    <x:row r="88">
      <x:c r="A88" s="39" t="str">
        <x:f>'In_Monthly'!A88</x:f>
        <x:v>19|lower</x:v>
      </x:c>
      <x:c r="B88" s="39" t="str">
        <x:f>'In_Monthly'!B88</x:f>
        <x:v>19</x:v>
      </x:c>
      <x:c r="C88" s="39" t="str">
        <x:f>'In_Monthly'!C88</x:f>
        <x:v>Test building 3</x:v>
      </x:c>
      <x:c r="D88" s="39" t="str">
        <x:f>'In_Monthly'!D88</x:f>
        <x:v>lower</x:v>
      </x:c>
      <x:c r="E88" s="39" t="str">
        <x:f>'In_Monthly'!E88</x:f>
        <x:v>2023-03</x:v>
      </x:c>
      <x:c r="F88" s="65" t="n">
        <x:f>'In_Monthly'!F88</x:f>
        <x:v>31</x:v>
      </x:c>
      <x:c r="G88" s="65" t="n">
        <x:f>F88*24</x:f>
        <x:v>744</x:v>
      </x:c>
      <x:c r="H88" s="65" t="n">
        <x:f>'In_Monthly'!G88</x:f>
        <x:v>7.746908602150539</x:v>
      </x:c>
      <x:c r="I88" s="65" t="n">
        <x:f>'In_Monthly'!K88</x:f>
        <x:v>1</x:v>
      </x:c>
      <x:c r="J88" s="65" t="n">
        <x:f>'In_Monthly'!L88</x:f>
        <x:v>0</x:v>
      </x:c>
      <x:c r="K88" s="65" t="n">
        <x:f>'In_Monthly'!J88*G88/1000</x:f>
        <x:v>10043.873863930145</x:v>
      </x:c>
      <x:c r="L88" s="65" t="n">
        <x:f>'Calc_Case'!E9+'Calc_Case'!F9+'Calc_Case'!G9</x:f>
        <x:v>1163.0529765732276</x:v>
      </x:c>
      <x:c r="M88" s="65" t="n">
        <x:f>'Calc_Case'!H9</x:f>
        <x:v>1303.3393173984375</x:v>
      </x:c>
      <x:c r="N88" s="65" t="n">
        <x:f>(L88*('In_Cases'!O9-H88)+M88*('In_Cases'!O9-'In_Cases'!U9))*G88*I88/1000</x:f>
        <x:v>12333.362679475476</x:v>
      </x:c>
      <x:c r="O88" s="65" t="n">
        <x:f>IF(N88&lt;=0,"",K88/N88)</x:f>
        <x:v>0.8143662134127153</x:v>
      </x:c>
      <x:c r="P88" s="65" t="n">
        <x:f>IF(N88&lt;=0,0,IF(ABS(O88-1)&lt;1E-9,'Calc_Case'!N9/('Calc_Case'!N9+1),(1-POWER(O88,'Calc_Case'!N9))/(1-POWER(O88,'Calc_Case'!N9+1))))</x:f>
        <x:v>0.7452118836021233</x:v>
      </x:c>
      <x:c r="Q88" s="65" t="n">
        <x:f>IF(N88&lt;=0,0,MAX(0,N88-P88*K88))</x:f>
        <x:v>4848.548518673957</x:v>
      </x:c>
      <x:c r="R88" s="65" t="n">
        <x:f>IF(J88&lt;=0,0,MAX(1E-12,(L88*('In_Cases'!P9-H88)+M88*('In_Cases'!P9-'In_Cases'!V9))*G88*J88/1000))</x:f>
        <x:v>0</x:v>
      </x:c>
      <x:c r="S88" s="65" t="str">
        <x:f>IF(J88&lt;=0,"",K88/R88)</x:f>
      </x:c>
      <x:c r="T88" s="65" t="n">
        <x:f>IF(J88&lt;=0,0,IF(ABS(S88-1)&lt;1E-9,'Calc_Case'!N9/('Calc_Case'!N9+1),(1-POWER(S88,-'Calc_Case'!N9))/(1-POWER(S88,-'Calc_Case'!N9-1))))</x:f>
        <x:v>0</x:v>
      </x:c>
      <x:c r="U88" s="65" t="n">
        <x:f>IF(J88&lt;=0,0,'In_Cases'!Q9*MAX(0,K88-T88*R88))</x:f>
        <x:v>0</x:v>
      </x:c>
      <x:c r="V88" s="65" t="n">
        <x:f>MAX(0,1-I88-J88)</x:f>
        <x:v>0</x:v>
      </x:c>
      <x:c r="W88" s="65" t="n">
        <x:f>'In_Cases'!T9*(H88+'In_Cases'!S9*('In_Cases'!O9-H88))+(1-'In_Cases'!T9)*'In_Cases'!O9</x:f>
        <x:v>16.298763440860213</x:v>
      </x:c>
      <x:c r="X88" s="65" t="n">
        <x:f>'In_Cases'!T9*(H88+'In_Cases'!S9*('In_Cases'!P9-H88))+(1-'In_Cases'!T9)*'In_Cases'!P9</x:f>
        <x:v>18.698763440860212</x:v>
      </x:c>
      <x:c r="Y88" s="65" t="n">
        <x:f>'In_Cases'!T9*(H88+'In_Cases'!S9*((('In_Cases'!O9+'In_Cases'!P9)/2)-H88))+(1-'In_Cases'!T9)*(('In_Cases'!O9+'In_Cases'!P9)/2)</x:f>
        <x:v>17.498763440860216</x:v>
      </x:c>
      <x:c r="Z88" s="65" t="n">
        <x:f>'In_Cases'!R9*M88*('In_Cases'!U9-W88)*G88*I88/1000</x:f>
        <x:v>5528.400449395302</x:v>
      </x:c>
      <x:c r="AA88" s="65" t="n">
        <x:f>'In_Cases'!R9*M88*('In_Cases'!V9-X88)*G88*J88/1000</x:f>
        <x:v>0</x:v>
      </x:c>
      <x:c r="AB88" s="65" t="n">
        <x:f>'In_Cases'!R9*M88*('In_Cases'!V9-Y88)*G88*V88/1000</x:f>
        <x:v>0</x:v>
      </x:c>
      <x:c r="AC88" s="65" t="n">
        <x:f>MAX(0,Z88)+MAX(0,AA88)+MAX(0,AB88)</x:f>
        <x:v>5528.400449395302</x:v>
      </x:c>
      <x:c r="AD88" s="65" t="n">
        <x:f>MAX(0,-Z88)+MAX(0,-AA88)+MAX(0,-AB88)</x:f>
        <x:v>0</x:v>
      </x:c>
      <x:c r="AE88" s="65" t="n">
        <x:f>Q88+AC88</x:f>
        <x:v>10376.948968069259</x:v>
      </x:c>
      <x:c r="AF88" s="65" t="n">
        <x:f>U88+AD88</x:f>
        <x:v>0</x:v>
      </x:c>
    </x:row>
    <x:row r="89">
      <x:c r="A89" s="39" t="str">
        <x:f>'In_Monthly'!A89</x:f>
        <x:v>19|lower</x:v>
      </x:c>
      <x:c r="B89" s="39" t="str">
        <x:f>'In_Monthly'!B89</x:f>
        <x:v>19</x:v>
      </x:c>
      <x:c r="C89" s="39" t="str">
        <x:f>'In_Monthly'!C89</x:f>
        <x:v>Test building 3</x:v>
      </x:c>
      <x:c r="D89" s="39" t="str">
        <x:f>'In_Monthly'!D89</x:f>
        <x:v>lower</x:v>
      </x:c>
      <x:c r="E89" s="39" t="str">
        <x:f>'In_Monthly'!E89</x:f>
        <x:v>2023-04</x:v>
      </x:c>
      <x:c r="F89" s="65" t="n">
        <x:f>'In_Monthly'!F89</x:f>
        <x:v>30</x:v>
      </x:c>
      <x:c r="G89" s="65" t="n">
        <x:f>F89*24</x:f>
        <x:v>720</x:v>
      </x:c>
      <x:c r="H89" s="65" t="n">
        <x:f>'In_Monthly'!G89</x:f>
        <x:v>12.03041666666667</x:v>
      </x:c>
      <x:c r="I89" s="65" t="n">
        <x:f>'In_Monthly'!K89</x:f>
        <x:v>1</x:v>
      </x:c>
      <x:c r="J89" s="65" t="n">
        <x:f>'In_Monthly'!L89</x:f>
        <x:v>0</x:v>
      </x:c>
      <x:c r="K89" s="65" t="n">
        <x:f>'In_Monthly'!J89*G89/1000</x:f>
        <x:v>10233.329636437424</x:v>
      </x:c>
      <x:c r="L89" s="65" t="n">
        <x:f>'Calc_Case'!E9+'Calc_Case'!F9+'Calc_Case'!G9</x:f>
        <x:v>1163.0529765732276</x:v>
      </x:c>
      <x:c r="M89" s="65" t="n">
        <x:f>'Calc_Case'!H9</x:f>
        <x:v>1303.3393173984375</x:v>
      </x:c>
      <x:c r="N89" s="65" t="n">
        <x:f>(L89*('In_Cases'!O9-H89)+M89*('In_Cases'!O9-'In_Cases'!U9))*G89*I89/1000</x:f>
        <x:v>8348.510571140283</x:v>
      </x:c>
      <x:c r="O89" s="65" t="n">
        <x:f>IF(N89&lt;=0,"",K89/N89)</x:f>
        <x:v>1.2257671053101036</x:v>
      </x:c>
      <x:c r="P89" s="65" t="n">
        <x:f>IF(N89&lt;=0,0,IF(ABS(O89-1)&lt;1E-9,'Calc_Case'!N9/('Calc_Case'!N9+1),(1-POWER(O89,'Calc_Case'!N9))/(1-POWER(O89,'Calc_Case'!N9+1))))</x:f>
        <x:v>0.6075104233419496</x:v>
      </x:c>
      <x:c r="Q89" s="65" t="n">
        <x:f>IF(N89&lt;=0,0,MAX(0,N89-P89*K89))</x:f>
        <x:v>2131.656151510465</x:v>
      </x:c>
      <x:c r="R89" s="65" t="n">
        <x:f>IF(J89&lt;=0,0,MAX(1E-12,(L89*('In_Cases'!P9-H89)+M89*('In_Cases'!P9-'In_Cases'!V9))*G89*J89/1000))</x:f>
        <x:v>0</x:v>
      </x:c>
      <x:c r="S89" s="65" t="str">
        <x:f>IF(J89&lt;=0,"",K89/R89)</x:f>
      </x:c>
      <x:c r="T89" s="65" t="n">
        <x:f>IF(J89&lt;=0,0,IF(ABS(S89-1)&lt;1E-9,'Calc_Case'!N9/('Calc_Case'!N9+1),(1-POWER(S89,-'Calc_Case'!N9))/(1-POWER(S89,-'Calc_Case'!N9-1))))</x:f>
        <x:v>0</x:v>
      </x:c>
      <x:c r="U89" s="65" t="n">
        <x:f>IF(J89&lt;=0,0,'In_Cases'!Q9*MAX(0,K89-T89*R89))</x:f>
        <x:v>0</x:v>
      </x:c>
      <x:c r="V89" s="65" t="n">
        <x:f>MAX(0,1-I89-J89)</x:f>
        <x:v>0</x:v>
      </x:c>
      <x:c r="W89" s="65" t="n">
        <x:f>'In_Cases'!T9*(H89+'In_Cases'!S9*('In_Cases'!O9-H89))+(1-'In_Cases'!T9)*'In_Cases'!O9</x:f>
        <x:v>18.012166666666666</x:v>
      </x:c>
      <x:c r="X89" s="65" t="n">
        <x:f>'In_Cases'!T9*(H89+'In_Cases'!S9*('In_Cases'!P9-H89))+(1-'In_Cases'!T9)*'In_Cases'!P9</x:f>
        <x:v>20.412166666666668</x:v>
      </x:c>
      <x:c r="Y89" s="65" t="n">
        <x:f>'In_Cases'!T9*(H89+'In_Cases'!S9*((('In_Cases'!O9+'In_Cases'!P9)/2)-H89))+(1-'In_Cases'!T9)*(('In_Cases'!O9+'In_Cases'!P9)/2)</x:f>
        <x:v>19.21216666666667</x:v>
      </x:c>
      <x:c r="Z89" s="65" t="n">
        <x:f>'In_Cases'!R9*M89*('In_Cases'!U9-W89)*G89*I89/1000</x:f>
        <x:v>3742.1999816870907</x:v>
      </x:c>
      <x:c r="AA89" s="65" t="n">
        <x:f>'In_Cases'!R9*M89*('In_Cases'!V9-X89)*G89*J89/1000</x:f>
        <x:v>0</x:v>
      </x:c>
      <x:c r="AB89" s="65" t="n">
        <x:f>'In_Cases'!R9*M89*('In_Cases'!V9-Y89)*G89*V89/1000</x:f>
        <x:v>0</x:v>
      </x:c>
      <x:c r="AC89" s="65" t="n">
        <x:f>MAX(0,Z89)+MAX(0,AA89)+MAX(0,AB89)</x:f>
        <x:v>3742.1999816870907</x:v>
      </x:c>
      <x:c r="AD89" s="65" t="n">
        <x:f>MAX(0,-Z89)+MAX(0,-AA89)+MAX(0,-AB89)</x:f>
        <x:v>0</x:v>
      </x:c>
      <x:c r="AE89" s="65" t="n">
        <x:f>Q89+AC89</x:f>
        <x:v>5873.856133197556</x:v>
      </x:c>
      <x:c r="AF89" s="65" t="n">
        <x:f>U89+AD89</x:f>
        <x:v>0</x:v>
      </x:c>
    </x:row>
    <x:row r="90">
      <x:c r="A90" s="39" t="str">
        <x:f>'In_Monthly'!A90</x:f>
        <x:v>19|lower</x:v>
      </x:c>
      <x:c r="B90" s="39" t="str">
        <x:f>'In_Monthly'!B90</x:f>
        <x:v>19</x:v>
      </x:c>
      <x:c r="C90" s="39" t="str">
        <x:f>'In_Monthly'!C90</x:f>
        <x:v>Test building 3</x:v>
      </x:c>
      <x:c r="D90" s="39" t="str">
        <x:f>'In_Monthly'!D90</x:f>
        <x:v>lower</x:v>
      </x:c>
      <x:c r="E90" s="39" t="str">
        <x:f>'In_Monthly'!E90</x:f>
        <x:v>2023-05</x:v>
      </x:c>
      <x:c r="F90" s="65" t="n">
        <x:f>'In_Monthly'!F90</x:f>
        <x:v>31</x:v>
      </x:c>
      <x:c r="G90" s="65" t="n">
        <x:f>F90*24</x:f>
        <x:v>744</x:v>
      </x:c>
      <x:c r="H90" s="65" t="n">
        <x:f>'In_Monthly'!G90</x:f>
        <x:v>17.244086021505375</x:v>
      </x:c>
      <x:c r="I90" s="65" t="n">
        <x:f>'In_Monthly'!K90</x:f>
        <x:v>0</x:v>
      </x:c>
      <x:c r="J90" s="65" t="n">
        <x:f>'In_Monthly'!L90</x:f>
        <x:v>0</x:v>
      </x:c>
      <x:c r="K90" s="65" t="n">
        <x:f>'In_Monthly'!J90*G90/1000</x:f>
        <x:v>11094.70887678386</x:v>
      </x:c>
      <x:c r="L90" s="65" t="n">
        <x:f>'Calc_Case'!E9+'Calc_Case'!F9+'Calc_Case'!G9</x:f>
        <x:v>1163.0529765732276</x:v>
      </x:c>
      <x:c r="M90" s="65" t="n">
        <x:f>'Calc_Case'!H9</x:f>
        <x:v>1303.3393173984375</x:v>
      </x:c>
      <x:c r="N90" s="65" t="n">
        <x:f>(L90*('In_Cases'!O9-H90)+M90*('In_Cases'!O9-'In_Cases'!U9))*G90*I90/1000</x:f>
        <x:v>0</x:v>
      </x:c>
      <x:c r="O90" s="65" t="str">
        <x:f>IF(N90&lt;=0,"",K90/N90)</x:f>
      </x:c>
      <x:c r="P90" s="65" t="n">
        <x:f>IF(N90&lt;=0,0,IF(ABS(O90-1)&lt;1E-9,'Calc_Case'!N9/('Calc_Case'!N9+1),(1-POWER(O90,'Calc_Case'!N9))/(1-POWER(O90,'Calc_Case'!N9+1))))</x:f>
        <x:v>0</x:v>
      </x:c>
      <x:c r="Q90" s="65" t="n">
        <x:f>IF(N90&lt;=0,0,MAX(0,N90-P90*K90))</x:f>
        <x:v>0</x:v>
      </x:c>
      <x:c r="R90" s="65" t="n">
        <x:f>IF(J90&lt;=0,0,MAX(1E-12,(L90*('In_Cases'!P9-H90)+M90*('In_Cases'!P9-'In_Cases'!V9))*G90*J90/1000))</x:f>
        <x:v>0</x:v>
      </x:c>
      <x:c r="S90" s="65" t="str">
        <x:f>IF(J90&lt;=0,"",K90/R90)</x:f>
      </x:c>
      <x:c r="T90" s="65" t="n">
        <x:f>IF(J90&lt;=0,0,IF(ABS(S90-1)&lt;1E-9,'Calc_Case'!N9/('Calc_Case'!N9+1),(1-POWER(S90,-'Calc_Case'!N9))/(1-POWER(S90,-'Calc_Case'!N9-1))))</x:f>
        <x:v>0</x:v>
      </x:c>
      <x:c r="U90" s="65" t="n">
        <x:f>IF(J90&lt;=0,0,'In_Cases'!Q9*MAX(0,K90-T90*R90))</x:f>
        <x:v>0</x:v>
      </x:c>
      <x:c r="V90" s="65" t="n">
        <x:f>MAX(0,1-I90-J90)</x:f>
        <x:v>1</x:v>
      </x:c>
      <x:c r="W90" s="65" t="n">
        <x:f>'In_Cases'!T9*(H90+'In_Cases'!S9*('In_Cases'!O9-H90))+(1-'In_Cases'!T9)*'In_Cases'!O9</x:f>
        <x:v>20.09763440860215</x:v>
      </x:c>
      <x:c r="X90" s="65" t="n">
        <x:f>'In_Cases'!T9*(H90+'In_Cases'!S9*('In_Cases'!P9-H90))+(1-'In_Cases'!T9)*'In_Cases'!P9</x:f>
        <x:v>22.49763440860215</x:v>
      </x:c>
      <x:c r="Y90" s="65" t="n">
        <x:f>'In_Cases'!T9*(H90+'In_Cases'!S9*((('In_Cases'!O9+'In_Cases'!P9)/2)-H90))+(1-'In_Cases'!T9)*(('In_Cases'!O9+'In_Cases'!P9)/2)</x:f>
        <x:v>21.29763440860215</x:v>
      </x:c>
      <x:c r="Z90" s="65" t="n">
        <x:f>'In_Cases'!R9*M90*('In_Cases'!U9-W90)*G90*I90/1000</x:f>
        <x:v>0</x:v>
      </x:c>
      <x:c r="AA90" s="65" t="n">
        <x:f>'In_Cases'!R9*M90*('In_Cases'!V9-X90)*G90*J90/1000</x:f>
        <x:v>0</x:v>
      </x:c>
      <x:c r="AB90" s="65" t="n">
        <x:f>'In_Cases'!R9*M90*('In_Cases'!V9-Y90)*G90*V90/1000</x:f>
        <x:v>1650.7574458441654</x:v>
      </x:c>
      <x:c r="AC90" s="65" t="n">
        <x:f>MAX(0,Z90)+MAX(0,AA90)+MAX(0,AB90)</x:f>
        <x:v>1650.7574458441654</x:v>
      </x:c>
      <x:c r="AD90" s="65" t="n">
        <x:f>MAX(0,-Z90)+MAX(0,-AA90)+MAX(0,-AB90)</x:f>
        <x:v>0</x:v>
      </x:c>
      <x:c r="AE90" s="65" t="n">
        <x:f>Q90+AC90</x:f>
        <x:v>1650.7574458441654</x:v>
      </x:c>
      <x:c r="AF90" s="65" t="n">
        <x:f>U90+AD90</x:f>
        <x:v>0</x:v>
      </x:c>
    </x:row>
    <x:row r="91">
      <x:c r="A91" s="39" t="str">
        <x:f>'In_Monthly'!A91</x:f>
        <x:v>19|lower</x:v>
      </x:c>
      <x:c r="B91" s="39" t="str">
        <x:f>'In_Monthly'!B91</x:f>
        <x:v>19</x:v>
      </x:c>
      <x:c r="C91" s="39" t="str">
        <x:f>'In_Monthly'!C91</x:f>
        <x:v>Test building 3</x:v>
      </x:c>
      <x:c r="D91" s="39" t="str">
        <x:f>'In_Monthly'!D91</x:f>
        <x:v>lower</x:v>
      </x:c>
      <x:c r="E91" s="39" t="str">
        <x:f>'In_Monthly'!E91</x:f>
        <x:v>2023-06</x:v>
      </x:c>
      <x:c r="F91" s="65" t="n">
        <x:f>'In_Monthly'!F91</x:f>
        <x:v>30</x:v>
      </x:c>
      <x:c r="G91" s="65" t="n">
        <x:f>F91*24</x:f>
        <x:v>720</x:v>
      </x:c>
      <x:c r="H91" s="65" t="n">
        <x:f>'In_Monthly'!G91</x:f>
        <x:v>20.758194444444445</x:v>
      </x:c>
      <x:c r="I91" s="65" t="n">
        <x:f>'In_Monthly'!K91</x:f>
        <x:v>0</x:v>
      </x:c>
      <x:c r="J91" s="65" t="n">
        <x:f>'In_Monthly'!L91</x:f>
        <x:v>1</x:v>
      </x:c>
      <x:c r="K91" s="65" t="n">
        <x:f>'In_Monthly'!J91*G91/1000</x:f>
        <x:v>10890.210861018106</x:v>
      </x:c>
      <x:c r="L91" s="65" t="n">
        <x:f>'Calc_Case'!E9+'Calc_Case'!F9+'Calc_Case'!G9</x:f>
        <x:v>1163.0529765732276</x:v>
      </x:c>
      <x:c r="M91" s="65" t="n">
        <x:f>'Calc_Case'!H9</x:f>
        <x:v>1303.3393173984375</x:v>
      </x:c>
      <x:c r="N91" s="65" t="n">
        <x:f>(L91*('In_Cases'!O9-H91)+M91*('In_Cases'!O9-'In_Cases'!U9))*G91*I91/1000</x:f>
        <x:v>0</x:v>
      </x:c>
      <x:c r="O91" s="65" t="str">
        <x:f>IF(N91&lt;=0,"",K91/N91)</x:f>
      </x:c>
      <x:c r="P91" s="65" t="n">
        <x:f>IF(N91&lt;=0,0,IF(ABS(O91-1)&lt;1E-9,'Calc_Case'!N9/('Calc_Case'!N9+1),(1-POWER(O91,'Calc_Case'!N9))/(1-POWER(O91,'Calc_Case'!N9+1))))</x:f>
        <x:v>0</x:v>
      </x:c>
      <x:c r="Q91" s="65" t="n">
        <x:f>IF(N91&lt;=0,0,MAX(0,N91-P91*K91))</x:f>
        <x:v>0</x:v>
      </x:c>
      <x:c r="R91" s="65" t="n">
        <x:f>IF(J91&lt;=0,0,MAX(1E-12,(L91*('In_Cases'!P9-H91)+M91*('In_Cases'!P9-'In_Cases'!V9))*G91*J91/1000))</x:f>
        <x:v>7204.691164465644</x:v>
      </x:c>
      <x:c r="S91" s="65" t="n">
        <x:f>IF(J91&lt;=0,"",K91/R91)</x:f>
        <x:v>1.511544438536084</x:v>
      </x:c>
      <x:c r="T91" s="65" t="n">
        <x:f>IF(J91&lt;=0,0,IF(ABS(S91-1)&lt;1E-9,'Calc_Case'!N9/('Calc_Case'!N9+1),(1-POWER(S91,-'Calc_Case'!N9))/(1-POWER(S91,-'Calc_Case'!N9-1))))</x:f>
        <x:v>0.8045390340463378</x:v>
      </x:c>
      <x:c r="U91" s="65" t="n">
        <x:f>IF(J91&lt;=0,0,'In_Cases'!Q9*MAX(0,K91-T91*R91))</x:f>
        <x:v>5093.755590956733</x:v>
      </x:c>
      <x:c r="V91" s="65" t="n">
        <x:f>MAX(0,1-I91-J91)</x:f>
        <x:v>0</x:v>
      </x:c>
      <x:c r="W91" s="65" t="n">
        <x:f>'In_Cases'!T9*(H91+'In_Cases'!S9*('In_Cases'!O9-H91))+(1-'In_Cases'!T9)*'In_Cases'!O9</x:f>
        <x:v>21.50327777777778</x:v>
      </x:c>
      <x:c r="X91" s="65" t="n">
        <x:f>'In_Cases'!T9*(H91+'In_Cases'!S9*('In_Cases'!P9-H91))+(1-'In_Cases'!T9)*'In_Cases'!P9</x:f>
        <x:v>23.903277777777777</x:v>
      </x:c>
      <x:c r="Y91" s="65" t="n">
        <x:f>'In_Cases'!T9*(H91+'In_Cases'!S9*((('In_Cases'!O9+'In_Cases'!P9)/2)-H91))+(1-'In_Cases'!T9)*(('In_Cases'!O9+'In_Cases'!P9)/2)</x:f>
        <x:v>22.703277777777778</x:v>
      </x:c>
      <x:c r="Z91" s="65" t="n">
        <x:f>'In_Cases'!R9*M91*('In_Cases'!U9-W91)*G91*I91/1000</x:f>
        <x:v>0</x:v>
      </x:c>
      <x:c r="AA91" s="65" t="n">
        <x:f>'In_Cases'!R9*M91*('In_Cases'!V9-X91)*G91*J91/1000</x:f>
        <x:v>-847.6397584632474</x:v>
      </x:c>
      <x:c r="AB91" s="65" t="n">
        <x:f>'In_Cases'!R9*M91*('In_Cases'!V9-Y91)*G91*V91/1000</x:f>
        <x:v>0</x:v>
      </x:c>
      <x:c r="AC91" s="65" t="n">
        <x:f>MAX(0,Z91)+MAX(0,AA91)+MAX(0,AB91)</x:f>
        <x:v>0</x:v>
      </x:c>
      <x:c r="AD91" s="65" t="n">
        <x:f>MAX(0,-Z91)+MAX(0,-AA91)+MAX(0,-AB91)</x:f>
        <x:v>847.6397584632474</x:v>
      </x:c>
      <x:c r="AE91" s="65" t="n">
        <x:f>Q91+AC91</x:f>
        <x:v>0</x:v>
      </x:c>
      <x:c r="AF91" s="65" t="n">
        <x:f>U91+AD91</x:f>
        <x:v>5941.39534941998</x:v>
      </x:c>
    </x:row>
    <x:row r="92">
      <x:c r="A92" s="39" t="str">
        <x:f>'In_Monthly'!A92</x:f>
        <x:v>19|lower</x:v>
      </x:c>
      <x:c r="B92" s="39" t="str">
        <x:f>'In_Monthly'!B92</x:f>
        <x:v>19</x:v>
      </x:c>
      <x:c r="C92" s="39" t="str">
        <x:f>'In_Monthly'!C92</x:f>
        <x:v>Test building 3</x:v>
      </x:c>
      <x:c r="D92" s="39" t="str">
        <x:f>'In_Monthly'!D92</x:f>
        <x:v>lower</x:v>
      </x:c>
      <x:c r="E92" s="39" t="str">
        <x:f>'In_Monthly'!E92</x:f>
        <x:v>2023-07</x:v>
      </x:c>
      <x:c r="F92" s="65" t="n">
        <x:f>'In_Monthly'!F92</x:f>
        <x:v>31</x:v>
      </x:c>
      <x:c r="G92" s="65" t="n">
        <x:f>F92*24</x:f>
        <x:v>744</x:v>
      </x:c>
      <x:c r="H92" s="65" t="n">
        <x:f>'In_Monthly'!G92</x:f>
        <x:v>23.824193548387097</x:v>
      </x:c>
      <x:c r="I92" s="65" t="n">
        <x:f>'In_Monthly'!K92</x:f>
        <x:v>0</x:v>
      </x:c>
      <x:c r="J92" s="65" t="n">
        <x:f>'In_Monthly'!L92</x:f>
        <x:v>1</x:v>
      </x:c>
      <x:c r="K92" s="65" t="n">
        <x:f>'In_Monthly'!J92*G92/1000</x:f>
        <x:v>11372.37533413196</x:v>
      </x:c>
      <x:c r="L92" s="65" t="n">
        <x:f>'Calc_Case'!E9+'Calc_Case'!F9+'Calc_Case'!G9</x:f>
        <x:v>1163.0529765732276</x:v>
      </x:c>
      <x:c r="M92" s="65" t="n">
        <x:f>'Calc_Case'!H9</x:f>
        <x:v>1303.3393173984375</x:v>
      </x:c>
      <x:c r="N92" s="65" t="n">
        <x:f>(L92*('In_Cases'!O9-H92)+M92*('In_Cases'!O9-'In_Cases'!U9))*G92*I92/1000</x:f>
        <x:v>0</x:v>
      </x:c>
      <x:c r="O92" s="65" t="str">
        <x:f>IF(N92&lt;=0,"",K92/N92)</x:f>
      </x:c>
      <x:c r="P92" s="65" t="n">
        <x:f>IF(N92&lt;=0,0,IF(ABS(O92-1)&lt;1E-9,'Calc_Case'!N9/('Calc_Case'!N9+1),(1-POWER(O92,'Calc_Case'!N9))/(1-POWER(O92,'Calc_Case'!N9+1))))</x:f>
        <x:v>0</x:v>
      </x:c>
      <x:c r="Q92" s="65" t="n">
        <x:f>IF(N92&lt;=0,0,MAX(0,N92-P92*K92))</x:f>
        <x:v>0</x:v>
      </x:c>
      <x:c r="R92" s="65" t="n">
        <x:f>IF(J92&lt;=0,0,MAX(1E-12,(L92*('In_Cases'!P9-H92)+M92*('In_Cases'!P9-'In_Cases'!V9))*G92*J92/1000))</x:f>
        <x:v>4791.803514910053</x:v>
      </x:c>
      <x:c r="S92" s="65" t="n">
        <x:f>IF(J92&lt;=0,"",K92/R92)</x:f>
        <x:v>2.373297506616448</x:v>
      </x:c>
      <x:c r="T92" s="65" t="n">
        <x:f>IF(J92&lt;=0,0,IF(ABS(S92-1)&lt;1E-9,'Calc_Case'!N9/('Calc_Case'!N9+1),(1-POWER(S92,-'Calc_Case'!N9))/(1-POWER(S92,-'Calc_Case'!N9-1))))</x:f>
        <x:v>0.8999544280567008</x:v>
      </x:c>
      <x:c r="U92" s="65" t="n">
        <x:f>IF(J92&lt;=0,0,'In_Cases'!Q9*MAX(0,K92-T92*R92))</x:f>
        <x:v>7059.970542510995</x:v>
      </x:c>
      <x:c r="V92" s="65" t="n">
        <x:f>MAX(0,1-I92-J92)</x:f>
        <x:v>0</x:v>
      </x:c>
      <x:c r="W92" s="65" t="n">
        <x:f>'In_Cases'!T9*(H92+'In_Cases'!S9*('In_Cases'!O9-H92))+(1-'In_Cases'!T9)*'In_Cases'!O9</x:f>
        <x:v>22.72967741935484</x:v>
      </x:c>
      <x:c r="X92" s="65" t="n">
        <x:f>'In_Cases'!T9*(H92+'In_Cases'!S9*('In_Cases'!P9-H92))+(1-'In_Cases'!T9)*'In_Cases'!P9</x:f>
        <x:v>25.129677419354838</x:v>
      </x:c>
      <x:c r="Y92" s="65" t="n">
        <x:f>'In_Cases'!T9*(H92+'In_Cases'!S9*((('In_Cases'!O9+'In_Cases'!P9)/2)-H92))+(1-'In_Cases'!T9)*(('In_Cases'!O9+'In_Cases'!P9)/2)</x:f>
        <x:v>23.92967741935484</x:v>
      </x:c>
      <x:c r="Z92" s="65" t="n">
        <x:f>'In_Cases'!R9*M92*('In_Cases'!U9-W92)*G92*I92/1000</x:f>
        <x:v>0</x:v>
      </x:c>
      <x:c r="AA92" s="65" t="n">
        <x:f>'In_Cases'!R9*M92*('In_Cases'!V9-X92)*G92*J92/1000</x:f>
        <x:v>-2065.1150816314757</x:v>
      </x:c>
      <x:c r="AB92" s="65" t="n">
        <x:f>'In_Cases'!R9*M92*('In_Cases'!V9-Y92)*G92*V92/1000</x:f>
        <x:v>0</x:v>
      </x:c>
      <x:c r="AC92" s="65" t="n">
        <x:f>MAX(0,Z92)+MAX(0,AA92)+MAX(0,AB92)</x:f>
        <x:v>0</x:v>
      </x:c>
      <x:c r="AD92" s="65" t="n">
        <x:f>MAX(0,-Z92)+MAX(0,-AA92)+MAX(0,-AB92)</x:f>
        <x:v>2065.1150816314757</x:v>
      </x:c>
      <x:c r="AE92" s="65" t="n">
        <x:f>Q92+AC92</x:f>
        <x:v>0</x:v>
      </x:c>
      <x:c r="AF92" s="65" t="n">
        <x:f>U92+AD92</x:f>
        <x:v>9125.08562414247</x:v>
      </x:c>
    </x:row>
    <x:row r="93">
      <x:c r="A93" s="39" t="str">
        <x:f>'In_Monthly'!A93</x:f>
        <x:v>19|lower</x:v>
      </x:c>
      <x:c r="B93" s="39" t="str">
        <x:f>'In_Monthly'!B93</x:f>
        <x:v>19</x:v>
      </x:c>
      <x:c r="C93" s="39" t="str">
        <x:f>'In_Monthly'!C93</x:f>
        <x:v>Test building 3</x:v>
      </x:c>
      <x:c r="D93" s="39" t="str">
        <x:f>'In_Monthly'!D93</x:f>
        <x:v>lower</x:v>
      </x:c>
      <x:c r="E93" s="39" t="str">
        <x:f>'In_Monthly'!E93</x:f>
        <x:v>2023-08</x:v>
      </x:c>
      <x:c r="F93" s="65" t="n">
        <x:f>'In_Monthly'!F93</x:f>
        <x:v>31</x:v>
      </x:c>
      <x:c r="G93" s="65" t="n">
        <x:f>F93*24</x:f>
        <x:v>744</x:v>
      </x:c>
      <x:c r="H93" s="65" t="n">
        <x:f>'In_Monthly'!G93</x:f>
        <x:v>22.74717741935484</x:v>
      </x:c>
      <x:c r="I93" s="65" t="n">
        <x:f>'In_Monthly'!K93</x:f>
        <x:v>0</x:v>
      </x:c>
      <x:c r="J93" s="65" t="n">
        <x:f>'In_Monthly'!L93</x:f>
        <x:v>1</x:v>
      </x:c>
      <x:c r="K93" s="65" t="n">
        <x:f>'In_Monthly'!J93*G93/1000</x:f>
        <x:v>10982.32839195737</x:v>
      </x:c>
      <x:c r="L93" s="65" t="n">
        <x:f>'Calc_Case'!E9+'Calc_Case'!F9+'Calc_Case'!G9</x:f>
        <x:v>1163.0529765732276</x:v>
      </x:c>
      <x:c r="M93" s="65" t="n">
        <x:f>'Calc_Case'!H9</x:f>
        <x:v>1303.3393173984375</x:v>
      </x:c>
      <x:c r="N93" s="65" t="n">
        <x:f>(L93*('In_Cases'!O9-H93)+M93*('In_Cases'!O9-'In_Cases'!U9))*G93*I93/1000</x:f>
        <x:v>0</x:v>
      </x:c>
      <x:c r="O93" s="65" t="str">
        <x:f>IF(N93&lt;=0,"",K93/N93)</x:f>
      </x:c>
      <x:c r="P93" s="65" t="n">
        <x:f>IF(N93&lt;=0,0,IF(ABS(O93-1)&lt;1E-9,'Calc_Case'!N9/('Calc_Case'!N9+1),(1-POWER(O93,'Calc_Case'!N9))/(1-POWER(O93,'Calc_Case'!N9+1))))</x:f>
        <x:v>0</x:v>
      </x:c>
      <x:c r="Q93" s="65" t="n">
        <x:f>IF(N93&lt;=0,0,MAX(0,N93-P93*K93))</x:f>
        <x:v>0</x:v>
      </x:c>
      <x:c r="R93" s="65" t="n">
        <x:f>IF(J93&lt;=0,0,MAX(1E-12,(L93*('In_Cases'!P9-H93)+M93*('In_Cases'!P9-'In_Cases'!V9))*G93*J93/1000))</x:f>
        <x:v>5723.757865038179</x:v>
      </x:c>
      <x:c r="S93" s="65" t="n">
        <x:f>IF(J93&lt;=0,"",K93/R93)</x:f>
        <x:v>1.9187269362038455</x:v>
      </x:c>
      <x:c r="T93" s="65" t="n">
        <x:f>IF(J93&lt;=0,0,IF(ABS(S93-1)&lt;1E-9,'Calc_Case'!N9/('Calc_Case'!N9+1),(1-POWER(S93,-'Calc_Case'!N9))/(1-POWER(S93,-'Calc_Case'!N9-1))))</x:f>
        <x:v>0.8607734637287424</x:v>
      </x:c>
      <x:c r="U93" s="65" t="n">
        <x:f>IF(J93&lt;=0,0,'In_Cases'!Q9*MAX(0,K93-T93*R93))</x:f>
        <x:v>6055.469508923824</x:v>
      </x:c>
      <x:c r="V93" s="65" t="n">
        <x:f>MAX(0,1-I93-J93)</x:f>
        <x:v>0</x:v>
      </x:c>
      <x:c r="W93" s="65" t="n">
        <x:f>'In_Cases'!T9*(H93+'In_Cases'!S9*('In_Cases'!O9-H93))+(1-'In_Cases'!T9)*'In_Cases'!O9</x:f>
        <x:v>22.298870967741937</x:v>
      </x:c>
      <x:c r="X93" s="65" t="n">
        <x:f>'In_Cases'!T9*(H93+'In_Cases'!S9*('In_Cases'!P9-H93))+(1-'In_Cases'!T9)*'In_Cases'!P9</x:f>
        <x:v>24.698870967741936</x:v>
      </x:c>
      <x:c r="Y93" s="65" t="n">
        <x:f>'In_Cases'!T9*(H93+'In_Cases'!S9*((('In_Cases'!O9+'In_Cases'!P9)/2)-H93))+(1-'In_Cases'!T9)*(('In_Cases'!O9+'In_Cases'!P9)/2)</x:f>
        <x:v>23.498870967741937</x:v>
      </x:c>
      <x:c r="Z93" s="65" t="n">
        <x:f>'In_Cases'!R9*M93*('In_Cases'!U9-W93)*G93*I93/1000</x:f>
        <x:v>0</x:v>
      </x:c>
      <x:c r="AA93" s="65" t="n">
        <x:f>'In_Cases'!R9*M93*('In_Cases'!V9-X93)*G93*J93/1000</x:f>
        <x:v>-1647.3687636189293</x:v>
      </x:c>
      <x:c r="AB93" s="65" t="n">
        <x:f>'In_Cases'!R9*M93*('In_Cases'!V9-Y93)*G93*V93/1000</x:f>
        <x:v>0</x:v>
      </x:c>
      <x:c r="AC93" s="65" t="n">
        <x:f>MAX(0,Z93)+MAX(0,AA93)+MAX(0,AB93)</x:f>
        <x:v>0</x:v>
      </x:c>
      <x:c r="AD93" s="65" t="n">
        <x:f>MAX(0,-Z93)+MAX(0,-AA93)+MAX(0,-AB93)</x:f>
        <x:v>1647.3687636189293</x:v>
      </x:c>
      <x:c r="AE93" s="65" t="n">
        <x:f>Q93+AC93</x:f>
        <x:v>0</x:v>
      </x:c>
      <x:c r="AF93" s="65" t="n">
        <x:f>U93+AD93</x:f>
        <x:v>7702.838272542753</x:v>
      </x:c>
    </x:row>
    <x:row r="94">
      <x:c r="A94" s="39" t="str">
        <x:f>'In_Monthly'!A94</x:f>
        <x:v>19|lower</x:v>
      </x:c>
      <x:c r="B94" s="39" t="str">
        <x:f>'In_Monthly'!B94</x:f>
        <x:v>19</x:v>
      </x:c>
      <x:c r="C94" s="39" t="str">
        <x:f>'In_Monthly'!C94</x:f>
        <x:v>Test building 3</x:v>
      </x:c>
      <x:c r="D94" s="39" t="str">
        <x:f>'In_Monthly'!D94</x:f>
        <x:v>lower</x:v>
      </x:c>
      <x:c r="E94" s="39" t="str">
        <x:f>'In_Monthly'!E94</x:f>
        <x:v>2023-09</x:v>
      </x:c>
      <x:c r="F94" s="65" t="n">
        <x:f>'In_Monthly'!F94</x:f>
        <x:v>30</x:v>
      </x:c>
      <x:c r="G94" s="65" t="n">
        <x:f>F94*24</x:f>
        <x:v>720</x:v>
      </x:c>
      <x:c r="H94" s="65" t="n">
        <x:f>'In_Monthly'!G94</x:f>
        <x:v>19.61638888888889</x:v>
      </x:c>
      <x:c r="I94" s="65" t="n">
        <x:f>'In_Monthly'!K94</x:f>
        <x:v>0</x:v>
      </x:c>
      <x:c r="J94" s="65" t="n">
        <x:f>'In_Monthly'!L94</x:f>
        <x:v>1</x:v>
      </x:c>
      <x:c r="K94" s="65" t="n">
        <x:f>'In_Monthly'!J94*G94/1000</x:f>
        <x:v>10101.131035345838</x:v>
      </x:c>
      <x:c r="L94" s="65" t="n">
        <x:f>'Calc_Case'!E9+'Calc_Case'!F9+'Calc_Case'!G9</x:f>
        <x:v>1163.0529765732276</x:v>
      </x:c>
      <x:c r="M94" s="65" t="n">
        <x:f>'Calc_Case'!H9</x:f>
        <x:v>1303.3393173984375</x:v>
      </x:c>
      <x:c r="N94" s="65" t="n">
        <x:f>(L94*('In_Cases'!O9-H94)+M94*('In_Cases'!O9-'In_Cases'!U9))*G94*I94/1000</x:f>
        <x:v>0</x:v>
      </x:c>
      <x:c r="O94" s="65" t="str">
        <x:f>IF(N94&lt;=0,"",K94/N94)</x:f>
      </x:c>
      <x:c r="P94" s="65" t="n">
        <x:f>IF(N94&lt;=0,0,IF(ABS(O94-1)&lt;1E-9,'Calc_Case'!N9/('Calc_Case'!N9+1),(1-POWER(O94,'Calc_Case'!N9))/(1-POWER(O94,'Calc_Case'!N9+1))))</x:f>
        <x:v>0</x:v>
      </x:c>
      <x:c r="Q94" s="65" t="n">
        <x:f>IF(N94&lt;=0,0,MAX(0,N94-P94*K94))</x:f>
        <x:v>0</x:v>
      </x:c>
      <x:c r="R94" s="65" t="n">
        <x:f>IF(J94&lt;=0,0,MAX(1E-12,(L94*('In_Cases'!P9-H94)+M94*('In_Cases'!P9-'In_Cases'!V9))*G94*J94/1000))</x:f>
        <x:v>8160.8370165064935</x:v>
      </x:c>
      <x:c r="S94" s="65" t="n">
        <x:f>IF(J94&lt;=0,"",K94/R94)</x:f>
        <x:v>1.2377567417306354</x:v>
      </x:c>
      <x:c r="T94" s="65" t="n">
        <x:f>IF(J94&lt;=0,0,IF(ABS(S94-1)&lt;1E-9,'Calc_Case'!N9/('Calc_Case'!N9+1),(1-POWER(S94,-'Calc_Case'!N9))/(1-POWER(S94,-'Calc_Case'!N9-1))))</x:f>
        <x:v>0.7476454018635432</x:v>
      </x:c>
      <x:c r="U94" s="65" t="n">
        <x:f>IF(J94&lt;=0,0,'In_Cases'!Q9*MAX(0,K94-T94*R94))</x:f>
        <x:v>3999.7187645969607</x:v>
      </x:c>
      <x:c r="V94" s="65" t="n">
        <x:f>MAX(0,1-I94-J94)</x:f>
        <x:v>0</x:v>
      </x:c>
      <x:c r="W94" s="65" t="n">
        <x:f>'In_Cases'!T9*(H94+'In_Cases'!S9*('In_Cases'!O9-H94))+(1-'In_Cases'!T9)*'In_Cases'!O9</x:f>
        <x:v>21.046555555555557</x:v>
      </x:c>
      <x:c r="X94" s="65" t="n">
        <x:f>'In_Cases'!T9*(H94+'In_Cases'!S9*('In_Cases'!P9-H94))+(1-'In_Cases'!T9)*'In_Cases'!P9</x:f>
        <x:v>23.446555555555555</x:v>
      </x:c>
      <x:c r="Y94" s="65" t="n">
        <x:f>'In_Cases'!T9*(H94+'In_Cases'!S9*((('In_Cases'!O9+'In_Cases'!P9)/2)-H94))+(1-'In_Cases'!T9)*(('In_Cases'!O9+'In_Cases'!P9)/2)</x:f>
        <x:v>22.246555555555556</x:v>
      </x:c>
      <x:c r="Z94" s="65" t="n">
        <x:f>'In_Cases'!R9*M94*('In_Cases'!U9-W94)*G94*I94/1000</x:f>
        <x:v>0</x:v>
      </x:c>
      <x:c r="AA94" s="65" t="n">
        <x:f>'In_Cases'!R9*M94*('In_Cases'!V9-X94)*G94*J94/1000</x:f>
        <x:v>-419.0496573299455</x:v>
      </x:c>
      <x:c r="AB94" s="65" t="n">
        <x:f>'In_Cases'!R9*M94*('In_Cases'!V9-Y94)*G94*V94/1000</x:f>
        <x:v>0</x:v>
      </x:c>
      <x:c r="AC94" s="65" t="n">
        <x:f>MAX(0,Z94)+MAX(0,AA94)+MAX(0,AB94)</x:f>
        <x:v>0</x:v>
      </x:c>
      <x:c r="AD94" s="65" t="n">
        <x:f>MAX(0,-Z94)+MAX(0,-AA94)+MAX(0,-AB94)</x:f>
        <x:v>419.0496573299455</x:v>
      </x:c>
      <x:c r="AE94" s="65" t="n">
        <x:f>Q94+AC94</x:f>
        <x:v>0</x:v>
      </x:c>
      <x:c r="AF94" s="65" t="n">
        <x:f>U94+AD94</x:f>
        <x:v>4418.768421926906</x:v>
      </x:c>
    </x:row>
    <x:row r="95">
      <x:c r="A95" s="39" t="str">
        <x:f>'In_Monthly'!A95</x:f>
        <x:v>19|lower</x:v>
      </x:c>
      <x:c r="B95" s="39" t="str">
        <x:f>'In_Monthly'!B95</x:f>
        <x:v>19</x:v>
      </x:c>
      <x:c r="C95" s="39" t="str">
        <x:f>'In_Monthly'!C95</x:f>
        <x:v>Test building 3</x:v>
      </x:c>
      <x:c r="D95" s="39" t="str">
        <x:f>'In_Monthly'!D95</x:f>
        <x:v>lower</x:v>
      </x:c>
      <x:c r="E95" s="39" t="str">
        <x:f>'In_Monthly'!E95</x:f>
        <x:v>2023-10</x:v>
      </x:c>
      <x:c r="F95" s="65" t="n">
        <x:f>'In_Monthly'!F95</x:f>
        <x:v>31</x:v>
      </x:c>
      <x:c r="G95" s="65" t="n">
        <x:f>F95*24</x:f>
        <x:v>744</x:v>
      </x:c>
      <x:c r="H95" s="65" t="n">
        <x:f>'In_Monthly'!G95</x:f>
        <x:v>13.926209677419354</x:v>
      </x:c>
      <x:c r="I95" s="65" t="n">
        <x:f>'In_Monthly'!K95</x:f>
        <x:v>0.5483870967741935</x:v>
      </x:c>
      <x:c r="J95" s="65" t="n">
        <x:f>'In_Monthly'!L95</x:f>
        <x:v>0</x:v>
      </x:c>
      <x:c r="K95" s="65" t="n">
        <x:f>'In_Monthly'!J95*G95/1000</x:f>
        <x:v>9775.64936915424</x:v>
      </x:c>
      <x:c r="L95" s="65" t="n">
        <x:f>'Calc_Case'!E9+'Calc_Case'!F9+'Calc_Case'!G9</x:f>
        <x:v>1163.0529765732276</x:v>
      </x:c>
      <x:c r="M95" s="65" t="n">
        <x:f>'Calc_Case'!H9</x:f>
        <x:v>1303.3393173984375</x:v>
      </x:c>
      <x:c r="N95" s="65" t="n">
        <x:f>(L95*('In_Cases'!O9-H95)+M95*('In_Cases'!O9-'In_Cases'!U9))*G95*I95/1000</x:f>
        <x:v>3831.22031369746</x:v>
      </x:c>
      <x:c r="O95" s="65" t="n">
        <x:f>IF(N95&lt;=0,"",K95/N95)</x:f>
        <x:v>2.5515758867231235</x:v>
      </x:c>
      <x:c r="P95" s="65" t="n">
        <x:f>IF(N95&lt;=0,0,IF(ABS(O95-1)&lt;1E-9,'Calc_Case'!N9/('Calc_Case'!N9+1),(1-POWER(O95,'Calc_Case'!N9))/(1-POWER(O95,'Calc_Case'!N9+1))))</x:f>
        <x:v>0.35706757717496757</x:v>
      </x:c>
      <x:c r="Q95" s="65" t="n">
        <x:f>IF(N95&lt;=0,0,MAX(0,N95-P95*K95))</x:f>
        <x:v>340.65287814155545</x:v>
      </x:c>
      <x:c r="R95" s="65" t="n">
        <x:f>IF(J95&lt;=0,0,MAX(1E-12,(L95*('In_Cases'!P9-H95)+M95*('In_Cases'!P9-'In_Cases'!V9))*G95*J95/1000))</x:f>
        <x:v>0</x:v>
      </x:c>
      <x:c r="S95" s="65" t="str">
        <x:f>IF(J95&lt;=0,"",K95/R95)</x:f>
      </x:c>
      <x:c r="T95" s="65" t="n">
        <x:f>IF(J95&lt;=0,0,IF(ABS(S95-1)&lt;1E-9,'Calc_Case'!N9/('Calc_Case'!N9+1),(1-POWER(S95,-'Calc_Case'!N9))/(1-POWER(S95,-'Calc_Case'!N9-1))))</x:f>
        <x:v>0</x:v>
      </x:c>
      <x:c r="U95" s="65" t="n">
        <x:f>IF(J95&lt;=0,0,'In_Cases'!Q9*MAX(0,K95-T95*R95))</x:f>
        <x:v>0</x:v>
      </x:c>
      <x:c r="V95" s="65" t="n">
        <x:f>MAX(0,1-I95-J95)</x:f>
        <x:v>0.4516129032258065</x:v>
      </x:c>
      <x:c r="W95" s="65" t="n">
        <x:f>'In_Cases'!T9*(H95+'In_Cases'!S9*('In_Cases'!O9-H95))+(1-'In_Cases'!T9)*'In_Cases'!O9</x:f>
        <x:v>18.77048387096774</x:v>
      </x:c>
      <x:c r="X95" s="65" t="n">
        <x:f>'In_Cases'!T9*(H95+'In_Cases'!S9*('In_Cases'!P9-H95))+(1-'In_Cases'!T9)*'In_Cases'!P9</x:f>
        <x:v>21.170483870967743</x:v>
      </x:c>
      <x:c r="Y95" s="65" t="n">
        <x:f>'In_Cases'!T9*(H95+'In_Cases'!S9*((('In_Cases'!O9+'In_Cases'!P9)/2)-H95))+(1-'In_Cases'!T9)*(('In_Cases'!O9+'In_Cases'!P9)/2)</x:f>
        <x:v>19.97048387096774</x:v>
      </x:c>
      <x:c r="Z95" s="65" t="n">
        <x:f>'In_Cases'!R9*M95*('In_Cases'!U9-W95)*G95*I95/1000</x:f>
        <x:v>1717.3353816331805</x:v>
      </x:c>
      <x:c r="AA95" s="65" t="n">
        <x:f>'In_Cases'!R9*M95*('In_Cases'!V9-X95)*G95*J95/1000</x:f>
        <x:v>0</x:v>
      </x:c>
      <x:c r="AB95" s="65" t="n">
        <x:f>'In_Cases'!R9*M95*('In_Cases'!V9-Y95)*G95*V95/1000</x:f>
        <x:v>1326.6917945099153</x:v>
      </x:c>
      <x:c r="AC95" s="65" t="n">
        <x:f>MAX(0,Z95)+MAX(0,AA95)+MAX(0,AB95)</x:f>
        <x:v>3044.027176143096</x:v>
      </x:c>
      <x:c r="AD95" s="65" t="n">
        <x:f>MAX(0,-Z95)+MAX(0,-AA95)+MAX(0,-AB95)</x:f>
        <x:v>0</x:v>
      </x:c>
      <x:c r="AE95" s="65" t="n">
        <x:f>Q95+AC95</x:f>
        <x:v>3384.6800542846513</x:v>
      </x:c>
      <x:c r="AF95" s="65" t="n">
        <x:f>U95+AD95</x:f>
        <x:v>0</x:v>
      </x:c>
    </x:row>
    <x:row r="96">
      <x:c r="A96" s="39" t="str">
        <x:f>'In_Monthly'!A96</x:f>
        <x:v>19|lower</x:v>
      </x:c>
      <x:c r="B96" s="39" t="str">
        <x:f>'In_Monthly'!B96</x:f>
        <x:v>19</x:v>
      </x:c>
      <x:c r="C96" s="39" t="str">
        <x:f>'In_Monthly'!C96</x:f>
        <x:v>Test building 3</x:v>
      </x:c>
      <x:c r="D96" s="39" t="str">
        <x:f>'In_Monthly'!D96</x:f>
        <x:v>lower</x:v>
      </x:c>
      <x:c r="E96" s="39" t="str">
        <x:f>'In_Monthly'!E96</x:f>
        <x:v>2023-11</x:v>
      </x:c>
      <x:c r="F96" s="65" t="n">
        <x:f>'In_Monthly'!F96</x:f>
        <x:v>30</x:v>
      </x:c>
      <x:c r="G96" s="65" t="n">
        <x:f>F96*24</x:f>
        <x:v>720</x:v>
      </x:c>
      <x:c r="H96" s="65" t="n">
        <x:f>'In_Monthly'!G96</x:f>
        <x:v>8.68388888888889</x:v>
      </x:c>
      <x:c r="I96" s="65" t="n">
        <x:f>'In_Monthly'!K96</x:f>
        <x:v>1</x:v>
      </x:c>
      <x:c r="J96" s="65" t="n">
        <x:f>'In_Monthly'!L96</x:f>
        <x:v>0</x:v>
      </x:c>
      <x:c r="K96" s="65" t="n">
        <x:f>'In_Monthly'!J96*G96/1000</x:f>
        <x:v>8892.229684813212</x:v>
      </x:c>
      <x:c r="L96" s="65" t="n">
        <x:f>'Calc_Case'!E9+'Calc_Case'!F9+'Calc_Case'!G9</x:f>
        <x:v>1163.0529765732276</x:v>
      </x:c>
      <x:c r="M96" s="65" t="n">
        <x:f>'Calc_Case'!H9</x:f>
        <x:v>1303.3393173984375</x:v>
      </x:c>
      <x:c r="N96" s="65" t="n">
        <x:f>(L96*('In_Cases'!O9-H96)+M96*('In_Cases'!O9-'In_Cases'!U9))*G96*I96/1000</x:f>
        <x:v>11150.886718193477</x:v>
      </x:c>
      <x:c r="O96" s="65" t="n">
        <x:f>IF(N96&lt;=0,"",K96/N96)</x:f>
        <x:v>0.7974459708486589</x:v>
      </x:c>
      <x:c r="P96" s="65" t="n">
        <x:f>IF(N96&lt;=0,0,IF(ABS(O96-1)&lt;1E-9,'Calc_Case'!N9/('Calc_Case'!N9+1),(1-POWER(O96,'Calc_Case'!N9))/(1-POWER(O96,'Calc_Case'!N9+1))))</x:f>
        <x:v>0.7516082079219388</x:v>
      </x:c>
      <x:c r="Q96" s="65" t="n">
        <x:f>IF(N96&lt;=0,0,MAX(0,N96-P96*K96))</x:f>
        <x:v>4467.4139003607515</x:v>
      </x:c>
      <x:c r="R96" s="65" t="n">
        <x:f>IF(J96&lt;=0,0,MAX(1E-12,(L96*('In_Cases'!P9-H96)+M96*('In_Cases'!P9-'In_Cases'!V9))*G96*J96/1000))</x:f>
        <x:v>0</x:v>
      </x:c>
      <x:c r="S96" s="65" t="str">
        <x:f>IF(J96&lt;=0,"",K96/R96)</x:f>
      </x:c>
      <x:c r="T96" s="65" t="n">
        <x:f>IF(J96&lt;=0,0,IF(ABS(S96-1)&lt;1E-9,'Calc_Case'!N9/('Calc_Case'!N9+1),(1-POWER(S96,-'Calc_Case'!N9))/(1-POWER(S96,-'Calc_Case'!N9-1))))</x:f>
        <x:v>0</x:v>
      </x:c>
      <x:c r="U96" s="65" t="n">
        <x:f>IF(J96&lt;=0,0,'In_Cases'!Q9*MAX(0,K96-T96*R96))</x:f>
        <x:v>0</x:v>
      </x:c>
      <x:c r="V96" s="65" t="n">
        <x:f>MAX(0,1-I96-J96)</x:f>
        <x:v>0</x:v>
      </x:c>
      <x:c r="W96" s="65" t="n">
        <x:f>'In_Cases'!T9*(H96+'In_Cases'!S9*('In_Cases'!O9-H96))+(1-'In_Cases'!T9)*'In_Cases'!O9</x:f>
        <x:v>16.673555555555556</x:v>
      </x:c>
      <x:c r="X96" s="65" t="n">
        <x:f>'In_Cases'!T9*(H96+'In_Cases'!S9*('In_Cases'!P9-H96))+(1-'In_Cases'!T9)*'In_Cases'!P9</x:f>
        <x:v>19.073555555555558</x:v>
      </x:c>
      <x:c r="Y96" s="65" t="n">
        <x:f>'In_Cases'!T9*(H96+'In_Cases'!S9*((('In_Cases'!O9+'In_Cases'!P9)/2)-H96))+(1-'In_Cases'!T9)*(('In_Cases'!O9+'In_Cases'!P9)/2)</x:f>
        <x:v>17.873555555555555</x:v>
      </x:c>
      <x:c r="Z96" s="65" t="n">
        <x:f>'In_Cases'!R9*M96*('In_Cases'!U9-W96)*G96*I96/1000</x:f>
        <x:v>4998.358415795703</x:v>
      </x:c>
      <x:c r="AA96" s="65" t="n">
        <x:f>'In_Cases'!R9*M96*('In_Cases'!V9-X96)*G96*J96/1000</x:f>
        <x:v>0</x:v>
      </x:c>
      <x:c r="AB96" s="65" t="n">
        <x:f>'In_Cases'!R9*M96*('In_Cases'!V9-Y96)*G96*V96/1000</x:f>
        <x:v>0</x:v>
      </x:c>
      <x:c r="AC96" s="65" t="n">
        <x:f>MAX(0,Z96)+MAX(0,AA96)+MAX(0,AB96)</x:f>
        <x:v>4998.358415795703</x:v>
      </x:c>
      <x:c r="AD96" s="65" t="n">
        <x:f>MAX(0,-Z96)+MAX(0,-AA96)+MAX(0,-AB96)</x:f>
        <x:v>0</x:v>
      </x:c>
      <x:c r="AE96" s="65" t="n">
        <x:f>Q96+AC96</x:f>
        <x:v>9465.772316156454</x:v>
      </x:c>
      <x:c r="AF96" s="65" t="n">
        <x:f>U96+AD96</x:f>
        <x:v>0</x:v>
      </x:c>
    </x:row>
    <x:row r="97">
      <x:c r="A97" s="39" t="str">
        <x:f>'In_Monthly'!A97</x:f>
        <x:v>19|lower</x:v>
      </x:c>
      <x:c r="B97" s="39" t="str">
        <x:f>'In_Monthly'!B97</x:f>
        <x:v>19</x:v>
      </x:c>
      <x:c r="C97" s="39" t="str">
        <x:f>'In_Monthly'!C97</x:f>
        <x:v>Test building 3</x:v>
      </x:c>
      <x:c r="D97" s="39" t="str">
        <x:f>'In_Monthly'!D97</x:f>
        <x:v>lower</x:v>
      </x:c>
      <x:c r="E97" s="39" t="str">
        <x:f>'In_Monthly'!E97</x:f>
        <x:v>2023-12</x:v>
      </x:c>
      <x:c r="F97" s="65" t="n">
        <x:f>'In_Monthly'!F97</x:f>
        <x:v>31</x:v>
      </x:c>
      <x:c r="G97" s="65" t="n">
        <x:f>F97*24</x:f>
        <x:v>744</x:v>
      </x:c>
      <x:c r="H97" s="65" t="n">
        <x:f>'In_Monthly'!G97</x:f>
        <x:v>3.9963709677419357</x:v>
      </x:c>
      <x:c r="I97" s="65" t="n">
        <x:f>'In_Monthly'!K97</x:f>
        <x:v>1</x:v>
      </x:c>
      <x:c r="J97" s="65" t="n">
        <x:f>'In_Monthly'!L97</x:f>
        <x:v>0</x:v>
      </x:c>
      <x:c r="K97" s="65" t="n">
        <x:f>'In_Monthly'!J97*G97/1000</x:f>
        <x:v>9103.494357805135</x:v>
      </x:c>
      <x:c r="L97" s="65" t="n">
        <x:f>'Calc_Case'!E9+'Calc_Case'!F9+'Calc_Case'!G9</x:f>
        <x:v>1163.0529765732276</x:v>
      </x:c>
      <x:c r="M97" s="65" t="n">
        <x:f>'Calc_Case'!H9</x:f>
        <x:v>1303.3393173984375</x:v>
      </x:c>
      <x:c r="N97" s="65" t="n">
        <x:f>(L97*('In_Cases'!O9-H97)+M97*('In_Cases'!O9-'In_Cases'!U9))*G97*I97/1000</x:f>
        <x:v>15578.745705305413</x:v>
      </x:c>
      <x:c r="O97" s="65" t="n">
        <x:f>IF(N97&lt;=0,"",K97/N97)</x:f>
        <x:v>0.5843534858332593</x:v>
      </x:c>
      <x:c r="P97" s="65" t="n">
        <x:f>IF(N97&lt;=0,0,IF(ABS(O97-1)&lt;1E-9,'Calc_Case'!N9/('Calc_Case'!N9+1),(1-POWER(O97,'Calc_Case'!N9))/(1-POWER(O97,'Calc_Case'!N9+1))))</x:f>
        <x:v>0.8354422038366758</x:v>
      </x:c>
      <x:c r="Q97" s="65" t="n">
        <x:f>IF(N97&lt;=0,0,MAX(0,N97-P97*K97))</x:f>
        <x:v>7973.302316405948</x:v>
      </x:c>
      <x:c r="R97" s="65" t="n">
        <x:f>IF(J97&lt;=0,0,MAX(1E-12,(L97*('In_Cases'!P9-H97)+M97*('In_Cases'!P9-'In_Cases'!V9))*G97*J97/1000))</x:f>
        <x:v>0</x:v>
      </x:c>
      <x:c r="S97" s="65" t="str">
        <x:f>IF(J97&lt;=0,"",K97/R97)</x:f>
      </x:c>
      <x:c r="T97" s="65" t="n">
        <x:f>IF(J97&lt;=0,0,IF(ABS(S97-1)&lt;1E-9,'Calc_Case'!N9/('Calc_Case'!N9+1),(1-POWER(S97,-'Calc_Case'!N9))/(1-POWER(S97,-'Calc_Case'!N9-1))))</x:f>
        <x:v>0</x:v>
      </x:c>
      <x:c r="U97" s="65" t="n">
        <x:f>IF(J97&lt;=0,0,'In_Cases'!Q9*MAX(0,K97-T97*R97))</x:f>
        <x:v>0</x:v>
      </x:c>
      <x:c r="V97" s="65" t="n">
        <x:f>MAX(0,1-I97-J97)</x:f>
        <x:v>0</x:v>
      </x:c>
      <x:c r="W97" s="65" t="n">
        <x:f>'In_Cases'!T9*(H97+'In_Cases'!S9*('In_Cases'!O9-H97))+(1-'In_Cases'!T9)*'In_Cases'!O9</x:f>
        <x:v>14.798548387096774</x:v>
      </x:c>
      <x:c r="X97" s="65" t="n">
        <x:f>'In_Cases'!T9*(H97+'In_Cases'!S9*('In_Cases'!P9-H97))+(1-'In_Cases'!T9)*'In_Cases'!P9</x:f>
        <x:v>17.198548387096775</x:v>
      </x:c>
      <x:c r="Y97" s="65" t="n">
        <x:f>'In_Cases'!T9*(H97+'In_Cases'!S9*((('In_Cases'!O9+'In_Cases'!P9)/2)-H97))+(1-'In_Cases'!T9)*(('In_Cases'!O9+'In_Cases'!P9)/2)</x:f>
        <x:v>15.998548387096774</x:v>
      </x:c>
      <x:c r="Z97" s="65" t="n">
        <x:f>'In_Cases'!R9*M97*('In_Cases'!U9-W97)*G97*I97/1000</x:f>
        <x:v>6983.135661902739</x:v>
      </x:c>
      <x:c r="AA97" s="65" t="n">
        <x:f>'In_Cases'!R9*M97*('In_Cases'!V9-X97)*G97*J97/1000</x:f>
        <x:v>0</x:v>
      </x:c>
      <x:c r="AB97" s="65" t="n">
        <x:f>'In_Cases'!R9*M97*('In_Cases'!V9-Y97)*G97*V97/1000</x:f>
        <x:v>0</x:v>
      </x:c>
      <x:c r="AC97" s="65" t="n">
        <x:f>MAX(0,Z97)+MAX(0,AA97)+MAX(0,AB97)</x:f>
        <x:v>6983.135661902739</x:v>
      </x:c>
      <x:c r="AD97" s="65" t="n">
        <x:f>MAX(0,-Z97)+MAX(0,-AA97)+MAX(0,-AB97)</x:f>
        <x:v>0</x:v>
      </x:c>
      <x:c r="AE97" s="65" t="n">
        <x:f>Q97+AC97</x:f>
        <x:v>14956.437978308688</x:v>
      </x:c>
      <x:c r="AF97" s="65" t="n">
        <x:f>U97+AD97</x:f>
        <x:v>0</x:v>
      </x:c>
    </x:row>
    <x:row r="98">
      <x:c r="A98" s="39" t="str">
        <x:f>'In_Monthly'!A98</x:f>
        <x:v>19|upper</x:v>
      </x:c>
      <x:c r="B98" s="39" t="str">
        <x:f>'In_Monthly'!B98</x:f>
        <x:v>19</x:v>
      </x:c>
      <x:c r="C98" s="39" t="str">
        <x:f>'In_Monthly'!C98</x:f>
        <x:v>Test building 3</x:v>
      </x:c>
      <x:c r="D98" s="39" t="str">
        <x:f>'In_Monthly'!D98</x:f>
        <x:v>upper</x:v>
      </x:c>
      <x:c r="E98" s="39" t="str">
        <x:f>'In_Monthly'!E98</x:f>
        <x:v>2023-01</x:v>
      </x:c>
      <x:c r="F98" s="65" t="n">
        <x:f>'In_Monthly'!F98</x:f>
        <x:v>31</x:v>
      </x:c>
      <x:c r="G98" s="65" t="n">
        <x:f>F98*24</x:f>
        <x:v>744</x:v>
      </x:c>
      <x:c r="H98" s="65" t="n">
        <x:f>'In_Monthly'!G98</x:f>
        <x:v>2.638440860215054</x:v>
      </x:c>
      <x:c r="I98" s="65" t="n">
        <x:f>'In_Monthly'!K98</x:f>
        <x:v>1</x:v>
      </x:c>
      <x:c r="J98" s="65" t="n">
        <x:f>'In_Monthly'!L98</x:f>
        <x:v>0</x:v>
      </x:c>
      <x:c r="K98" s="65" t="n">
        <x:f>'In_Monthly'!J98*G98/1000</x:f>
        <x:v>1881.9707155545543</x:v>
      </x:c>
      <x:c r="L98" s="65" t="n">
        <x:f>'Calc_Case'!E10+'Calc_Case'!F10+'Calc_Case'!G10</x:f>
        <x:v>4059.989256366761</x:v>
      </x:c>
      <x:c r="M98" s="65" t="n">
        <x:f>'Calc_Case'!H10</x:f>
        <x:v>0</x:v>
      </x:c>
      <x:c r="N98" s="65" t="n">
        <x:f>(L98*('In_Cases'!O10-H98)+M98*('In_Cases'!O10-'In_Cases'!U10))*G98*I98/1000</x:f>
        <x:v>52442.88122448944</x:v>
      </x:c>
      <x:c r="O98" s="65" t="n">
        <x:f>IF(N98&lt;=0,"",K98/N98)</x:f>
        <x:v>0.0358861044933535</x:v>
      </x:c>
      <x:c r="P98" s="65" t="n">
        <x:f>IF(N98&lt;=0,0,IF(ABS(O98-1)&lt;1E-9,'Calc_Case'!N10/('Calc_Case'!N10+1),(1-POWER(O98,'Calc_Case'!N10))/(1-POWER(O98,'Calc_Case'!N10+1))))</x:f>
        <x:v>0.9981387129845388</x:v>
      </x:c>
      <x:c r="Q98" s="65" t="n">
        <x:f>IF(N98&lt;=0,0,MAX(0,N98-P98*K98))</x:f>
        <x:v>50564.413396591226</x:v>
      </x:c>
      <x:c r="R98" s="65" t="n">
        <x:f>IF(J98&lt;=0,0,MAX(1E-12,(L98*('In_Cases'!P10-H98)+M98*('In_Cases'!P10-'In_Cases'!V10))*G98*J98/1000))</x:f>
        <x:v>0</x:v>
      </x:c>
      <x:c r="S98" s="65" t="str">
        <x:f>IF(J98&lt;=0,"",K98/R98)</x:f>
      </x:c>
      <x:c r="T98" s="65" t="n">
        <x:f>IF(J98&lt;=0,0,IF(ABS(S98-1)&lt;1E-9,'Calc_Case'!N10/('Calc_Case'!N10+1),(1-POWER(S98,-'Calc_Case'!N10))/(1-POWER(S98,-'Calc_Case'!N10-1))))</x:f>
        <x:v>0</x:v>
      </x:c>
      <x:c r="U98" s="65" t="n">
        <x:f>IF(J98&lt;=0,0,'In_Cases'!Q10*MAX(0,K98-T98*R98))</x:f>
        <x:v>0</x:v>
      </x:c>
      <x:c r="V98" s="65" t="n">
        <x:f>MAX(0,1-I98-J98)</x:f>
        <x:v>0</x:v>
      </x:c>
      <x:c r="W98" s="65" t="n">
        <x:f>'In_Cases'!T10*(H98+'In_Cases'!S10*('In_Cases'!O10-H98))+(1-'In_Cases'!T10)*'In_Cases'!O10</x:f>
        <x:v>2.638440860215054</x:v>
      </x:c>
      <x:c r="X98" s="65" t="n">
        <x:f>'In_Cases'!T10*(H98+'In_Cases'!S10*('In_Cases'!P10-H98))+(1-'In_Cases'!T10)*'In_Cases'!P10</x:f>
        <x:v>2.638440860215054</x:v>
      </x:c>
      <x:c r="Y98" s="65" t="n">
        <x:f>'In_Cases'!T10*(H98+'In_Cases'!S10*((('In_Cases'!O10+'In_Cases'!P10)/2)-H98))+(1-'In_Cases'!T10)*(('In_Cases'!O10+'In_Cases'!P10)/2)</x:f>
        <x:v>2.638440860215054</x:v>
      </x:c>
      <x:c r="Z98" s="65" t="n">
        <x:f>'In_Cases'!R10*M98*('In_Cases'!U10-W98)*G98*I98/1000</x:f>
        <x:v>0</x:v>
      </x:c>
      <x:c r="AA98" s="65" t="n">
        <x:f>'In_Cases'!R10*M98*('In_Cases'!V10-X98)*G98*J98/1000</x:f>
        <x:v>0</x:v>
      </x:c>
      <x:c r="AB98" s="65" t="n">
        <x:f>'In_Cases'!R10*M98*('In_Cases'!V10-Y98)*G98*V98/1000</x:f>
        <x:v>0</x:v>
      </x:c>
      <x:c r="AC98" s="65" t="n">
        <x:f>MAX(0,Z98)+MAX(0,AA98)+MAX(0,AB98)</x:f>
        <x:v>0</x:v>
      </x:c>
      <x:c r="AD98" s="65" t="n">
        <x:f>MAX(0,-Z98)+MAX(0,-AA98)+MAX(0,-AB98)</x:f>
        <x:v>0</x:v>
      </x:c>
      <x:c r="AE98" s="65" t="n">
        <x:f>Q98+AC98</x:f>
        <x:v>50564.413396591226</x:v>
      </x:c>
      <x:c r="AF98" s="65" t="n">
        <x:f>U98+AD98</x:f>
        <x:v>0</x:v>
      </x:c>
    </x:row>
    <x:row r="99">
      <x:c r="A99" s="39" t="str">
        <x:f>'In_Monthly'!A99</x:f>
        <x:v>19|upper</x:v>
      </x:c>
      <x:c r="B99" s="39" t="str">
        <x:f>'In_Monthly'!B99</x:f>
        <x:v>19</x:v>
      </x:c>
      <x:c r="C99" s="39" t="str">
        <x:f>'In_Monthly'!C99</x:f>
        <x:v>Test building 3</x:v>
      </x:c>
      <x:c r="D99" s="39" t="str">
        <x:f>'In_Monthly'!D99</x:f>
        <x:v>upper</x:v>
      </x:c>
      <x:c r="E99" s="39" t="str">
        <x:f>'In_Monthly'!E99</x:f>
        <x:v>2023-02</x:v>
      </x:c>
      <x:c r="F99" s="65" t="n">
        <x:f>'In_Monthly'!F99</x:f>
        <x:v>28</x:v>
      </x:c>
      <x:c r="G99" s="65" t="n">
        <x:f>F99*24</x:f>
        <x:v>672</x:v>
      </x:c>
      <x:c r="H99" s="65" t="n">
        <x:f>'In_Monthly'!G99</x:f>
        <x:v>3.8903273809523813</x:v>
      </x:c>
      <x:c r="I99" s="65" t="n">
        <x:f>'In_Monthly'!K99</x:f>
        <x:v>1</x:v>
      </x:c>
      <x:c r="J99" s="65" t="n">
        <x:f>'In_Monthly'!L99</x:f>
        <x:v>0</x:v>
      </x:c>
      <x:c r="K99" s="65" t="n">
        <x:f>'In_Monthly'!J99*G99/1000</x:f>
        <x:v>2240.9588444969727</x:v>
      </x:c>
      <x:c r="L99" s="65" t="n">
        <x:f>'Calc_Case'!E10+'Calc_Case'!F10+'Calc_Case'!G10</x:f>
        <x:v>4059.989256366761</x:v>
      </x:c>
      <x:c r="M99" s="65" t="n">
        <x:f>'Calc_Case'!H10</x:f>
        <x:v>0</x:v>
      </x:c>
      <x:c r="N99" s="65" t="n">
        <x:f>(L99*('In_Cases'!O10-H99)+M99*('In_Cases'!O10-'In_Cases'!U10))*G99*I99/1000</x:f>
        <x:v>43952.22569264964</x:v>
      </x:c>
      <x:c r="O99" s="65" t="n">
        <x:f>IF(N99&lt;=0,"",K99/N99)</x:f>
        <x:v>0.05098624265737104</x:v>
      </x:c>
      <x:c r="P99" s="65" t="n">
        <x:f>IF(N99&lt;=0,0,IF(ABS(O99-1)&lt;1E-9,'Calc_Case'!N10/('Calc_Case'!N10+1),(1-POWER(O99,'Calc_Case'!N10))/(1-POWER(O99,'Calc_Case'!N10+1))))</x:f>
        <x:v>0.9964558861434085</x:v>
      </x:c>
      <x:c r="Q99" s="65" t="n">
        <x:f>IF(N99&lt;=0,0,MAX(0,N99-P99*K99))</x:f>
        <x:v>41719.2090614455</x:v>
      </x:c>
      <x:c r="R99" s="65" t="n">
        <x:f>IF(J99&lt;=0,0,MAX(1E-12,(L99*('In_Cases'!P10-H99)+M99*('In_Cases'!P10-'In_Cases'!V10))*G99*J99/1000))</x:f>
        <x:v>0</x:v>
      </x:c>
      <x:c r="S99" s="65" t="str">
        <x:f>IF(J99&lt;=0,"",K99/R99)</x:f>
      </x:c>
      <x:c r="T99" s="65" t="n">
        <x:f>IF(J99&lt;=0,0,IF(ABS(S99-1)&lt;1E-9,'Calc_Case'!N10/('Calc_Case'!N10+1),(1-POWER(S99,-'Calc_Case'!N10))/(1-POWER(S99,-'Calc_Case'!N10-1))))</x:f>
        <x:v>0</x:v>
      </x:c>
      <x:c r="U99" s="65" t="n">
        <x:f>IF(J99&lt;=0,0,'In_Cases'!Q10*MAX(0,K99-T99*R99))</x:f>
        <x:v>0</x:v>
      </x:c>
      <x:c r="V99" s="65" t="n">
        <x:f>MAX(0,1-I99-J99)</x:f>
        <x:v>0</x:v>
      </x:c>
      <x:c r="W99" s="65" t="n">
        <x:f>'In_Cases'!T10*(H99+'In_Cases'!S10*('In_Cases'!O10-H99))+(1-'In_Cases'!T10)*'In_Cases'!O10</x:f>
        <x:v>3.8903273809523813</x:v>
      </x:c>
      <x:c r="X99" s="65" t="n">
        <x:f>'In_Cases'!T10*(H99+'In_Cases'!S10*('In_Cases'!P10-H99))+(1-'In_Cases'!T10)*'In_Cases'!P10</x:f>
        <x:v>3.8903273809523813</x:v>
      </x:c>
      <x:c r="Y99" s="65" t="n">
        <x:f>'In_Cases'!T10*(H99+'In_Cases'!S10*((('In_Cases'!O10+'In_Cases'!P10)/2)-H99))+(1-'In_Cases'!T10)*(('In_Cases'!O10+'In_Cases'!P10)/2)</x:f>
        <x:v>3.8903273809523813</x:v>
      </x:c>
      <x:c r="Z99" s="65" t="n">
        <x:f>'In_Cases'!R10*M99*('In_Cases'!U10-W99)*G99*I99/1000</x:f>
        <x:v>0</x:v>
      </x:c>
      <x:c r="AA99" s="65" t="n">
        <x:f>'In_Cases'!R10*M99*('In_Cases'!V10-X99)*G99*J99/1000</x:f>
        <x:v>0</x:v>
      </x:c>
      <x:c r="AB99" s="65" t="n">
        <x:f>'In_Cases'!R10*M99*('In_Cases'!V10-Y99)*G99*V99/1000</x:f>
        <x:v>0</x:v>
      </x:c>
      <x:c r="AC99" s="65" t="n">
        <x:f>MAX(0,Z99)+MAX(0,AA99)+MAX(0,AB99)</x:f>
        <x:v>0</x:v>
      </x:c>
      <x:c r="AD99" s="65" t="n">
        <x:f>MAX(0,-Z99)+MAX(0,-AA99)+MAX(0,-AB99)</x:f>
        <x:v>0</x:v>
      </x:c>
      <x:c r="AE99" s="65" t="n">
        <x:f>Q99+AC99</x:f>
        <x:v>41719.2090614455</x:v>
      </x:c>
      <x:c r="AF99" s="65" t="n">
        <x:f>U99+AD99</x:f>
        <x:v>0</x:v>
      </x:c>
    </x:row>
    <x:row r="100">
      <x:c r="A100" s="39" t="str">
        <x:f>'In_Monthly'!A100</x:f>
        <x:v>19|upper</x:v>
      </x:c>
      <x:c r="B100" s="39" t="str">
        <x:f>'In_Monthly'!B100</x:f>
        <x:v>19</x:v>
      </x:c>
      <x:c r="C100" s="39" t="str">
        <x:f>'In_Monthly'!C100</x:f>
        <x:v>Test building 3</x:v>
      </x:c>
      <x:c r="D100" s="39" t="str">
        <x:f>'In_Monthly'!D100</x:f>
        <x:v>upper</x:v>
      </x:c>
      <x:c r="E100" s="39" t="str">
        <x:f>'In_Monthly'!E100</x:f>
        <x:v>2023-03</x:v>
      </x:c>
      <x:c r="F100" s="65" t="n">
        <x:f>'In_Monthly'!F100</x:f>
        <x:v>31</x:v>
      </x:c>
      <x:c r="G100" s="65" t="n">
        <x:f>F100*24</x:f>
        <x:v>744</x:v>
      </x:c>
      <x:c r="H100" s="65" t="n">
        <x:f>'In_Monthly'!G100</x:f>
        <x:v>7.746908602150539</x:v>
      </x:c>
      <x:c r="I100" s="65" t="n">
        <x:f>'In_Monthly'!K100</x:f>
        <x:v>1</x:v>
      </x:c>
      <x:c r="J100" s="65" t="n">
        <x:f>'In_Monthly'!L100</x:f>
        <x:v>0</x:v>
      </x:c>
      <x:c r="K100" s="65" t="n">
        <x:f>'In_Monthly'!J100*G100/1000</x:f>
        <x:v>5117.207038149198</x:v>
      </x:c>
      <x:c r="L100" s="65" t="n">
        <x:f>'Calc_Case'!E10+'Calc_Case'!F10+'Calc_Case'!G10</x:f>
        <x:v>4059.989256366761</x:v>
      </x:c>
      <x:c r="M100" s="65" t="n">
        <x:f>'Calc_Case'!H10</x:f>
        <x:v>0</x:v>
      </x:c>
      <x:c r="N100" s="65" t="n">
        <x:f>(L100*('In_Cases'!O10-H100)+M100*('In_Cases'!O10-'In_Cases'!U10))*G100*I100/1000</x:f>
        <x:v>37012.0800578163</x:v>
      </x:c>
      <x:c r="O100" s="65" t="n">
        <x:f>IF(N100&lt;=0,"",K100/N100)</x:f>
        <x:v>0.13825775341876612</x:v>
      </x:c>
      <x:c r="P100" s="65" t="n">
        <x:f>IF(N100&lt;=0,0,IF(ABS(O100-1)&lt;1E-9,'Calc_Case'!N10/('Calc_Case'!N10+1),(1-POWER(O100,'Calc_Case'!N10))/(1-POWER(O100,'Calc_Case'!N10+1))))</x:f>
        <x:v>0.9789738630727058</x:v>
      </x:c>
      <x:c r="Q100" s="65" t="n">
        <x:f>IF(N100&lt;=0,0,MAX(0,N100-P100*K100))</x:f>
        <x:v>32002.468115536543</x:v>
      </x:c>
      <x:c r="R100" s="65" t="n">
        <x:f>IF(J100&lt;=0,0,MAX(1E-12,(L100*('In_Cases'!P10-H100)+M100*('In_Cases'!P10-'In_Cases'!V10))*G100*J100/1000))</x:f>
        <x:v>0</x:v>
      </x:c>
      <x:c r="S100" s="65" t="str">
        <x:f>IF(J100&lt;=0,"",K100/R100)</x:f>
      </x:c>
      <x:c r="T100" s="65" t="n">
        <x:f>IF(J100&lt;=0,0,IF(ABS(S100-1)&lt;1E-9,'Calc_Case'!N10/('Calc_Case'!N10+1),(1-POWER(S100,-'Calc_Case'!N10))/(1-POWER(S100,-'Calc_Case'!N10-1))))</x:f>
        <x:v>0</x:v>
      </x:c>
      <x:c r="U100" s="65" t="n">
        <x:f>IF(J100&lt;=0,0,'In_Cases'!Q10*MAX(0,K100-T100*R100))</x:f>
        <x:v>0</x:v>
      </x:c>
      <x:c r="V100" s="65" t="n">
        <x:f>MAX(0,1-I100-J100)</x:f>
        <x:v>0</x:v>
      </x:c>
      <x:c r="W100" s="65" t="n">
        <x:f>'In_Cases'!T10*(H100+'In_Cases'!S10*('In_Cases'!O10-H100))+(1-'In_Cases'!T10)*'In_Cases'!O10</x:f>
        <x:v>7.746908602150539</x:v>
      </x:c>
      <x:c r="X100" s="65" t="n">
        <x:f>'In_Cases'!T10*(H100+'In_Cases'!S10*('In_Cases'!P10-H100))+(1-'In_Cases'!T10)*'In_Cases'!P10</x:f>
        <x:v>7.746908602150539</x:v>
      </x:c>
      <x:c r="Y100" s="65" t="n">
        <x:f>'In_Cases'!T10*(H100+'In_Cases'!S10*((('In_Cases'!O10+'In_Cases'!P10)/2)-H100))+(1-'In_Cases'!T10)*(('In_Cases'!O10+'In_Cases'!P10)/2)</x:f>
        <x:v>7.746908602150539</x:v>
      </x:c>
      <x:c r="Z100" s="65" t="n">
        <x:f>'In_Cases'!R10*M100*('In_Cases'!U10-W100)*G100*I100/1000</x:f>
        <x:v>0</x:v>
      </x:c>
      <x:c r="AA100" s="65" t="n">
        <x:f>'In_Cases'!R10*M100*('In_Cases'!V10-X100)*G100*J100/1000</x:f>
        <x:v>0</x:v>
      </x:c>
      <x:c r="AB100" s="65" t="n">
        <x:f>'In_Cases'!R10*M100*('In_Cases'!V10-Y100)*G100*V100/1000</x:f>
        <x:v>0</x:v>
      </x:c>
      <x:c r="AC100" s="65" t="n">
        <x:f>MAX(0,Z100)+MAX(0,AA100)+MAX(0,AB100)</x:f>
        <x:v>0</x:v>
      </x:c>
      <x:c r="AD100" s="65" t="n">
        <x:f>MAX(0,-Z100)+MAX(0,-AA100)+MAX(0,-AB100)</x:f>
        <x:v>0</x:v>
      </x:c>
      <x:c r="AE100" s="65" t="n">
        <x:f>Q100+AC100</x:f>
        <x:v>32002.468115536543</x:v>
      </x:c>
      <x:c r="AF100" s="65" t="n">
        <x:f>U100+AD100</x:f>
        <x:v>0</x:v>
      </x:c>
    </x:row>
    <x:row r="101">
      <x:c r="A101" s="39" t="str">
        <x:f>'In_Monthly'!A101</x:f>
        <x:v>19|upper</x:v>
      </x:c>
      <x:c r="B101" s="39" t="str">
        <x:f>'In_Monthly'!B101</x:f>
        <x:v>19</x:v>
      </x:c>
      <x:c r="C101" s="39" t="str">
        <x:f>'In_Monthly'!C101</x:f>
        <x:v>Test building 3</x:v>
      </x:c>
      <x:c r="D101" s="39" t="str">
        <x:f>'In_Monthly'!D101</x:f>
        <x:v>upper</x:v>
      </x:c>
      <x:c r="E101" s="39" t="str">
        <x:f>'In_Monthly'!E101</x:f>
        <x:v>2023-04</x:v>
      </x:c>
      <x:c r="F101" s="65" t="n">
        <x:f>'In_Monthly'!F101</x:f>
        <x:v>30</x:v>
      </x:c>
      <x:c r="G101" s="65" t="n">
        <x:f>F101*24</x:f>
        <x:v>720</x:v>
      </x:c>
      <x:c r="H101" s="65" t="n">
        <x:f>'In_Monthly'!G101</x:f>
        <x:v>12.03041666666667</x:v>
      </x:c>
      <x:c r="I101" s="65" t="n">
        <x:f>'In_Monthly'!K101</x:f>
        <x:v>1</x:v>
      </x:c>
      <x:c r="J101" s="65" t="n">
        <x:f>'In_Monthly'!L101</x:f>
        <x:v>0</x:v>
      </x:c>
      <x:c r="K101" s="65" t="n">
        <x:f>'In_Monthly'!J101*G101/1000</x:f>
        <x:v>6850.123447868083</x:v>
      </x:c>
      <x:c r="L101" s="65" t="n">
        <x:f>'Calc_Case'!E10+'Calc_Case'!F10+'Calc_Case'!G10</x:f>
        <x:v>4059.989256366761</x:v>
      </x:c>
      <x:c r="M101" s="65" t="n">
        <x:f>'Calc_Case'!H10</x:f>
        <x:v>0</x:v>
      </x:c>
      <x:c r="N101" s="65" t="n">
        <x:f>(L101*('In_Cases'!O10-H101)+M101*('In_Cases'!O10-'In_Cases'!U10))*G101*I101/1000</x:f>
        <x:v>23296.624351958104</x:v>
      </x:c>
      <x:c r="O101" s="65" t="n">
        <x:f>IF(N101&lt;=0,"",K101/N101)</x:f>
        <x:v>0.29403931421044366</x:v>
      </x:c>
      <x:c r="P101" s="65" t="n">
        <x:f>IF(N101&lt;=0,0,IF(ABS(O101-1)&lt;1E-9,'Calc_Case'!N10/('Calc_Case'!N10+1),(1-POWER(O101,'Calc_Case'!N10))/(1-POWER(O101,'Calc_Case'!N10+1))))</x:f>
        <x:v>0.9270089510351158</x:v>
      </x:c>
      <x:c r="Q101" s="65" t="n">
        <x:f>IF(N101&lt;=0,0,MAX(0,N101-P101*K101))</x:f>
        <x:v>16946.49860008886</x:v>
      </x:c>
      <x:c r="R101" s="65" t="n">
        <x:f>IF(J101&lt;=0,0,MAX(1E-12,(L101*('In_Cases'!P10-H101)+M101*('In_Cases'!P10-'In_Cases'!V10))*G101*J101/1000))</x:f>
        <x:v>0</x:v>
      </x:c>
      <x:c r="S101" s="65" t="str">
        <x:f>IF(J101&lt;=0,"",K101/R101)</x:f>
      </x:c>
      <x:c r="T101" s="65" t="n">
        <x:f>IF(J101&lt;=0,0,IF(ABS(S101-1)&lt;1E-9,'Calc_Case'!N10/('Calc_Case'!N10+1),(1-POWER(S101,-'Calc_Case'!N10))/(1-POWER(S101,-'Calc_Case'!N10-1))))</x:f>
        <x:v>0</x:v>
      </x:c>
      <x:c r="U101" s="65" t="n">
        <x:f>IF(J101&lt;=0,0,'In_Cases'!Q10*MAX(0,K101-T101*R101))</x:f>
        <x:v>0</x:v>
      </x:c>
      <x:c r="V101" s="65" t="n">
        <x:f>MAX(0,1-I101-J101)</x:f>
        <x:v>0</x:v>
      </x:c>
      <x:c r="W101" s="65" t="n">
        <x:f>'In_Cases'!T10*(H101+'In_Cases'!S10*('In_Cases'!O10-H101))+(1-'In_Cases'!T10)*'In_Cases'!O10</x:f>
        <x:v>12.03041666666667</x:v>
      </x:c>
      <x:c r="X101" s="65" t="n">
        <x:f>'In_Cases'!T10*(H101+'In_Cases'!S10*('In_Cases'!P10-H101))+(1-'In_Cases'!T10)*'In_Cases'!P10</x:f>
        <x:v>12.03041666666667</x:v>
      </x:c>
      <x:c r="Y101" s="65" t="n">
        <x:f>'In_Cases'!T10*(H101+'In_Cases'!S10*((('In_Cases'!O10+'In_Cases'!P10)/2)-H101))+(1-'In_Cases'!T10)*(('In_Cases'!O10+'In_Cases'!P10)/2)</x:f>
        <x:v>12.03041666666667</x:v>
      </x:c>
      <x:c r="Z101" s="65" t="n">
        <x:f>'In_Cases'!R10*M101*('In_Cases'!U10-W101)*G101*I101/1000</x:f>
        <x:v>0</x:v>
      </x:c>
      <x:c r="AA101" s="65" t="n">
        <x:f>'In_Cases'!R10*M101*('In_Cases'!V10-X101)*G101*J101/1000</x:f>
        <x:v>0</x:v>
      </x:c>
      <x:c r="AB101" s="65" t="n">
        <x:f>'In_Cases'!R10*M101*('In_Cases'!V10-Y101)*G101*V101/1000</x:f>
        <x:v>0</x:v>
      </x:c>
      <x:c r="AC101" s="65" t="n">
        <x:f>MAX(0,Z101)+MAX(0,AA101)+MAX(0,AB101)</x:f>
        <x:v>0</x:v>
      </x:c>
      <x:c r="AD101" s="65" t="n">
        <x:f>MAX(0,-Z101)+MAX(0,-AA101)+MAX(0,-AB101)</x:f>
        <x:v>0</x:v>
      </x:c>
      <x:c r="AE101" s="65" t="n">
        <x:f>Q101+AC101</x:f>
        <x:v>16946.49860008886</x:v>
      </x:c>
      <x:c r="AF101" s="65" t="n">
        <x:f>U101+AD101</x:f>
        <x:v>0</x:v>
      </x:c>
    </x:row>
    <x:row r="102">
      <x:c r="A102" s="39" t="str">
        <x:f>'In_Monthly'!A102</x:f>
        <x:v>19|upper</x:v>
      </x:c>
      <x:c r="B102" s="39" t="str">
        <x:f>'In_Monthly'!B102</x:f>
        <x:v>19</x:v>
      </x:c>
      <x:c r="C102" s="39" t="str">
        <x:f>'In_Monthly'!C102</x:f>
        <x:v>Test building 3</x:v>
      </x:c>
      <x:c r="D102" s="39" t="str">
        <x:f>'In_Monthly'!D102</x:f>
        <x:v>upper</x:v>
      </x:c>
      <x:c r="E102" s="39" t="str">
        <x:f>'In_Monthly'!E102</x:f>
        <x:v>2023-05</x:v>
      </x:c>
      <x:c r="F102" s="65" t="n">
        <x:f>'In_Monthly'!F102</x:f>
        <x:v>31</x:v>
      </x:c>
      <x:c r="G102" s="65" t="n">
        <x:f>F102*24</x:f>
        <x:v>744</x:v>
      </x:c>
      <x:c r="H102" s="65" t="n">
        <x:f>'In_Monthly'!G102</x:f>
        <x:v>17.244086021505375</x:v>
      </x:c>
      <x:c r="I102" s="65" t="n">
        <x:f>'In_Monthly'!K102</x:f>
        <x:v>0</x:v>
      </x:c>
      <x:c r="J102" s="65" t="n">
        <x:f>'In_Monthly'!L102</x:f>
        <x:v>0</x:v>
      </x:c>
      <x:c r="K102" s="65" t="n">
        <x:f>'In_Monthly'!J102*G102/1000</x:f>
        <x:v>9169.097296660522</x:v>
      </x:c>
      <x:c r="L102" s="65" t="n">
        <x:f>'Calc_Case'!E10+'Calc_Case'!F10+'Calc_Case'!G10</x:f>
        <x:v>4059.989256366761</x:v>
      </x:c>
      <x:c r="M102" s="65" t="n">
        <x:f>'Calc_Case'!H10</x:f>
        <x:v>0</x:v>
      </x:c>
      <x:c r="N102" s="65" t="n">
        <x:f>(L102*('In_Cases'!O10-H102)+M102*('In_Cases'!O10-'In_Cases'!U10))*G102*I102/1000</x:f>
        <x:v>0</x:v>
      </x:c>
      <x:c r="O102" s="65" t="str">
        <x:f>IF(N102&lt;=0,"",K102/N102)</x:f>
      </x:c>
      <x:c r="P102" s="65" t="n">
        <x:f>IF(N102&lt;=0,0,IF(ABS(O102-1)&lt;1E-9,'Calc_Case'!N10/('Calc_Case'!N10+1),(1-POWER(O102,'Calc_Case'!N10))/(1-POWER(O102,'Calc_Case'!N10+1))))</x:f>
        <x:v>0</x:v>
      </x:c>
      <x:c r="Q102" s="65" t="n">
        <x:f>IF(N102&lt;=0,0,MAX(0,N102-P102*K102))</x:f>
        <x:v>0</x:v>
      </x:c>
      <x:c r="R102" s="65" t="n">
        <x:f>IF(J102&lt;=0,0,MAX(1E-12,(L102*('In_Cases'!P10-H102)+M102*('In_Cases'!P10-'In_Cases'!V10))*G102*J102/1000))</x:f>
        <x:v>0</x:v>
      </x:c>
      <x:c r="S102" s="65" t="str">
        <x:f>IF(J102&lt;=0,"",K102/R102)</x:f>
      </x:c>
      <x:c r="T102" s="65" t="n">
        <x:f>IF(J102&lt;=0,0,IF(ABS(S102-1)&lt;1E-9,'Calc_Case'!N10/('Calc_Case'!N10+1),(1-POWER(S102,-'Calc_Case'!N10))/(1-POWER(S102,-'Calc_Case'!N10-1))))</x:f>
        <x:v>0</x:v>
      </x:c>
      <x:c r="U102" s="65" t="n">
        <x:f>IF(J102&lt;=0,0,'In_Cases'!Q10*MAX(0,K102-T102*R102))</x:f>
        <x:v>0</x:v>
      </x:c>
      <x:c r="V102" s="65" t="n">
        <x:f>MAX(0,1-I102-J102)</x:f>
        <x:v>1</x:v>
      </x:c>
      <x:c r="W102" s="65" t="n">
        <x:f>'In_Cases'!T10*(H102+'In_Cases'!S10*('In_Cases'!O10-H102))+(1-'In_Cases'!T10)*'In_Cases'!O10</x:f>
        <x:v>17.244086021505375</x:v>
      </x:c>
      <x:c r="X102" s="65" t="n">
        <x:f>'In_Cases'!T10*(H102+'In_Cases'!S10*('In_Cases'!P10-H102))+(1-'In_Cases'!T10)*'In_Cases'!P10</x:f>
        <x:v>17.244086021505375</x:v>
      </x:c>
      <x:c r="Y102" s="65" t="n">
        <x:f>'In_Cases'!T10*(H102+'In_Cases'!S10*((('In_Cases'!O10+'In_Cases'!P10)/2)-H102))+(1-'In_Cases'!T10)*(('In_Cases'!O10+'In_Cases'!P10)/2)</x:f>
        <x:v>17.244086021505375</x:v>
      </x:c>
      <x:c r="Z102" s="65" t="n">
        <x:f>'In_Cases'!R10*M102*('In_Cases'!U10-W102)*G102*I102/1000</x:f>
        <x:v>0</x:v>
      </x:c>
      <x:c r="AA102" s="65" t="n">
        <x:f>'In_Cases'!R10*M102*('In_Cases'!V10-X102)*G102*J102/1000</x:f>
        <x:v>0</x:v>
      </x:c>
      <x:c r="AB102" s="65" t="n">
        <x:f>'In_Cases'!R10*M102*('In_Cases'!V10-Y102)*G102*V102/1000</x:f>
        <x:v>0</x:v>
      </x:c>
      <x:c r="AC102" s="65" t="n">
        <x:f>MAX(0,Z102)+MAX(0,AA102)+MAX(0,AB102)</x:f>
        <x:v>0</x:v>
      </x:c>
      <x:c r="AD102" s="65" t="n">
        <x:f>MAX(0,-Z102)+MAX(0,-AA102)+MAX(0,-AB102)</x:f>
        <x:v>0</x:v>
      </x:c>
      <x:c r="AE102" s="65" t="n">
        <x:f>Q102+AC102</x:f>
        <x:v>0</x:v>
      </x:c>
      <x:c r="AF102" s="65" t="n">
        <x:f>U102+AD102</x:f>
        <x:v>0</x:v>
      </x:c>
    </x:row>
    <x:row r="103">
      <x:c r="A103" s="39" t="str">
        <x:f>'In_Monthly'!A103</x:f>
        <x:v>19|upper</x:v>
      </x:c>
      <x:c r="B103" s="39" t="str">
        <x:f>'In_Monthly'!B103</x:f>
        <x:v>19</x:v>
      </x:c>
      <x:c r="C103" s="39" t="str">
        <x:f>'In_Monthly'!C103</x:f>
        <x:v>Test building 3</x:v>
      </x:c>
      <x:c r="D103" s="39" t="str">
        <x:f>'In_Monthly'!D103</x:f>
        <x:v>upper</x:v>
      </x:c>
      <x:c r="E103" s="39" t="str">
        <x:f>'In_Monthly'!E103</x:f>
        <x:v>2023-06</x:v>
      </x:c>
      <x:c r="F103" s="65" t="n">
        <x:f>'In_Monthly'!F103</x:f>
        <x:v>30</x:v>
      </x:c>
      <x:c r="G103" s="65" t="n">
        <x:f>F103*24</x:f>
        <x:v>720</x:v>
      </x:c>
      <x:c r="H103" s="65" t="n">
        <x:f>'In_Monthly'!G103</x:f>
        <x:v>20.758194444444445</x:v>
      </x:c>
      <x:c r="I103" s="65" t="n">
        <x:f>'In_Monthly'!K103</x:f>
        <x:v>0</x:v>
      </x:c>
      <x:c r="J103" s="65" t="n">
        <x:f>'In_Monthly'!L103</x:f>
        <x:v>1</x:v>
      </x:c>
      <x:c r="K103" s="65" t="n">
        <x:f>'In_Monthly'!J103*G103/1000</x:f>
        <x:v>9488.31890709445</x:v>
      </x:c>
      <x:c r="L103" s="65" t="n">
        <x:f>'Calc_Case'!E10+'Calc_Case'!F10+'Calc_Case'!G10</x:f>
        <x:v>4059.989256366761</x:v>
      </x:c>
      <x:c r="M103" s="65" t="n">
        <x:f>'Calc_Case'!H10</x:f>
        <x:v>0</x:v>
      </x:c>
      <x:c r="N103" s="65" t="n">
        <x:f>(L103*('In_Cases'!O10-H103)+M103*('In_Cases'!O10-'In_Cases'!U10))*G103*I103/1000</x:f>
        <x:v>0</x:v>
      </x:c>
      <x:c r="O103" s="65" t="str">
        <x:f>IF(N103&lt;=0,"",K103/N103)</x:f>
      </x:c>
      <x:c r="P103" s="65" t="n">
        <x:f>IF(N103&lt;=0,0,IF(ABS(O103-1)&lt;1E-9,'Calc_Case'!N10/('Calc_Case'!N10+1),(1-POWER(O103,'Calc_Case'!N10))/(1-POWER(O103,'Calc_Case'!N10+1))))</x:f>
        <x:v>0</x:v>
      </x:c>
      <x:c r="Q103" s="65" t="n">
        <x:f>IF(N103&lt;=0,0,MAX(0,N103-P103*K103))</x:f>
        <x:v>0</x:v>
      </x:c>
      <x:c r="R103" s="65" t="n">
        <x:f>IF(J103&lt;=0,0,MAX(1E-12,(L103*('In_Cases'!P10-H103)+M103*('In_Cases'!P10-'In_Cases'!V10))*G103*J103/1000))</x:f>
        <x:v>15322.805452453791</x:v>
      </x:c>
      <x:c r="S103" s="65" t="n">
        <x:f>IF(J103&lt;=0,"",K103/R103)</x:f>
        <x:v>0.6192285698944897</x:v>
      </x:c>
      <x:c r="T103" s="65" t="n">
        <x:f>IF(J103&lt;=0,0,IF(ABS(S103-1)&lt;1E-9,'Calc_Case'!N10/('Calc_Case'!N10+1),(1-POWER(S103,-'Calc_Case'!N10))/(1-POWER(S103,-'Calc_Case'!N10-1))))</x:f>
        <x:v>0.4911543745559444</x:v>
      </x:c>
      <x:c r="U103" s="65" t="n">
        <x:f>IF(J103&lt;=0,0,'In_Cases'!Q10*MAX(0,K103-T103*R103))</x:f>
        <x:v>1962.455978652093</x:v>
      </x:c>
      <x:c r="V103" s="65" t="n">
        <x:f>MAX(0,1-I103-J103)</x:f>
        <x:v>0</x:v>
      </x:c>
      <x:c r="W103" s="65" t="n">
        <x:f>'In_Cases'!T10*(H103+'In_Cases'!S10*('In_Cases'!O10-H103))+(1-'In_Cases'!T10)*'In_Cases'!O10</x:f>
        <x:v>20.758194444444445</x:v>
      </x:c>
      <x:c r="X103" s="65" t="n">
        <x:f>'In_Cases'!T10*(H103+'In_Cases'!S10*('In_Cases'!P10-H103))+(1-'In_Cases'!T10)*'In_Cases'!P10</x:f>
        <x:v>20.758194444444445</x:v>
      </x:c>
      <x:c r="Y103" s="65" t="n">
        <x:f>'In_Cases'!T10*(H103+'In_Cases'!S10*((('In_Cases'!O10+'In_Cases'!P10)/2)-H103))+(1-'In_Cases'!T10)*(('In_Cases'!O10+'In_Cases'!P10)/2)</x:f>
        <x:v>20.758194444444445</x:v>
      </x:c>
      <x:c r="Z103" s="65" t="n">
        <x:f>'In_Cases'!R10*M103*('In_Cases'!U10-W103)*G103*I103/1000</x:f>
        <x:v>0</x:v>
      </x:c>
      <x:c r="AA103" s="65" t="n">
        <x:f>'In_Cases'!R10*M103*('In_Cases'!V10-X103)*G103*J103/1000</x:f>
        <x:v>0</x:v>
      </x:c>
      <x:c r="AB103" s="65" t="n">
        <x:f>'In_Cases'!R10*M103*('In_Cases'!V10-Y103)*G103*V103/1000</x:f>
        <x:v>0</x:v>
      </x:c>
      <x:c r="AC103" s="65" t="n">
        <x:f>MAX(0,Z103)+MAX(0,AA103)+MAX(0,AB103)</x:f>
        <x:v>0</x:v>
      </x:c>
      <x:c r="AD103" s="65" t="n">
        <x:f>MAX(0,-Z103)+MAX(0,-AA103)+MAX(0,-AB103)</x:f>
        <x:v>0</x:v>
      </x:c>
      <x:c r="AE103" s="65" t="n">
        <x:f>Q103+AC103</x:f>
        <x:v>0</x:v>
      </x:c>
      <x:c r="AF103" s="65" t="n">
        <x:f>U103+AD103</x:f>
        <x:v>1962.455978652093</x:v>
      </x:c>
    </x:row>
    <x:row r="104">
      <x:c r="A104" s="39" t="str">
        <x:f>'In_Monthly'!A104</x:f>
        <x:v>19|upper</x:v>
      </x:c>
      <x:c r="B104" s="39" t="str">
        <x:f>'In_Monthly'!B104</x:f>
        <x:v>19</x:v>
      </x:c>
      <x:c r="C104" s="39" t="str">
        <x:f>'In_Monthly'!C104</x:f>
        <x:v>Test building 3</x:v>
      </x:c>
      <x:c r="D104" s="39" t="str">
        <x:f>'In_Monthly'!D104</x:f>
        <x:v>upper</x:v>
      </x:c>
      <x:c r="E104" s="39" t="str">
        <x:f>'In_Monthly'!E104</x:f>
        <x:v>2023-07</x:v>
      </x:c>
      <x:c r="F104" s="65" t="n">
        <x:f>'In_Monthly'!F104</x:f>
        <x:v>31</x:v>
      </x:c>
      <x:c r="G104" s="65" t="n">
        <x:f>F104*24</x:f>
        <x:v>744</x:v>
      </x:c>
      <x:c r="H104" s="65" t="n">
        <x:f>'In_Monthly'!G104</x:f>
        <x:v>23.824193548387097</x:v>
      </x:c>
      <x:c r="I104" s="65" t="n">
        <x:f>'In_Monthly'!K104</x:f>
        <x:v>0</x:v>
      </x:c>
      <x:c r="J104" s="65" t="n">
        <x:f>'In_Monthly'!L104</x:f>
        <x:v>1</x:v>
      </x:c>
      <x:c r="K104" s="65" t="n">
        <x:f>'In_Monthly'!J104*G104/1000</x:f>
        <x:v>10201.70282993048</x:v>
      </x:c>
      <x:c r="L104" s="65" t="n">
        <x:f>'Calc_Case'!E10+'Calc_Case'!F10+'Calc_Case'!G10</x:f>
        <x:v>4059.989256366761</x:v>
      </x:c>
      <x:c r="M104" s="65" t="n">
        <x:f>'Calc_Case'!H10</x:f>
        <x:v>0</x:v>
      </x:c>
      <x:c r="N104" s="65" t="n">
        <x:f>(L104*('In_Cases'!O10-H104)+M104*('In_Cases'!O10-'In_Cases'!U10))*G104*I104/1000</x:f>
        <x:v>0</x:v>
      </x:c>
      <x:c r="O104" s="65" t="str">
        <x:f>IF(N104&lt;=0,"",K104/N104)</x:f>
      </x:c>
      <x:c r="P104" s="65" t="n">
        <x:f>IF(N104&lt;=0,0,IF(ABS(O104-1)&lt;1E-9,'Calc_Case'!N10/('Calc_Case'!N10+1),(1-POWER(O104,'Calc_Case'!N10))/(1-POWER(O104,'Calc_Case'!N10+1))))</x:f>
        <x:v>0</x:v>
      </x:c>
      <x:c r="Q104" s="65" t="n">
        <x:f>IF(N104&lt;=0,0,MAX(0,N104-P104*K104))</x:f>
        <x:v>0</x:v>
      </x:c>
      <x:c r="R104" s="65" t="n">
        <x:f>IF(J104&lt;=0,0,MAX(1E-12,(L104*('In_Cases'!P10-H104)+M104*('In_Cases'!P10-'In_Cases'!V10))*G104*J104/1000))</x:f>
        <x:v>6572.310608206513</x:v>
      </x:c>
      <x:c r="S104" s="65" t="n">
        <x:f>IF(J104&lt;=0,"",K104/R104)</x:f>
        <x:v>1.5522246951007044</x:v>
      </x:c>
      <x:c r="T104" s="65" t="n">
        <x:f>IF(J104&lt;=0,0,IF(ABS(S104-1)&lt;1E-9,'Calc_Case'!N10/('Calc_Case'!N10+1),(1-POWER(S104,-'Calc_Case'!N10))/(1-POWER(S104,-'Calc_Case'!N10-1))))</x:f>
        <x:v>0.7830274600457956</x:v>
      </x:c>
      <x:c r="U104" s="65" t="n">
        <x:f>IF(J104&lt;=0,0,'In_Cases'!Q10*MAX(0,K104-T104*R104))</x:f>
        <x:v>5055.403147754496</x:v>
      </x:c>
      <x:c r="V104" s="65" t="n">
        <x:f>MAX(0,1-I104-J104)</x:f>
        <x:v>0</x:v>
      </x:c>
      <x:c r="W104" s="65" t="n">
        <x:f>'In_Cases'!T10*(H104+'In_Cases'!S10*('In_Cases'!O10-H104))+(1-'In_Cases'!T10)*'In_Cases'!O10</x:f>
        <x:v>23.824193548387097</x:v>
      </x:c>
      <x:c r="X104" s="65" t="n">
        <x:f>'In_Cases'!T10*(H104+'In_Cases'!S10*('In_Cases'!P10-H104))+(1-'In_Cases'!T10)*'In_Cases'!P10</x:f>
        <x:v>23.824193548387097</x:v>
      </x:c>
      <x:c r="Y104" s="65" t="n">
        <x:f>'In_Cases'!T10*(H104+'In_Cases'!S10*((('In_Cases'!O10+'In_Cases'!P10)/2)-H104))+(1-'In_Cases'!T10)*(('In_Cases'!O10+'In_Cases'!P10)/2)</x:f>
        <x:v>23.824193548387097</x:v>
      </x:c>
      <x:c r="Z104" s="65" t="n">
        <x:f>'In_Cases'!R10*M104*('In_Cases'!U10-W104)*G104*I104/1000</x:f>
        <x:v>0</x:v>
      </x:c>
      <x:c r="AA104" s="65" t="n">
        <x:f>'In_Cases'!R10*M104*('In_Cases'!V10-X104)*G104*J104/1000</x:f>
        <x:v>0</x:v>
      </x:c>
      <x:c r="AB104" s="65" t="n">
        <x:f>'In_Cases'!R10*M104*('In_Cases'!V10-Y104)*G104*V104/1000</x:f>
        <x:v>0</x:v>
      </x:c>
      <x:c r="AC104" s="65" t="n">
        <x:f>MAX(0,Z104)+MAX(0,AA104)+MAX(0,AB104)</x:f>
        <x:v>0</x:v>
      </x:c>
      <x:c r="AD104" s="65" t="n">
        <x:f>MAX(0,-Z104)+MAX(0,-AA104)+MAX(0,-AB104)</x:f>
        <x:v>0</x:v>
      </x:c>
      <x:c r="AE104" s="65" t="n">
        <x:f>Q104+AC104</x:f>
        <x:v>0</x:v>
      </x:c>
      <x:c r="AF104" s="65" t="n">
        <x:f>U104+AD104</x:f>
        <x:v>5055.403147754496</x:v>
      </x:c>
    </x:row>
    <x:row r="105">
      <x:c r="A105" s="39" t="str">
        <x:f>'In_Monthly'!A105</x:f>
        <x:v>19|upper</x:v>
      </x:c>
      <x:c r="B105" s="39" t="str">
        <x:f>'In_Monthly'!B105</x:f>
        <x:v>19</x:v>
      </x:c>
      <x:c r="C105" s="39" t="str">
        <x:f>'In_Monthly'!C105</x:f>
        <x:v>Test building 3</x:v>
      </x:c>
      <x:c r="D105" s="39" t="str">
        <x:f>'In_Monthly'!D105</x:f>
        <x:v>upper</x:v>
      </x:c>
      <x:c r="E105" s="39" t="str">
        <x:f>'In_Monthly'!E105</x:f>
        <x:v>2023-08</x:v>
      </x:c>
      <x:c r="F105" s="65" t="n">
        <x:f>'In_Monthly'!F105</x:f>
        <x:v>31</x:v>
      </x:c>
      <x:c r="G105" s="65" t="n">
        <x:f>F105*24</x:f>
        <x:v>744</x:v>
      </x:c>
      <x:c r="H105" s="65" t="n">
        <x:f>'In_Monthly'!G105</x:f>
        <x:v>22.74717741935484</x:v>
      </x:c>
      <x:c r="I105" s="65" t="n">
        <x:f>'In_Monthly'!K105</x:f>
        <x:v>0</x:v>
      </x:c>
      <x:c r="J105" s="65" t="n">
        <x:f>'In_Monthly'!L105</x:f>
        <x:v>1</x:v>
      </x:c>
      <x:c r="K105" s="65" t="n">
        <x:f>'In_Monthly'!J105*G105/1000</x:f>
        <x:v>8707.781159567372</x:v>
      </x:c>
      <x:c r="L105" s="65" t="n">
        <x:f>'Calc_Case'!E10+'Calc_Case'!F10+'Calc_Case'!G10</x:f>
        <x:v>4059.989256366761</x:v>
      </x:c>
      <x:c r="M105" s="65" t="n">
        <x:f>'Calc_Case'!H10</x:f>
        <x:v>0</x:v>
      </x:c>
      <x:c r="N105" s="65" t="n">
        <x:f>(L105*('In_Cases'!O10-H105)+M105*('In_Cases'!O10-'In_Cases'!U10))*G105*I105/1000</x:f>
        <x:v>0</x:v>
      </x:c>
      <x:c r="O105" s="65" t="str">
        <x:f>IF(N105&lt;=0,"",K105/N105)</x:f>
      </x:c>
      <x:c r="P105" s="65" t="n">
        <x:f>IF(N105&lt;=0,0,IF(ABS(O105-1)&lt;1E-9,'Calc_Case'!N10/('Calc_Case'!N10+1),(1-POWER(O105,'Calc_Case'!N10))/(1-POWER(O105,'Calc_Case'!N10+1))))</x:f>
        <x:v>0</x:v>
      </x:c>
      <x:c r="Q105" s="65" t="n">
        <x:f>IF(N105&lt;=0,0,MAX(0,N105-P105*K105))</x:f>
        <x:v>0</x:v>
      </x:c>
      <x:c r="R105" s="65" t="n">
        <x:f>IF(J105&lt;=0,0,MAX(1E-12,(L105*('In_Cases'!P10-H105)+M105*('In_Cases'!P10-'In_Cases'!V10))*G105*J105/1000))</x:f>
        <x:v>9825.57999933319</x:v>
      </x:c>
      <x:c r="S105" s="65" t="n">
        <x:f>IF(J105&lt;=0,"",K105/R105)</x:f>
        <x:v>0.8862358415643986</x:v>
      </x:c>
      <x:c r="T105" s="65" t="n">
        <x:f>IF(J105&lt;=0,0,IF(ABS(S105-1)&lt;1E-9,'Calc_Case'!N10/('Calc_Case'!N10+1),(1-POWER(S105,-'Calc_Case'!N10))/(1-POWER(S105,-'Calc_Case'!N10-1))))</x:f>
        <x:v>0.6125666969379632</x:v>
      </x:c>
      <x:c r="U105" s="65" t="n">
        <x:f>IF(J105&lt;=0,0,'In_Cases'!Q10*MAX(0,K105-T105*R105))</x:f>
        <x:v>2688.958073876126</x:v>
      </x:c>
      <x:c r="V105" s="65" t="n">
        <x:f>MAX(0,1-I105-J105)</x:f>
        <x:v>0</x:v>
      </x:c>
      <x:c r="W105" s="65" t="n">
        <x:f>'In_Cases'!T10*(H105+'In_Cases'!S10*('In_Cases'!O10-H105))+(1-'In_Cases'!T10)*'In_Cases'!O10</x:f>
        <x:v>22.74717741935484</x:v>
      </x:c>
      <x:c r="X105" s="65" t="n">
        <x:f>'In_Cases'!T10*(H105+'In_Cases'!S10*('In_Cases'!P10-H105))+(1-'In_Cases'!T10)*'In_Cases'!P10</x:f>
        <x:v>22.74717741935484</x:v>
      </x:c>
      <x:c r="Y105" s="65" t="n">
        <x:f>'In_Cases'!T10*(H105+'In_Cases'!S10*((('In_Cases'!O10+'In_Cases'!P10)/2)-H105))+(1-'In_Cases'!T10)*(('In_Cases'!O10+'In_Cases'!P10)/2)</x:f>
        <x:v>22.74717741935484</x:v>
      </x:c>
      <x:c r="Z105" s="65" t="n">
        <x:f>'In_Cases'!R10*M105*('In_Cases'!U10-W105)*G105*I105/1000</x:f>
        <x:v>0</x:v>
      </x:c>
      <x:c r="AA105" s="65" t="n">
        <x:f>'In_Cases'!R10*M105*('In_Cases'!V10-X105)*G105*J105/1000</x:f>
        <x:v>0</x:v>
      </x:c>
      <x:c r="AB105" s="65" t="n">
        <x:f>'In_Cases'!R10*M105*('In_Cases'!V10-Y105)*G105*V105/1000</x:f>
        <x:v>0</x:v>
      </x:c>
      <x:c r="AC105" s="65" t="n">
        <x:f>MAX(0,Z105)+MAX(0,AA105)+MAX(0,AB105)</x:f>
        <x:v>0</x:v>
      </x:c>
      <x:c r="AD105" s="65" t="n">
        <x:f>MAX(0,-Z105)+MAX(0,-AA105)+MAX(0,-AB105)</x:f>
        <x:v>0</x:v>
      </x:c>
      <x:c r="AE105" s="65" t="n">
        <x:f>Q105+AC105</x:f>
        <x:v>0</x:v>
      </x:c>
      <x:c r="AF105" s="65" t="n">
        <x:f>U105+AD105</x:f>
        <x:v>2688.958073876126</x:v>
      </x:c>
    </x:row>
    <x:row r="106">
      <x:c r="A106" s="39" t="str">
        <x:f>'In_Monthly'!A106</x:f>
        <x:v>19|upper</x:v>
      </x:c>
      <x:c r="B106" s="39" t="str">
        <x:f>'In_Monthly'!B106</x:f>
        <x:v>19</x:v>
      </x:c>
      <x:c r="C106" s="39" t="str">
        <x:f>'In_Monthly'!C106</x:f>
        <x:v>Test building 3</x:v>
      </x:c>
      <x:c r="D106" s="39" t="str">
        <x:f>'In_Monthly'!D106</x:f>
        <x:v>upper</x:v>
      </x:c>
      <x:c r="E106" s="39" t="str">
        <x:f>'In_Monthly'!E106</x:f>
        <x:v>2023-09</x:v>
      </x:c>
      <x:c r="F106" s="65" t="n">
        <x:f>'In_Monthly'!F106</x:f>
        <x:v>30</x:v>
      </x:c>
      <x:c r="G106" s="65" t="n">
        <x:f>F106*24</x:f>
        <x:v>720</x:v>
      </x:c>
      <x:c r="H106" s="65" t="n">
        <x:f>'In_Monthly'!G106</x:f>
        <x:v>19.61638888888889</x:v>
      </x:c>
      <x:c r="I106" s="65" t="n">
        <x:f>'In_Monthly'!K106</x:f>
        <x:v>0</x:v>
      </x:c>
      <x:c r="J106" s="65" t="n">
        <x:f>'In_Monthly'!L106</x:f>
        <x:v>1</x:v>
      </x:c>
      <x:c r="K106" s="65" t="n">
        <x:f>'In_Monthly'!J106*G106/1000</x:f>
        <x:v>6348.621981639974</x:v>
      </x:c>
      <x:c r="L106" s="65" t="n">
        <x:f>'Calc_Case'!E10+'Calc_Case'!F10+'Calc_Case'!G10</x:f>
        <x:v>4059.989256366761</x:v>
      </x:c>
      <x:c r="M106" s="65" t="n">
        <x:f>'Calc_Case'!H10</x:f>
        <x:v>0</x:v>
      </x:c>
      <x:c r="N106" s="65" t="n">
        <x:f>(L106*('In_Cases'!O10-H106)+M106*('In_Cases'!O10-'In_Cases'!U10))*G106*I106/1000</x:f>
        <x:v>0</x:v>
      </x:c>
      <x:c r="O106" s="65" t="str">
        <x:f>IF(N106&lt;=0,"",K106/N106)</x:f>
      </x:c>
      <x:c r="P106" s="65" t="n">
        <x:f>IF(N106&lt;=0,0,IF(ABS(O106-1)&lt;1E-9,'Calc_Case'!N10/('Calc_Case'!N10+1),(1-POWER(O106,'Calc_Case'!N10))/(1-POWER(O106,'Calc_Case'!N10+1))))</x:f>
        <x:v>0</x:v>
      </x:c>
      <x:c r="Q106" s="65" t="n">
        <x:f>IF(N106&lt;=0,0,MAX(0,N106-P106*K106))</x:f>
        <x:v>0</x:v>
      </x:c>
      <x:c r="R106" s="65" t="n">
        <x:f>IF(J106&lt;=0,0,MAX(1E-12,(L106*('In_Cases'!P10-H106)+M106*('In_Cases'!P10-'In_Cases'!V10))*G106*J106/1000))</x:f>
        <x:v>18660.522620112908</x:v>
      </x:c>
      <x:c r="S106" s="65" t="n">
        <x:f>IF(J106&lt;=0,"",K106/R106)</x:f>
        <x:v>0.34021672977139594</x:v>
      </x:c>
      <x:c r="T106" s="65" t="n">
        <x:f>IF(J106&lt;=0,0,IF(ABS(S106-1)&lt;1E-9,'Calc_Case'!N10/('Calc_Case'!N10+1),(1-POWER(S106,-'Calc_Case'!N10))/(1-POWER(S106,-'Calc_Case'!N10-1))))</x:f>
        <x:v>0.3092008836917463</x:v>
      </x:c>
      <x:c r="U106" s="65" t="n">
        <x:f>IF(J106&lt;=0,0,'In_Cases'!Q10*MAX(0,K106-T106*R106))</x:f>
        <x:v>578.7718973512419</x:v>
      </x:c>
      <x:c r="V106" s="65" t="n">
        <x:f>MAX(0,1-I106-J106)</x:f>
        <x:v>0</x:v>
      </x:c>
      <x:c r="W106" s="65" t="n">
        <x:f>'In_Cases'!T10*(H106+'In_Cases'!S10*('In_Cases'!O10-H106))+(1-'In_Cases'!T10)*'In_Cases'!O10</x:f>
        <x:v>19.61638888888889</x:v>
      </x:c>
      <x:c r="X106" s="65" t="n">
        <x:f>'In_Cases'!T10*(H106+'In_Cases'!S10*('In_Cases'!P10-H106))+(1-'In_Cases'!T10)*'In_Cases'!P10</x:f>
        <x:v>19.61638888888889</x:v>
      </x:c>
      <x:c r="Y106" s="65" t="n">
        <x:f>'In_Cases'!T10*(H106+'In_Cases'!S10*((('In_Cases'!O10+'In_Cases'!P10)/2)-H106))+(1-'In_Cases'!T10)*(('In_Cases'!O10+'In_Cases'!P10)/2)</x:f>
        <x:v>19.61638888888889</x:v>
      </x:c>
      <x:c r="Z106" s="65" t="n">
        <x:f>'In_Cases'!R10*M106*('In_Cases'!U10-W106)*G106*I106/1000</x:f>
        <x:v>0</x:v>
      </x:c>
      <x:c r="AA106" s="65" t="n">
        <x:f>'In_Cases'!R10*M106*('In_Cases'!V10-X106)*G106*J106/1000</x:f>
        <x:v>0</x:v>
      </x:c>
      <x:c r="AB106" s="65" t="n">
        <x:f>'In_Cases'!R10*M106*('In_Cases'!V10-Y106)*G106*V106/1000</x:f>
        <x:v>0</x:v>
      </x:c>
      <x:c r="AC106" s="65" t="n">
        <x:f>MAX(0,Z106)+MAX(0,AA106)+MAX(0,AB106)</x:f>
        <x:v>0</x:v>
      </x:c>
      <x:c r="AD106" s="65" t="n">
        <x:f>MAX(0,-Z106)+MAX(0,-AA106)+MAX(0,-AB106)</x:f>
        <x:v>0</x:v>
      </x:c>
      <x:c r="AE106" s="65" t="n">
        <x:f>Q106+AC106</x:f>
        <x:v>0</x:v>
      </x:c>
      <x:c r="AF106" s="65" t="n">
        <x:f>U106+AD106</x:f>
        <x:v>578.7718973512419</x:v>
      </x:c>
    </x:row>
    <x:row r="107">
      <x:c r="A107" s="39" t="str">
        <x:f>'In_Monthly'!A107</x:f>
        <x:v>19|upper</x:v>
      </x:c>
      <x:c r="B107" s="39" t="str">
        <x:f>'In_Monthly'!B107</x:f>
        <x:v>19</x:v>
      </x:c>
      <x:c r="C107" s="39" t="str">
        <x:f>'In_Monthly'!C107</x:f>
        <x:v>Test building 3</x:v>
      </x:c>
      <x:c r="D107" s="39" t="str">
        <x:f>'In_Monthly'!D107</x:f>
        <x:v>upper</x:v>
      </x:c>
      <x:c r="E107" s="39" t="str">
        <x:f>'In_Monthly'!E107</x:f>
        <x:v>2023-10</x:v>
      </x:c>
      <x:c r="F107" s="65" t="n">
        <x:f>'In_Monthly'!F107</x:f>
        <x:v>31</x:v>
      </x:c>
      <x:c r="G107" s="65" t="n">
        <x:f>F107*24</x:f>
        <x:v>744</x:v>
      </x:c>
      <x:c r="H107" s="65" t="n">
        <x:f>'In_Monthly'!G107</x:f>
        <x:v>13.926209677419354</x:v>
      </x:c>
      <x:c r="I107" s="65" t="n">
        <x:f>'In_Monthly'!K107</x:f>
        <x:v>0.5483870967741935</x:v>
      </x:c>
      <x:c r="J107" s="65" t="n">
        <x:f>'In_Monthly'!L107</x:f>
        <x:v>0</x:v>
      </x:c>
      <x:c r="K107" s="65" t="n">
        <x:f>'In_Monthly'!J107*G107/1000</x:f>
        <x:v>4069.886915768664</x:v>
      </x:c>
      <x:c r="L107" s="65" t="n">
        <x:f>'Calc_Case'!E10+'Calc_Case'!F10+'Calc_Case'!G10</x:f>
        <x:v>4059.989256366761</x:v>
      </x:c>
      <x:c r="M107" s="65" t="n">
        <x:f>'Calc_Case'!H10</x:f>
        <x:v>0</x:v>
      </x:c>
      <x:c r="N107" s="65" t="n">
        <x:f>(L107*('In_Cases'!O10-H107)+M107*('In_Cases'!O10-'In_Cases'!U10))*G107*I107/1000</x:f>
        <x:v>10061.085569681542</x:v>
      </x:c>
      <x:c r="O107" s="65" t="n">
        <x:f>IF(N107&lt;=0,"",K107/N107)</x:f>
        <x:v>0.40451767233080854</x:v>
      </x:c>
      <x:c r="P107" s="65" t="n">
        <x:f>IF(N107&lt;=0,0,IF(ABS(O107-1)&lt;1E-9,'Calc_Case'!N10/('Calc_Case'!N10+1),(1-POWER(O107,'Calc_Case'!N10))/(1-POWER(O107,'Calc_Case'!N10+1))))</x:f>
        <x:v>0.882536363544897</x:v>
      </x:c>
      <x:c r="Q107" s="65" t="n">
        <x:f>IF(N107&lt;=0,0,MAX(0,N107-P107*K107))</x:f>
        <x:v>6469.262371000108</x:v>
      </x:c>
      <x:c r="R107" s="65" t="n">
        <x:f>IF(J107&lt;=0,0,MAX(1E-12,(L107*('In_Cases'!P10-H107)+M107*('In_Cases'!P10-'In_Cases'!V10))*G107*J107/1000))</x:f>
        <x:v>0</x:v>
      </x:c>
      <x:c r="S107" s="65" t="str">
        <x:f>IF(J107&lt;=0,"",K107/R107)</x:f>
      </x:c>
      <x:c r="T107" s="65" t="n">
        <x:f>IF(J107&lt;=0,0,IF(ABS(S107-1)&lt;1E-9,'Calc_Case'!N10/('Calc_Case'!N10+1),(1-POWER(S107,-'Calc_Case'!N10))/(1-POWER(S107,-'Calc_Case'!N10-1))))</x:f>
        <x:v>0</x:v>
      </x:c>
      <x:c r="U107" s="65" t="n">
        <x:f>IF(J107&lt;=0,0,'In_Cases'!Q10*MAX(0,K107-T107*R107))</x:f>
        <x:v>0</x:v>
      </x:c>
      <x:c r="V107" s="65" t="n">
        <x:f>MAX(0,1-I107-J107)</x:f>
        <x:v>0.4516129032258065</x:v>
      </x:c>
      <x:c r="W107" s="65" t="n">
        <x:f>'In_Cases'!T10*(H107+'In_Cases'!S10*('In_Cases'!O10-H107))+(1-'In_Cases'!T10)*'In_Cases'!O10</x:f>
        <x:v>13.926209677419354</x:v>
      </x:c>
      <x:c r="X107" s="65" t="n">
        <x:f>'In_Cases'!T10*(H107+'In_Cases'!S10*('In_Cases'!P10-H107))+(1-'In_Cases'!T10)*'In_Cases'!P10</x:f>
        <x:v>13.926209677419354</x:v>
      </x:c>
      <x:c r="Y107" s="65" t="n">
        <x:f>'In_Cases'!T10*(H107+'In_Cases'!S10*((('In_Cases'!O10+'In_Cases'!P10)/2)-H107))+(1-'In_Cases'!T10)*(('In_Cases'!O10+'In_Cases'!P10)/2)</x:f>
        <x:v>13.926209677419354</x:v>
      </x:c>
      <x:c r="Z107" s="65" t="n">
        <x:f>'In_Cases'!R10*M107*('In_Cases'!U10-W107)*G107*I107/1000</x:f>
        <x:v>0</x:v>
      </x:c>
      <x:c r="AA107" s="65" t="n">
        <x:f>'In_Cases'!R10*M107*('In_Cases'!V10-X107)*G107*J107/1000</x:f>
        <x:v>0</x:v>
      </x:c>
      <x:c r="AB107" s="65" t="n">
        <x:f>'In_Cases'!R10*M107*('In_Cases'!V10-Y107)*G107*V107/1000</x:f>
        <x:v>0</x:v>
      </x:c>
      <x:c r="AC107" s="65" t="n">
        <x:f>MAX(0,Z107)+MAX(0,AA107)+MAX(0,AB107)</x:f>
        <x:v>0</x:v>
      </x:c>
      <x:c r="AD107" s="65" t="n">
        <x:f>MAX(0,-Z107)+MAX(0,-AA107)+MAX(0,-AB107)</x:f>
        <x:v>0</x:v>
      </x:c>
      <x:c r="AE107" s="65" t="n">
        <x:f>Q107+AC107</x:f>
        <x:v>6469.262371000108</x:v>
      </x:c>
      <x:c r="AF107" s="65" t="n">
        <x:f>U107+AD107</x:f>
        <x:v>0</x:v>
      </x:c>
    </x:row>
    <x:row r="108">
      <x:c r="A108" s="39" t="str">
        <x:f>'In_Monthly'!A108</x:f>
        <x:v>19|upper</x:v>
      </x:c>
      <x:c r="B108" s="39" t="str">
        <x:f>'In_Monthly'!B108</x:f>
        <x:v>19</x:v>
      </x:c>
      <x:c r="C108" s="39" t="str">
        <x:f>'In_Monthly'!C108</x:f>
        <x:v>Test building 3</x:v>
      </x:c>
      <x:c r="D108" s="39" t="str">
        <x:f>'In_Monthly'!D108</x:f>
        <x:v>upper</x:v>
      </x:c>
      <x:c r="E108" s="39" t="str">
        <x:f>'In_Monthly'!E108</x:f>
        <x:v>2023-11</x:v>
      </x:c>
      <x:c r="F108" s="65" t="n">
        <x:f>'In_Monthly'!F108</x:f>
        <x:v>30</x:v>
      </x:c>
      <x:c r="G108" s="65" t="n">
        <x:f>F108*24</x:f>
        <x:v>720</x:v>
      </x:c>
      <x:c r="H108" s="65" t="n">
        <x:f>'In_Monthly'!G108</x:f>
        <x:v>8.68388888888889</x:v>
      </x:c>
      <x:c r="I108" s="65" t="n">
        <x:f>'In_Monthly'!K108</x:f>
        <x:v>1</x:v>
      </x:c>
      <x:c r="J108" s="65" t="n">
        <x:f>'In_Monthly'!L108</x:f>
        <x:v>0</x:v>
      </x:c>
      <x:c r="K108" s="65" t="n">
        <x:f>'In_Monthly'!J108*G108/1000</x:f>
        <x:v>1879.1446954425053</x:v>
      </x:c>
      <x:c r="L108" s="65" t="n">
        <x:f>'Calc_Case'!E10+'Calc_Case'!F10+'Calc_Case'!G10</x:f>
        <x:v>4059.989256366761</x:v>
      </x:c>
      <x:c r="M108" s="65" t="n">
        <x:f>'Calc_Case'!H10</x:f>
        <x:v>0</x:v>
      </x:c>
      <x:c r="N108" s="65" t="n">
        <x:f>(L108*('In_Cases'!O10-H108)+M108*('In_Cases'!O10-'In_Cases'!U10))*G108*I108/1000</x:f>
        <x:v>33079.16846517382</x:v>
      </x:c>
      <x:c r="O108" s="65" t="n">
        <x:f>IF(N108&lt;=0,"",K108/N108)</x:f>
        <x:v>0.056807494947186885</x:v>
      </x:c>
      <x:c r="P108" s="65" t="n">
        <x:f>IF(N108&lt;=0,0,IF(ABS(O108-1)&lt;1E-9,'Calc_Case'!N10/('Calc_Case'!N10+1),(1-POWER(O108,'Calc_Case'!N10))/(1-POWER(O108,'Calc_Case'!N10+1))))</x:f>
        <x:v>0.9956842243172306</x:v>
      </x:c>
      <x:c r="Q108" s="65" t="n">
        <x:f>IF(N108&lt;=0,0,MAX(0,N108-P108*K108))</x:f>
        <x:v>31208.13373671231</x:v>
      </x:c>
      <x:c r="R108" s="65" t="n">
        <x:f>IF(J108&lt;=0,0,MAX(1E-12,(L108*('In_Cases'!P10-H108)+M108*('In_Cases'!P10-'In_Cases'!V10))*G108*J108/1000))</x:f>
        <x:v>0</x:v>
      </x:c>
      <x:c r="S108" s="65" t="str">
        <x:f>IF(J108&lt;=0,"",K108/R108)</x:f>
      </x:c>
      <x:c r="T108" s="65" t="n">
        <x:f>IF(J108&lt;=0,0,IF(ABS(S108-1)&lt;1E-9,'Calc_Case'!N10/('Calc_Case'!N10+1),(1-POWER(S108,-'Calc_Case'!N10))/(1-POWER(S108,-'Calc_Case'!N10-1))))</x:f>
        <x:v>0</x:v>
      </x:c>
      <x:c r="U108" s="65" t="n">
        <x:f>IF(J108&lt;=0,0,'In_Cases'!Q10*MAX(0,K108-T108*R108))</x:f>
        <x:v>0</x:v>
      </x:c>
      <x:c r="V108" s="65" t="n">
        <x:f>MAX(0,1-I108-J108)</x:f>
        <x:v>0</x:v>
      </x:c>
      <x:c r="W108" s="65" t="n">
        <x:f>'In_Cases'!T10*(H108+'In_Cases'!S10*('In_Cases'!O10-H108))+(1-'In_Cases'!T10)*'In_Cases'!O10</x:f>
        <x:v>8.68388888888889</x:v>
      </x:c>
      <x:c r="X108" s="65" t="n">
        <x:f>'In_Cases'!T10*(H108+'In_Cases'!S10*('In_Cases'!P10-H108))+(1-'In_Cases'!T10)*'In_Cases'!P10</x:f>
        <x:v>8.68388888888889</x:v>
      </x:c>
      <x:c r="Y108" s="65" t="n">
        <x:f>'In_Cases'!T10*(H108+'In_Cases'!S10*((('In_Cases'!O10+'In_Cases'!P10)/2)-H108))+(1-'In_Cases'!T10)*(('In_Cases'!O10+'In_Cases'!P10)/2)</x:f>
        <x:v>8.68388888888889</x:v>
      </x:c>
      <x:c r="Z108" s="65" t="n">
        <x:f>'In_Cases'!R10*M108*('In_Cases'!U10-W108)*G108*I108/1000</x:f>
        <x:v>0</x:v>
      </x:c>
      <x:c r="AA108" s="65" t="n">
        <x:f>'In_Cases'!R10*M108*('In_Cases'!V10-X108)*G108*J108/1000</x:f>
        <x:v>0</x:v>
      </x:c>
      <x:c r="AB108" s="65" t="n">
        <x:f>'In_Cases'!R10*M108*('In_Cases'!V10-Y108)*G108*V108/1000</x:f>
        <x:v>0</x:v>
      </x:c>
      <x:c r="AC108" s="65" t="n">
        <x:f>MAX(0,Z108)+MAX(0,AA108)+MAX(0,AB108)</x:f>
        <x:v>0</x:v>
      </x:c>
      <x:c r="AD108" s="65" t="n">
        <x:f>MAX(0,-Z108)+MAX(0,-AA108)+MAX(0,-AB108)</x:f>
        <x:v>0</x:v>
      </x:c>
      <x:c r="AE108" s="65" t="n">
        <x:f>Q108+AC108</x:f>
        <x:v>31208.13373671231</x:v>
      </x:c>
      <x:c r="AF108" s="65" t="n">
        <x:f>U108+AD108</x:f>
        <x:v>0</x:v>
      </x:c>
    </x:row>
    <x:row r="109">
      <x:c r="A109" s="39" t="str">
        <x:f>'In_Monthly'!A109</x:f>
        <x:v>19|upper</x:v>
      </x:c>
      <x:c r="B109" s="39" t="str">
        <x:f>'In_Monthly'!B109</x:f>
        <x:v>19</x:v>
      </x:c>
      <x:c r="C109" s="39" t="str">
        <x:f>'In_Monthly'!C109</x:f>
        <x:v>Test building 3</x:v>
      </x:c>
      <x:c r="D109" s="39" t="str">
        <x:f>'In_Monthly'!D109</x:f>
        <x:v>upper</x:v>
      </x:c>
      <x:c r="E109" s="39" t="str">
        <x:f>'In_Monthly'!E109</x:f>
        <x:v>2023-12</x:v>
      </x:c>
      <x:c r="F109" s="65" t="n">
        <x:f>'In_Monthly'!F109</x:f>
        <x:v>31</x:v>
      </x:c>
      <x:c r="G109" s="65" t="n">
        <x:f>F109*24</x:f>
        <x:v>744</x:v>
      </x:c>
      <x:c r="H109" s="65" t="n">
        <x:f>'In_Monthly'!G109</x:f>
        <x:v>3.9963709677419357</x:v>
      </x:c>
      <x:c r="I109" s="65" t="n">
        <x:f>'In_Monthly'!K109</x:f>
        <x:v>1</x:v>
      </x:c>
      <x:c r="J109" s="65" t="n">
        <x:f>'In_Monthly'!L109</x:f>
        <x:v>0</x:v>
      </x:c>
      <x:c r="K109" s="65" t="n">
        <x:f>'In_Monthly'!J109*G109/1000</x:f>
        <x:v>1581.8482897067636</x:v>
      </x:c>
      <x:c r="L109" s="65" t="n">
        <x:f>'Calc_Case'!E10+'Calc_Case'!F10+'Calc_Case'!G10</x:f>
        <x:v>4059.989256366761</x:v>
      </x:c>
      <x:c r="M109" s="65" t="n">
        <x:f>'Calc_Case'!H10</x:f>
        <x:v>0</x:v>
      </x:c>
      <x:c r="N109" s="65" t="n">
        <x:f>(L109*('In_Cases'!O10-H109)+M109*('In_Cases'!O10-'In_Cases'!U10))*G109*I109/1000</x:f>
        <x:v>48341.07407878211</x:v>
      </x:c>
      <x:c r="O109" s="65" t="n">
        <x:f>IF(N109&lt;=0,"",K109/N109)</x:f>
        <x:v>0.03272265500615075</x:v>
      </x:c>
      <x:c r="P109" s="65" t="n">
        <x:f>IF(N109&lt;=0,0,IF(ABS(O109-1)&lt;1E-9,'Calc_Case'!N10/('Calc_Case'!N10+1),(1-POWER(O109,'Calc_Case'!N10))/(1-POWER(O109,'Calc_Case'!N10+1))))</x:f>
        <x:v>0.998429821055585</x:v>
      </x:c>
      <x:c r="Q109" s="65" t="n">
        <x:f>IF(N109&lt;=0,0,MAX(0,N109-P109*K109))</x:f>
        <x:v>46761.70957395311</x:v>
      </x:c>
      <x:c r="R109" s="65" t="n">
        <x:f>IF(J109&lt;=0,0,MAX(1E-12,(L109*('In_Cases'!P10-H109)+M109*('In_Cases'!P10-'In_Cases'!V10))*G109*J109/1000))</x:f>
        <x:v>0</x:v>
      </x:c>
      <x:c r="S109" s="65" t="str">
        <x:f>IF(J109&lt;=0,"",K109/R109)</x:f>
      </x:c>
      <x:c r="T109" s="65" t="n">
        <x:f>IF(J109&lt;=0,0,IF(ABS(S109-1)&lt;1E-9,'Calc_Case'!N10/('Calc_Case'!N10+1),(1-POWER(S109,-'Calc_Case'!N10))/(1-POWER(S109,-'Calc_Case'!N10-1))))</x:f>
        <x:v>0</x:v>
      </x:c>
      <x:c r="U109" s="65" t="n">
        <x:f>IF(J109&lt;=0,0,'In_Cases'!Q10*MAX(0,K109-T109*R109))</x:f>
        <x:v>0</x:v>
      </x:c>
      <x:c r="V109" s="65" t="n">
        <x:f>MAX(0,1-I109-J109)</x:f>
        <x:v>0</x:v>
      </x:c>
      <x:c r="W109" s="65" t="n">
        <x:f>'In_Cases'!T10*(H109+'In_Cases'!S10*('In_Cases'!O10-H109))+(1-'In_Cases'!T10)*'In_Cases'!O10</x:f>
        <x:v>3.9963709677419357</x:v>
      </x:c>
      <x:c r="X109" s="65" t="n">
        <x:f>'In_Cases'!T10*(H109+'In_Cases'!S10*('In_Cases'!P10-H109))+(1-'In_Cases'!T10)*'In_Cases'!P10</x:f>
        <x:v>3.9963709677419357</x:v>
      </x:c>
      <x:c r="Y109" s="65" t="n">
        <x:f>'In_Cases'!T10*(H109+'In_Cases'!S10*((('In_Cases'!O10+'In_Cases'!P10)/2)-H109))+(1-'In_Cases'!T10)*(('In_Cases'!O10+'In_Cases'!P10)/2)</x:f>
        <x:v>3.9963709677419357</x:v>
      </x:c>
      <x:c r="Z109" s="65" t="n">
        <x:f>'In_Cases'!R10*M109*('In_Cases'!U10-W109)*G109*I109/1000</x:f>
        <x:v>0</x:v>
      </x:c>
      <x:c r="AA109" s="65" t="n">
        <x:f>'In_Cases'!R10*M109*('In_Cases'!V10-X109)*G109*J109/1000</x:f>
        <x:v>0</x:v>
      </x:c>
      <x:c r="AB109" s="65" t="n">
        <x:f>'In_Cases'!R10*M109*('In_Cases'!V10-Y109)*G109*V109/1000</x:f>
        <x:v>0</x:v>
      </x:c>
      <x:c r="AC109" s="65" t="n">
        <x:f>MAX(0,Z109)+MAX(0,AA109)+MAX(0,AB109)</x:f>
        <x:v>0</x:v>
      </x:c>
      <x:c r="AD109" s="65" t="n">
        <x:f>MAX(0,-Z109)+MAX(0,-AA109)+MAX(0,-AB109)</x:f>
        <x:v>0</x:v>
      </x:c>
      <x:c r="AE109" s="65" t="n">
        <x:f>Q109+AC109</x:f>
        <x:v>46761.70957395311</x:v>
      </x:c>
      <x:c r="AF109" s="65" t="n">
        <x:f>U109+AD109</x:f>
        <x:v>0</x:v>
      </x:c>
    </x:row>
    <x:row r="110">
      <x:c r="A110" s="39" t="str">
        <x:f>'In_Monthly'!A110</x:f>
        <x:v>20|aggregate</x:v>
      </x:c>
      <x:c r="B110" s="39" t="str">
        <x:f>'In_Monthly'!B110</x:f>
        <x:v>20</x:v>
      </x:c>
      <x:c r="C110" s="39" t="str">
        <x:f>'In_Monthly'!C110</x:f>
        <x:v>Test building 4</x:v>
      </x:c>
      <x:c r="D110" s="39" t="str">
        <x:f>'In_Monthly'!D110</x:f>
        <x:v>aggregate</x:v>
      </x:c>
      <x:c r="E110" s="39" t="str">
        <x:f>'In_Monthly'!E110</x:f>
        <x:v>2023-01</x:v>
      </x:c>
      <x:c r="F110" s="65" t="n">
        <x:f>'In_Monthly'!F110</x:f>
        <x:v>31</x:v>
      </x:c>
      <x:c r="G110" s="65" t="n">
        <x:f>F110*24</x:f>
        <x:v>744</x:v>
      </x:c>
      <x:c r="H110" s="65" t="n">
        <x:f>'In_Monthly'!G110</x:f>
        <x:v>2.638440860215054</x:v>
      </x:c>
      <x:c r="I110" s="65" t="n">
        <x:f>'In_Monthly'!K110</x:f>
        <x:v>1</x:v>
      </x:c>
      <x:c r="J110" s="65" t="n">
        <x:f>'In_Monthly'!L110</x:f>
        <x:v>0</x:v>
      </x:c>
      <x:c r="K110" s="65" t="n">
        <x:f>'In_Monthly'!J110*G110/1000</x:f>
        <x:v>15289.660542405698</x:v>
      </x:c>
      <x:c r="L110" s="65" t="n">
        <x:f>'Calc_Case'!E11+'Calc_Case'!F11+'Calc_Case'!G11</x:f>
        <x:v>16198.925845537571</x:v>
      </x:c>
      <x:c r="M110" s="65" t="n">
        <x:f>'Calc_Case'!H11</x:f>
        <x:v>11362.419214453124</x:v>
      </x:c>
      <x:c r="N110" s="65" t="n">
        <x:f>(L110*('In_Cases'!O11-H110)+M110*('In_Cases'!O11-'In_Cases'!U11))*G110*I110/1000</x:f>
        <x:v>192334.24535570253</x:v>
      </x:c>
      <x:c r="O110" s="65" t="n">
        <x:f>IF(N110&lt;=0,"",K110/N110)</x:f>
        <x:v>0.07949525844515641</x:v>
      </x:c>
      <x:c r="P110" s="65" t="n">
        <x:f>IF(N110&lt;=0,0,IF(ABS(O110-1)&lt;1E-9,'Calc_Case'!N11/('Calc_Case'!N11+1),(1-POWER(O110,'Calc_Case'!N11))/(1-POWER(O110,'Calc_Case'!N11+1))))</x:f>
        <x:v>0.99951666221283</x:v>
      </x:c>
      <x:c r="Q110" s="65" t="n">
        <x:f>IF(N110&lt;=0,0,MAX(0,N110-P110*K110))</x:f>
        <x:v>177051.97488398998</x:v>
      </x:c>
      <x:c r="R110" s="65" t="n">
        <x:f>IF(J110&lt;=0,0,MAX(1E-12,(L110*('In_Cases'!P11-H110)+M110*('In_Cases'!P11-'In_Cases'!V11))*G110*J110/1000))</x:f>
        <x:v>0</x:v>
      </x:c>
      <x:c r="S110" s="65" t="str">
        <x:f>IF(J110&lt;=0,"",K110/R110)</x:f>
      </x:c>
      <x:c r="T110" s="65" t="n">
        <x:f>IF(J110&lt;=0,0,IF(ABS(S110-1)&lt;1E-9,'Calc_Case'!N11/('Calc_Case'!N11+1),(1-POWER(S110,-'Calc_Case'!N11))/(1-POWER(S110,-'Calc_Case'!N11-1))))</x:f>
        <x:v>0</x:v>
      </x:c>
      <x:c r="U110" s="65" t="n">
        <x:f>IF(J110&lt;=0,0,'In_Cases'!Q11*MAX(0,K110-T110*R110))</x:f>
        <x:v>0</x:v>
      </x:c>
      <x:c r="V110" s="65" t="n">
        <x:f>MAX(0,1-I110-J110)</x:f>
        <x:v>0</x:v>
      </x:c>
      <x:c r="W110" s="65" t="n">
        <x:f>'In_Cases'!T11*(H110+'In_Cases'!S11*('In_Cases'!O11-H110))+(1-'In_Cases'!T11)*'In_Cases'!O11</x:f>
        <x:v>13.05537634408602</x:v>
      </x:c>
      <x:c r="X110" s="65" t="n">
        <x:f>'In_Cases'!T11*(H110+'In_Cases'!S11*('In_Cases'!P11-H110))+(1-'In_Cases'!T11)*'In_Cases'!P11</x:f>
        <x:v>16.655376344086022</x:v>
      </x:c>
      <x:c r="Y110" s="65" t="n">
        <x:f>'In_Cases'!T11*(H110+'In_Cases'!S11*((('In_Cases'!O11+'In_Cases'!P11)/2)-H110))+(1-'In_Cases'!T11)*(('In_Cases'!O11+'In_Cases'!P11)/2)</x:f>
        <x:v>14.85537634408602</x:v>
      </x:c>
      <x:c r="Z110" s="65" t="n">
        <x:f>'In_Cases'!R11*M110*('In_Cases'!U11-W110)*G110*I110/1000</x:f>
        <x:v>75614.62738834265</x:v>
      </x:c>
      <x:c r="AA110" s="65" t="n">
        <x:f>'In_Cases'!R11*M110*('In_Cases'!V11-X110)*G110*J110/1000</x:f>
        <x:v>0</x:v>
      </x:c>
      <x:c r="AB110" s="65" t="n">
        <x:f>'In_Cases'!R11*M110*('In_Cases'!V11-Y110)*G110*V110/1000</x:f>
        <x:v>0</x:v>
      </x:c>
      <x:c r="AC110" s="65" t="n">
        <x:f>MAX(0,Z110)+MAX(0,AA110)+MAX(0,AB110)</x:f>
        <x:v>75614.62738834265</x:v>
      </x:c>
      <x:c r="AD110" s="65" t="n">
        <x:f>MAX(0,-Z110)+MAX(0,-AA110)+MAX(0,-AB110)</x:f>
        <x:v>0</x:v>
      </x:c>
      <x:c r="AE110" s="65" t="n">
        <x:f>Q110+AC110</x:f>
        <x:v>252666.60227233265</x:v>
      </x:c>
      <x:c r="AF110" s="65" t="n">
        <x:f>U110+AD110</x:f>
        <x:v>0</x:v>
      </x:c>
    </x:row>
    <x:row r="111">
      <x:c r="A111" s="39" t="str">
        <x:f>'In_Monthly'!A111</x:f>
        <x:v>20|aggregate</x:v>
      </x:c>
      <x:c r="B111" s="39" t="str">
        <x:f>'In_Monthly'!B111</x:f>
        <x:v>20</x:v>
      </x:c>
      <x:c r="C111" s="39" t="str">
        <x:f>'In_Monthly'!C111</x:f>
        <x:v>Test building 4</x:v>
      </x:c>
      <x:c r="D111" s="39" t="str">
        <x:f>'In_Monthly'!D111</x:f>
        <x:v>aggregate</x:v>
      </x:c>
      <x:c r="E111" s="39" t="str">
        <x:f>'In_Monthly'!E111</x:f>
        <x:v>2023-02</x:v>
      </x:c>
      <x:c r="F111" s="65" t="n">
        <x:f>'In_Monthly'!F111</x:f>
        <x:v>28</x:v>
      </x:c>
      <x:c r="G111" s="65" t="n">
        <x:f>F111*24</x:f>
        <x:v>672</x:v>
      </x:c>
      <x:c r="H111" s="65" t="n">
        <x:f>'In_Monthly'!G111</x:f>
        <x:v>3.8903273809523813</x:v>
      </x:c>
      <x:c r="I111" s="65" t="n">
        <x:f>'In_Monthly'!K111</x:f>
        <x:v>1</x:v>
      </x:c>
      <x:c r="J111" s="65" t="n">
        <x:f>'In_Monthly'!L111</x:f>
        <x:v>0</x:v>
      </x:c>
      <x:c r="K111" s="65" t="n">
        <x:f>'In_Monthly'!J111*G111/1000</x:f>
        <x:v>17536.27234110351</x:v>
      </x:c>
      <x:c r="L111" s="65" t="n">
        <x:f>'Calc_Case'!E11+'Calc_Case'!F11+'Calc_Case'!G11</x:f>
        <x:v>16198.925845537571</x:v>
      </x:c>
      <x:c r="M111" s="65" t="n">
        <x:f>'Calc_Case'!H11</x:f>
        <x:v>11362.419214453124</x:v>
      </x:c>
      <x:c r="N111" s="65" t="n">
        <x:f>(L111*('In_Cases'!O11-H111)+M111*('In_Cases'!O11-'In_Cases'!U11))*G111*I111/1000</x:f>
        <x:v>160093.62010181107</x:v>
      </x:c>
      <x:c r="O111" s="65" t="n">
        <x:f>IF(N111&lt;=0,"",K111/N111)</x:f>
        <x:v>0.1095376088688067</x:v>
      </x:c>
      <x:c r="P111" s="65" t="n">
        <x:f>IF(N111&lt;=0,0,IF(ABS(O111-1)&lt;1E-9,'Calc_Case'!N11/('Calc_Case'!N11+1),(1-POWER(O111,'Calc_Case'!N11))/(1-POWER(O111,'Calc_Case'!N11+1))))</x:f>
        <x:v>0.9987834650113764</x:v>
      </x:c>
      <x:c r="Q111" s="65" t="n">
        <x:f>IF(N111&lt;=0,0,MAX(0,N111-P111*K111))</x:f>
        <x:v>142578.68124958055</x:v>
      </x:c>
      <x:c r="R111" s="65" t="n">
        <x:f>IF(J111&lt;=0,0,MAX(1E-12,(L111*('In_Cases'!P11-H111)+M111*('In_Cases'!P11-'In_Cases'!V11))*G111*J111/1000))</x:f>
        <x:v>0</x:v>
      </x:c>
      <x:c r="S111" s="65" t="str">
        <x:f>IF(J111&lt;=0,"",K111/R111)</x:f>
      </x:c>
      <x:c r="T111" s="65" t="n">
        <x:f>IF(J111&lt;=0,0,IF(ABS(S111-1)&lt;1E-9,'Calc_Case'!N11/('Calc_Case'!N11+1),(1-POWER(S111,-'Calc_Case'!N11))/(1-POWER(S111,-'Calc_Case'!N11-1))))</x:f>
        <x:v>0</x:v>
      </x:c>
      <x:c r="U111" s="65" t="n">
        <x:f>IF(J111&lt;=0,0,'In_Cases'!Q11*MAX(0,K111-T111*R111))</x:f>
        <x:v>0</x:v>
      </x:c>
      <x:c r="V111" s="65" t="n">
        <x:f>MAX(0,1-I111-J111)</x:f>
        <x:v>0</x:v>
      </x:c>
      <x:c r="W111" s="65" t="n">
        <x:f>'In_Cases'!T11*(H111+'In_Cases'!S11*('In_Cases'!O11-H111))+(1-'In_Cases'!T11)*'In_Cases'!O11</x:f>
        <x:v>13.556130952380952</x:v>
      </x:c>
      <x:c r="X111" s="65" t="n">
        <x:f>'In_Cases'!T11*(H111+'In_Cases'!S11*('In_Cases'!P11-H111))+(1-'In_Cases'!T11)*'In_Cases'!P11</x:f>
        <x:v>17.156130952380952</x:v>
      </x:c>
      <x:c r="Y111" s="65" t="n">
        <x:f>'In_Cases'!T11*(H111+'In_Cases'!S11*((('In_Cases'!O11+'In_Cases'!P11)/2)-H111))+(1-'In_Cases'!T11)*(('In_Cases'!O11+'In_Cases'!P11)/2)</x:f>
        <x:v>15.356130952380953</x:v>
      </x:c>
      <x:c r="Z111" s="65" t="n">
        <x:f>'In_Cases'!R11*M111*('In_Cases'!U11-W111)*G111*I111/1000</x:f>
        <x:v>64473.54810018708</x:v>
      </x:c>
      <x:c r="AA111" s="65" t="n">
        <x:f>'In_Cases'!R11*M111*('In_Cases'!V11-X111)*G111*J111/1000</x:f>
        <x:v>0</x:v>
      </x:c>
      <x:c r="AB111" s="65" t="n">
        <x:f>'In_Cases'!R11*M111*('In_Cases'!V11-Y111)*G111*V111/1000</x:f>
        <x:v>0</x:v>
      </x:c>
      <x:c r="AC111" s="65" t="n">
        <x:f>MAX(0,Z111)+MAX(0,AA111)+MAX(0,AB111)</x:f>
        <x:v>64473.54810018708</x:v>
      </x:c>
      <x:c r="AD111" s="65" t="n">
        <x:f>MAX(0,-Z111)+MAX(0,-AA111)+MAX(0,-AB111)</x:f>
        <x:v>0</x:v>
      </x:c>
      <x:c r="AE111" s="65" t="n">
        <x:f>Q111+AC111</x:f>
        <x:v>207052.22934976761</x:v>
      </x:c>
      <x:c r="AF111" s="65" t="n">
        <x:f>U111+AD111</x:f>
        <x:v>0</x:v>
      </x:c>
    </x:row>
    <x:row r="112">
      <x:c r="A112" s="39" t="str">
        <x:f>'In_Monthly'!A112</x:f>
        <x:v>20|aggregate</x:v>
      </x:c>
      <x:c r="B112" s="39" t="str">
        <x:f>'In_Monthly'!B112</x:f>
        <x:v>20</x:v>
      </x:c>
      <x:c r="C112" s="39" t="str">
        <x:f>'In_Monthly'!C112</x:f>
        <x:v>Test building 4</x:v>
      </x:c>
      <x:c r="D112" s="39" t="str">
        <x:f>'In_Monthly'!D112</x:f>
        <x:v>aggregate</x:v>
      </x:c>
      <x:c r="E112" s="39" t="str">
        <x:f>'In_Monthly'!E112</x:f>
        <x:v>2023-03</x:v>
      </x:c>
      <x:c r="F112" s="65" t="n">
        <x:f>'In_Monthly'!F112</x:f>
        <x:v>31</x:v>
      </x:c>
      <x:c r="G112" s="65" t="n">
        <x:f>F112*24</x:f>
        <x:v>744</x:v>
      </x:c>
      <x:c r="H112" s="65" t="n">
        <x:f>'In_Monthly'!G112</x:f>
        <x:v>7.746908602150539</x:v>
      </x:c>
      <x:c r="I112" s="65" t="n">
        <x:f>'In_Monthly'!K112</x:f>
        <x:v>1</x:v>
      </x:c>
      <x:c r="J112" s="65" t="n">
        <x:f>'In_Monthly'!L112</x:f>
        <x:v>0</x:v>
      </x:c>
      <x:c r="K112" s="65" t="n">
        <x:f>'In_Monthly'!J112*G112/1000</x:f>
        <x:v>34205.38141968103</x:v>
      </x:c>
      <x:c r="L112" s="65" t="n">
        <x:f>'Calc_Case'!E11+'Calc_Case'!F11+'Calc_Case'!G11</x:f>
        <x:v>16198.925845537571</x:v>
      </x:c>
      <x:c r="M112" s="65" t="n">
        <x:f>'Calc_Case'!H11</x:f>
        <x:v>11362.419214453124</x:v>
      </x:c>
      <x:c r="N112" s="65" t="n">
        <x:f>(L112*('In_Cases'!O11-H112)+M112*('In_Cases'!O11-'In_Cases'!U11))*G112*I112/1000</x:f>
        <x:v>130766.9878945679</x:v>
      </x:c>
      <x:c r="O112" s="65" t="n">
        <x:f>IF(N112&lt;=0,"",K112/N112)</x:f>
        <x:v>0.26157505017443267</x:v>
      </x:c>
      <x:c r="P112" s="65" t="n">
        <x:f>IF(N112&lt;=0,0,IF(ABS(O112-1)&lt;1E-9,'Calc_Case'!N11/('Calc_Case'!N11+1),(1-POWER(O112,'Calc_Case'!N11))/(1-POWER(O112,'Calc_Case'!N11+1))))</x:f>
        <x:v>0.986406187086835</x:v>
      </x:c>
      <x:c r="Q112" s="65" t="n">
        <x:f>IF(N112&lt;=0,0,MAX(0,N112-P112*K112))</x:f>
        <x:v>97026.58803052947</x:v>
      </x:c>
      <x:c r="R112" s="65" t="n">
        <x:f>IF(J112&lt;=0,0,MAX(1E-12,(L112*('In_Cases'!P11-H112)+M112*('In_Cases'!P11-'In_Cases'!V11))*G112*J112/1000))</x:f>
        <x:v>0</x:v>
      </x:c>
      <x:c r="S112" s="65" t="str">
        <x:f>IF(J112&lt;=0,"",K112/R112)</x:f>
      </x:c>
      <x:c r="T112" s="65" t="n">
        <x:f>IF(J112&lt;=0,0,IF(ABS(S112-1)&lt;1E-9,'Calc_Case'!N11/('Calc_Case'!N11+1),(1-POWER(S112,-'Calc_Case'!N11))/(1-POWER(S112,-'Calc_Case'!N11-1))))</x:f>
        <x:v>0</x:v>
      </x:c>
      <x:c r="U112" s="65" t="n">
        <x:f>IF(J112&lt;=0,0,'In_Cases'!Q11*MAX(0,K112-T112*R112))</x:f>
        <x:v>0</x:v>
      </x:c>
      <x:c r="V112" s="65" t="n">
        <x:f>MAX(0,1-I112-J112)</x:f>
        <x:v>0</x:v>
      </x:c>
      <x:c r="W112" s="65" t="n">
        <x:f>'In_Cases'!T11*(H112+'In_Cases'!S11*('In_Cases'!O11-H112))+(1-'In_Cases'!T11)*'In_Cases'!O11</x:f>
        <x:v>15.098763440860214</x:v>
      </x:c>
      <x:c r="X112" s="65" t="n">
        <x:f>'In_Cases'!T11*(H112+'In_Cases'!S11*('In_Cases'!P11-H112))+(1-'In_Cases'!T11)*'In_Cases'!P11</x:f>
        <x:v>18.698763440860212</x:v>
      </x:c>
      <x:c r="Y112" s="65" t="n">
        <x:f>'In_Cases'!T11*(H112+'In_Cases'!S11*((('In_Cases'!O11+'In_Cases'!P11)/2)-H112))+(1-'In_Cases'!T11)*(('In_Cases'!O11+'In_Cases'!P11)/2)</x:f>
        <x:v>16.898763440860215</x:v>
      </x:c>
      <x:c r="Z112" s="65" t="n">
        <x:f>'In_Cases'!R11*M112*('In_Cases'!U11-W112)*G112*I112/1000</x:f>
        <x:v>58340.568704993864</x:v>
      </x:c>
      <x:c r="AA112" s="65" t="n">
        <x:f>'In_Cases'!R11*M112*('In_Cases'!V11-X112)*G112*J112/1000</x:f>
        <x:v>0</x:v>
      </x:c>
      <x:c r="AB112" s="65" t="n">
        <x:f>'In_Cases'!R11*M112*('In_Cases'!V11-Y112)*G112*V112/1000</x:f>
        <x:v>0</x:v>
      </x:c>
      <x:c r="AC112" s="65" t="n">
        <x:f>MAX(0,Z112)+MAX(0,AA112)+MAX(0,AB112)</x:f>
        <x:v>58340.568704993864</x:v>
      </x:c>
      <x:c r="AD112" s="65" t="n">
        <x:f>MAX(0,-Z112)+MAX(0,-AA112)+MAX(0,-AB112)</x:f>
        <x:v>0</x:v>
      </x:c>
      <x:c r="AE112" s="65" t="n">
        <x:f>Q112+AC112</x:f>
        <x:v>155367.15673552334</x:v>
      </x:c>
      <x:c r="AF112" s="65" t="n">
        <x:f>U112+AD112</x:f>
        <x:v>0</x:v>
      </x:c>
    </x:row>
    <x:row r="113">
      <x:c r="A113" s="39" t="str">
        <x:f>'In_Monthly'!A113</x:f>
        <x:v>20|aggregate</x:v>
      </x:c>
      <x:c r="B113" s="39" t="str">
        <x:f>'In_Monthly'!B113</x:f>
        <x:v>20</x:v>
      </x:c>
      <x:c r="C113" s="39" t="str">
        <x:f>'In_Monthly'!C113</x:f>
        <x:v>Test building 4</x:v>
      </x:c>
      <x:c r="D113" s="39" t="str">
        <x:f>'In_Monthly'!D113</x:f>
        <x:v>aggregate</x:v>
      </x:c>
      <x:c r="E113" s="39" t="str">
        <x:f>'In_Monthly'!E113</x:f>
        <x:v>2023-04</x:v>
      </x:c>
      <x:c r="F113" s="65" t="n">
        <x:f>'In_Monthly'!F113</x:f>
        <x:v>30</x:v>
      </x:c>
      <x:c r="G113" s="65" t="n">
        <x:f>F113*24</x:f>
        <x:v>720</x:v>
      </x:c>
      <x:c r="H113" s="65" t="n">
        <x:f>'In_Monthly'!G113</x:f>
        <x:v>12.03041666666667</x:v>
      </x:c>
      <x:c r="I113" s="65" t="n">
        <x:f>'In_Monthly'!K113</x:f>
        <x:v>1</x:v>
      </x:c>
      <x:c r="J113" s="65" t="n">
        <x:f>'In_Monthly'!L113</x:f>
        <x:v>0</x:v>
      </x:c>
      <x:c r="K113" s="65" t="n">
        <x:f>'In_Monthly'!J113*G113/1000</x:f>
        <x:v>42334.054883399396</x:v>
      </x:c>
      <x:c r="L113" s="65" t="n">
        <x:f>'Calc_Case'!E11+'Calc_Case'!F11+'Calc_Case'!G11</x:f>
        <x:v>16198.925845537571</x:v>
      </x:c>
      <x:c r="M113" s="65" t="n">
        <x:f>'Calc_Case'!H11</x:f>
        <x:v>11362.419214453124</x:v>
      </x:c>
      <x:c r="N113" s="65" t="n">
        <x:f>(L113*('In_Cases'!O11-H113)+M113*('In_Cases'!O11-'In_Cases'!U11))*G113*I113/1000</x:f>
        <x:v>76589.1727254666</x:v>
      </x:c>
      <x:c r="O113" s="65" t="n">
        <x:f>IF(N113&lt;=0,"",K113/N113)</x:f>
        <x:v>0.5527420309806131</x:v>
      </x:c>
      <x:c r="P113" s="65" t="n">
        <x:f>IF(N113&lt;=0,0,IF(ABS(O113-1)&lt;1E-9,'Calc_Case'!N11/('Calc_Case'!N11+1),(1-POWER(O113,'Calc_Case'!N11))/(1-POWER(O113,'Calc_Case'!N11+1))))</x:f>
        <x:v>0.9157364006525011</x:v>
      </x:c>
      <x:c r="Q113" s="65" t="n">
        <x:f>IF(N113&lt;=0,0,MAX(0,N113-P113*K113))</x:f>
        <x:v>37822.337681517005</x:v>
      </x:c>
      <x:c r="R113" s="65" t="n">
        <x:f>IF(J113&lt;=0,0,MAX(1E-12,(L113*('In_Cases'!P11-H113)+M113*('In_Cases'!P11-'In_Cases'!V11))*G113*J113/1000))</x:f>
        <x:v>0</x:v>
      </x:c>
      <x:c r="S113" s="65" t="str">
        <x:f>IF(J113&lt;=0,"",K113/R113)</x:f>
      </x:c>
      <x:c r="T113" s="65" t="n">
        <x:f>IF(J113&lt;=0,0,IF(ABS(S113-1)&lt;1E-9,'Calc_Case'!N11/('Calc_Case'!N11+1),(1-POWER(S113,-'Calc_Case'!N11))/(1-POWER(S113,-'Calc_Case'!N11-1))))</x:f>
        <x:v>0</x:v>
      </x:c>
      <x:c r="U113" s="65" t="n">
        <x:f>IF(J113&lt;=0,0,'In_Cases'!Q11*MAX(0,K113-T113*R113))</x:f>
        <x:v>0</x:v>
      </x:c>
      <x:c r="V113" s="65" t="n">
        <x:f>MAX(0,1-I113-J113)</x:f>
        <x:v>0</x:v>
      </x:c>
      <x:c r="W113" s="65" t="n">
        <x:f>'In_Cases'!T11*(H113+'In_Cases'!S11*('In_Cases'!O11-H113))+(1-'In_Cases'!T11)*'In_Cases'!O11</x:f>
        <x:v>16.812166666666666</x:v>
      </x:c>
      <x:c r="X113" s="65" t="n">
        <x:f>'In_Cases'!T11*(H113+'In_Cases'!S11*('In_Cases'!P11-H113))+(1-'In_Cases'!T11)*'In_Cases'!P11</x:f>
        <x:v>20.412166666666668</x:v>
      </x:c>
      <x:c r="Y113" s="65" t="n">
        <x:f>'In_Cases'!T11*(H113+'In_Cases'!S11*((('In_Cases'!O11+'In_Cases'!P11)/2)-H113))+(1-'In_Cases'!T11)*(('In_Cases'!O11+'In_Cases'!P11)/2)</x:f>
        <x:v>18.612166666666667</x:v>
      </x:c>
      <x:c r="Z113" s="65" t="n">
        <x:f>'In_Cases'!R11*M113*('In_Cases'!U11-W113)*G113*I113/1000</x:f>
        <x:v>42441.36274659389</x:v>
      </x:c>
      <x:c r="AA113" s="65" t="n">
        <x:f>'In_Cases'!R11*M113*('In_Cases'!V11-X113)*G113*J113/1000</x:f>
        <x:v>0</x:v>
      </x:c>
      <x:c r="AB113" s="65" t="n">
        <x:f>'In_Cases'!R11*M113*('In_Cases'!V11-Y113)*G113*V113/1000</x:f>
        <x:v>0</x:v>
      </x:c>
      <x:c r="AC113" s="65" t="n">
        <x:f>MAX(0,Z113)+MAX(0,AA113)+MAX(0,AB113)</x:f>
        <x:v>42441.36274659389</x:v>
      </x:c>
      <x:c r="AD113" s="65" t="n">
        <x:f>MAX(0,-Z113)+MAX(0,-AA113)+MAX(0,-AB113)</x:f>
        <x:v>0</x:v>
      </x:c>
      <x:c r="AE113" s="65" t="n">
        <x:f>Q113+AC113</x:f>
        <x:v>80263.7004281109</x:v>
      </x:c>
      <x:c r="AF113" s="65" t="n">
        <x:f>U113+AD113</x:f>
        <x:v>0</x:v>
      </x:c>
    </x:row>
    <x:row r="114">
      <x:c r="A114" s="39" t="str">
        <x:f>'In_Monthly'!A114</x:f>
        <x:v>20|aggregate</x:v>
      </x:c>
      <x:c r="B114" s="39" t="str">
        <x:f>'In_Monthly'!B114</x:f>
        <x:v>20</x:v>
      </x:c>
      <x:c r="C114" s="39" t="str">
        <x:f>'In_Monthly'!C114</x:f>
        <x:v>Test building 4</x:v>
      </x:c>
      <x:c r="D114" s="39" t="str">
        <x:f>'In_Monthly'!D114</x:f>
        <x:v>aggregate</x:v>
      </x:c>
      <x:c r="E114" s="39" t="str">
        <x:f>'In_Monthly'!E114</x:f>
        <x:v>2023-05</x:v>
      </x:c>
      <x:c r="F114" s="65" t="n">
        <x:f>'In_Monthly'!F114</x:f>
        <x:v>31</x:v>
      </x:c>
      <x:c r="G114" s="65" t="n">
        <x:f>F114*24</x:f>
        <x:v>744</x:v>
      </x:c>
      <x:c r="H114" s="65" t="n">
        <x:f>'In_Monthly'!G114</x:f>
        <x:v>17.244086021505375</x:v>
      </x:c>
      <x:c r="I114" s="65" t="n">
        <x:f>'In_Monthly'!K114</x:f>
        <x:v>0</x:v>
      </x:c>
      <x:c r="J114" s="65" t="n">
        <x:f>'In_Monthly'!L114</x:f>
        <x:v>0</x:v>
      </x:c>
      <x:c r="K114" s="65" t="n">
        <x:f>'In_Monthly'!J114*G114/1000</x:f>
        <x:v>54555.67745981151</x:v>
      </x:c>
      <x:c r="L114" s="65" t="n">
        <x:f>'Calc_Case'!E11+'Calc_Case'!F11+'Calc_Case'!G11</x:f>
        <x:v>16198.925845537571</x:v>
      </x:c>
      <x:c r="M114" s="65" t="n">
        <x:f>'Calc_Case'!H11</x:f>
        <x:v>11362.419214453124</x:v>
      </x:c>
      <x:c r="N114" s="65" t="n">
        <x:f>(L114*('In_Cases'!O11-H114)+M114*('In_Cases'!O11-'In_Cases'!U11))*G114*I114/1000</x:f>
        <x:v>0</x:v>
      </x:c>
      <x:c r="O114" s="65" t="str">
        <x:f>IF(N114&lt;=0,"",K114/N114)</x:f>
      </x:c>
      <x:c r="P114" s="65" t="n">
        <x:f>IF(N114&lt;=0,0,IF(ABS(O114-1)&lt;1E-9,'Calc_Case'!N11/('Calc_Case'!N11+1),(1-POWER(O114,'Calc_Case'!N11))/(1-POWER(O114,'Calc_Case'!N11+1))))</x:f>
        <x:v>0</x:v>
      </x:c>
      <x:c r="Q114" s="65" t="n">
        <x:f>IF(N114&lt;=0,0,MAX(0,N114-P114*K114))</x:f>
        <x:v>0</x:v>
      </x:c>
      <x:c r="R114" s="65" t="n">
        <x:f>IF(J114&lt;=0,0,MAX(1E-12,(L114*('In_Cases'!P11-H114)+M114*('In_Cases'!P11-'In_Cases'!V11))*G114*J114/1000))</x:f>
        <x:v>0</x:v>
      </x:c>
      <x:c r="S114" s="65" t="str">
        <x:f>IF(J114&lt;=0,"",K114/R114)</x:f>
      </x:c>
      <x:c r="T114" s="65" t="n">
        <x:f>IF(J114&lt;=0,0,IF(ABS(S114-1)&lt;1E-9,'Calc_Case'!N11/('Calc_Case'!N11+1),(1-POWER(S114,-'Calc_Case'!N11))/(1-POWER(S114,-'Calc_Case'!N11-1))))</x:f>
        <x:v>0</x:v>
      </x:c>
      <x:c r="U114" s="65" t="n">
        <x:f>IF(J114&lt;=0,0,'In_Cases'!Q11*MAX(0,K114-T114*R114))</x:f>
        <x:v>0</x:v>
      </x:c>
      <x:c r="V114" s="65" t="n">
        <x:f>MAX(0,1-I114-J114)</x:f>
        <x:v>1</x:v>
      </x:c>
      <x:c r="W114" s="65" t="n">
        <x:f>'In_Cases'!T11*(H114+'In_Cases'!S11*('In_Cases'!O11-H114))+(1-'In_Cases'!T11)*'In_Cases'!O11</x:f>
        <x:v>18.89763440860215</x:v>
      </x:c>
      <x:c r="X114" s="65" t="n">
        <x:f>'In_Cases'!T11*(H114+'In_Cases'!S11*('In_Cases'!P11-H114))+(1-'In_Cases'!T11)*'In_Cases'!P11</x:f>
        <x:v>22.49763440860215</x:v>
      </x:c>
      <x:c r="Y114" s="65" t="n">
        <x:f>'In_Cases'!T11*(H114+'In_Cases'!S11*((('In_Cases'!O11+'In_Cases'!P11)/2)-H114))+(1-'In_Cases'!T11)*(('In_Cases'!O11+'In_Cases'!P11)/2)</x:f>
        <x:v>20.69763440860215</x:v>
      </x:c>
      <x:c r="Z114" s="65" t="n">
        <x:f>'In_Cases'!R11*M114*('In_Cases'!U11-W114)*G114*I114/1000</x:f>
        <x:v>0</x:v>
      </x:c>
      <x:c r="AA114" s="65" t="n">
        <x:f>'In_Cases'!R11*M114*('In_Cases'!V11-X114)*G114*J114/1000</x:f>
        <x:v>0</x:v>
      </x:c>
      <x:c r="AB114" s="65" t="n">
        <x:f>'In_Cases'!R11*M114*('In_Cases'!V11-Y114)*G114*V114/1000</x:f>
        <x:v>19463.36961758964</x:v>
      </x:c>
      <x:c r="AC114" s="65" t="n">
        <x:f>MAX(0,Z114)+MAX(0,AA114)+MAX(0,AB114)</x:f>
        <x:v>19463.36961758964</x:v>
      </x:c>
      <x:c r="AD114" s="65" t="n">
        <x:f>MAX(0,-Z114)+MAX(0,-AA114)+MAX(0,-AB114)</x:f>
        <x:v>0</x:v>
      </x:c>
      <x:c r="AE114" s="65" t="n">
        <x:f>Q114+AC114</x:f>
        <x:v>19463.36961758964</x:v>
      </x:c>
      <x:c r="AF114" s="65" t="n">
        <x:f>U114+AD114</x:f>
        <x:v>0</x:v>
      </x:c>
    </x:row>
    <x:row r="115">
      <x:c r="A115" s="39" t="str">
        <x:f>'In_Monthly'!A115</x:f>
        <x:v>20|aggregate</x:v>
      </x:c>
      <x:c r="B115" s="39" t="str">
        <x:f>'In_Monthly'!B115</x:f>
        <x:v>20</x:v>
      </x:c>
      <x:c r="C115" s="39" t="str">
        <x:f>'In_Monthly'!C115</x:f>
        <x:v>Test building 4</x:v>
      </x:c>
      <x:c r="D115" s="39" t="str">
        <x:f>'In_Monthly'!D115</x:f>
        <x:v>aggregate</x:v>
      </x:c>
      <x:c r="E115" s="39" t="str">
        <x:f>'In_Monthly'!E115</x:f>
        <x:v>2023-06</x:v>
      </x:c>
      <x:c r="F115" s="65" t="n">
        <x:f>'In_Monthly'!F115</x:f>
        <x:v>30</x:v>
      </x:c>
      <x:c r="G115" s="65" t="n">
        <x:f>F115*24</x:f>
        <x:v>720</x:v>
      </x:c>
      <x:c r="H115" s="65" t="n">
        <x:f>'In_Monthly'!G115</x:f>
        <x:v>20.758194444444445</x:v>
      </x:c>
      <x:c r="I115" s="65" t="n">
        <x:f>'In_Monthly'!K115</x:f>
        <x:v>0</x:v>
      </x:c>
      <x:c r="J115" s="65" t="n">
        <x:f>'In_Monthly'!L115</x:f>
        <x:v>1</x:v>
      </x:c>
      <x:c r="K115" s="65" t="n">
        <x:f>'In_Monthly'!J115*G115/1000</x:f>
        <x:v>55432.89097435897</x:v>
      </x:c>
      <x:c r="L115" s="65" t="n">
        <x:f>'Calc_Case'!E11+'Calc_Case'!F11+'Calc_Case'!G11</x:f>
        <x:v>16198.925845537571</x:v>
      </x:c>
      <x:c r="M115" s="65" t="n">
        <x:f>'Calc_Case'!H11</x:f>
        <x:v>11362.419214453124</x:v>
      </x:c>
      <x:c r="N115" s="65" t="n">
        <x:f>(L115*('In_Cases'!O11-H115)+M115*('In_Cases'!O11-'In_Cases'!U11))*G115*I115/1000</x:f>
        <x:v>0</x:v>
      </x:c>
      <x:c r="O115" s="65" t="str">
        <x:f>IF(N115&lt;=0,"",K115/N115)</x:f>
      </x:c>
      <x:c r="P115" s="65" t="n">
        <x:f>IF(N115&lt;=0,0,IF(ABS(O115-1)&lt;1E-9,'Calc_Case'!N11/('Calc_Case'!N11+1),(1-POWER(O115,'Calc_Case'!N11))/(1-POWER(O115,'Calc_Case'!N11+1))))</x:f>
        <x:v>0</x:v>
      </x:c>
      <x:c r="Q115" s="65" t="n">
        <x:f>IF(N115&lt;=0,0,MAX(0,N115-P115*K115))</x:f>
        <x:v>0</x:v>
      </x:c>
      <x:c r="R115" s="65" t="n">
        <x:f>IF(J115&lt;=0,0,MAX(1E-12,(L115*('In_Cases'!P11-H115)+M115*('In_Cases'!P11-'In_Cases'!V11))*G115*J115/1000))</x:f>
        <x:v>85679.19153686207</x:v>
      </x:c>
      <x:c r="S115" s="65" t="n">
        <x:f>IF(J115&lt;=0,"",K115/R115)</x:f>
        <x:v>0.6469819565291985</x:v>
      </x:c>
      <x:c r="T115" s="65" t="n">
        <x:f>IF(J115&lt;=0,0,IF(ABS(S115-1)&lt;1E-9,'Calc_Case'!N11/('Calc_Case'!N11+1),(1-POWER(S115,-'Calc_Case'!N11))/(1-POWER(S115,-'Calc_Case'!N11-1))))</x:f>
        <x:v>0.5712939291270213</x:v>
      </x:c>
      <x:c r="U115" s="65" t="n">
        <x:f>IF(J115&lt;=0,0,'In_Cases'!Q11*MAX(0,K115-T115*R115))</x:f>
        <x:v>6484.88899683841</x:v>
      </x:c>
      <x:c r="V115" s="65" t="n">
        <x:f>MAX(0,1-I115-J115)</x:f>
        <x:v>0</x:v>
      </x:c>
      <x:c r="W115" s="65" t="n">
        <x:f>'In_Cases'!T11*(H115+'In_Cases'!S11*('In_Cases'!O11-H115))+(1-'In_Cases'!T11)*'In_Cases'!O11</x:f>
        <x:v>20.30327777777778</x:v>
      </x:c>
      <x:c r="X115" s="65" t="n">
        <x:f>'In_Cases'!T11*(H115+'In_Cases'!S11*('In_Cases'!P11-H115))+(1-'In_Cases'!T11)*'In_Cases'!P11</x:f>
        <x:v>23.903277777777777</x:v>
      </x:c>
      <x:c r="Y115" s="65" t="n">
        <x:f>'In_Cases'!T11*(H115+'In_Cases'!S11*((('In_Cases'!O11+'In_Cases'!P11)/2)-H115))+(1-'In_Cases'!T11)*(('In_Cases'!O11+'In_Cases'!P11)/2)</x:f>
        <x:v>22.103277777777777</x:v>
      </x:c>
      <x:c r="Z115" s="65" t="n">
        <x:f>'In_Cases'!R11*M115*('In_Cases'!U11-W115)*G115*I115/1000</x:f>
        <x:v>0</x:v>
      </x:c>
      <x:c r="AA115" s="65" t="n">
        <x:f>'In_Cases'!R11*M115*('In_Cases'!V11-X115)*G115*J115/1000</x:f>
        <x:v>-7389.662960311731</x:v>
      </x:c>
      <x:c r="AB115" s="65" t="n">
        <x:f>'In_Cases'!R11*M115*('In_Cases'!V11-Y115)*G115*V115/1000</x:f>
        <x:v>0</x:v>
      </x:c>
      <x:c r="AC115" s="65" t="n">
        <x:f>MAX(0,Z115)+MAX(0,AA115)+MAX(0,AB115)</x:f>
        <x:v>0</x:v>
      </x:c>
      <x:c r="AD115" s="65" t="n">
        <x:f>MAX(0,-Z115)+MAX(0,-AA115)+MAX(0,-AB115)</x:f>
        <x:v>7389.662960311731</x:v>
      </x:c>
      <x:c r="AE115" s="65" t="n">
        <x:f>Q115+AC115</x:f>
        <x:v>0</x:v>
      </x:c>
      <x:c r="AF115" s="65" t="n">
        <x:f>U115+AD115</x:f>
        <x:v>13874.55195715014</x:v>
      </x:c>
    </x:row>
    <x:row r="116">
      <x:c r="A116" s="39" t="str">
        <x:f>'In_Monthly'!A116</x:f>
        <x:v>20|aggregate</x:v>
      </x:c>
      <x:c r="B116" s="39" t="str">
        <x:f>'In_Monthly'!B116</x:f>
        <x:v>20</x:v>
      </x:c>
      <x:c r="C116" s="39" t="str">
        <x:f>'In_Monthly'!C116</x:f>
        <x:v>Test building 4</x:v>
      </x:c>
      <x:c r="D116" s="39" t="str">
        <x:f>'In_Monthly'!D116</x:f>
        <x:v>aggregate</x:v>
      </x:c>
      <x:c r="E116" s="39" t="str">
        <x:f>'In_Monthly'!E116</x:f>
        <x:v>2023-07</x:v>
      </x:c>
      <x:c r="F116" s="65" t="n">
        <x:f>'In_Monthly'!F116</x:f>
        <x:v>31</x:v>
      </x:c>
      <x:c r="G116" s="65" t="n">
        <x:f>F116*24</x:f>
        <x:v>744</x:v>
      </x:c>
      <x:c r="H116" s="65" t="n">
        <x:f>'In_Monthly'!G116</x:f>
        <x:v>23.824193548387097</x:v>
      </x:c>
      <x:c r="I116" s="65" t="n">
        <x:f>'In_Monthly'!K116</x:f>
        <x:v>0</x:v>
      </x:c>
      <x:c r="J116" s="65" t="n">
        <x:f>'In_Monthly'!L116</x:f>
        <x:v>1</x:v>
      </x:c>
      <x:c r="K116" s="65" t="n">
        <x:f>'In_Monthly'!J116*G116/1000</x:f>
        <x:v>59167.083757919594</x:v>
      </x:c>
      <x:c r="L116" s="65" t="n">
        <x:f>'Calc_Case'!E11+'Calc_Case'!F11+'Calc_Case'!G11</x:f>
        <x:v>16198.925845537571</x:v>
      </x:c>
      <x:c r="M116" s="65" t="n">
        <x:f>'Calc_Case'!H11</x:f>
        <x:v>11362.419214453124</x:v>
      </x:c>
      <x:c r="N116" s="65" t="n">
        <x:f>(L116*('In_Cases'!O11-H116)+M116*('In_Cases'!O11-'In_Cases'!U11))*G116*I116/1000</x:f>
        <x:v>0</x:v>
      </x:c>
      <x:c r="O116" s="65" t="str">
        <x:f>IF(N116&lt;=0,"",K116/N116)</x:f>
      </x:c>
      <x:c r="P116" s="65" t="n">
        <x:f>IF(N116&lt;=0,0,IF(ABS(O116-1)&lt;1E-9,'Calc_Case'!N11/('Calc_Case'!N11+1),(1-POWER(O116,'Calc_Case'!N11))/(1-POWER(O116,'Calc_Case'!N11+1))))</x:f>
        <x:v>0</x:v>
      </x:c>
      <x:c r="Q116" s="65" t="n">
        <x:f>IF(N116&lt;=0,0,MAX(0,N116-P116*K116))</x:f>
        <x:v>0</x:v>
      </x:c>
      <x:c r="R116" s="65" t="n">
        <x:f>IF(J116&lt;=0,0,MAX(1E-12,(L116*('In_Cases'!P11-H116)+M116*('In_Cases'!P11-'In_Cases'!V11))*G116*J116/1000))</x:f>
        <x:v>51583.7408454156</x:v>
      </x:c>
      <x:c r="S116" s="65" t="n">
        <x:f>IF(J116&lt;=0,"",K116/R116)</x:f>
        <x:v>1.1470103328727068</x:v>
      </x:c>
      <x:c r="T116" s="65" t="n">
        <x:f>IF(J116&lt;=0,0,IF(ABS(S116-1)&lt;1E-9,'Calc_Case'!N11/('Calc_Case'!N11+1),(1-POWER(S116,-'Calc_Case'!N11))/(1-POWER(S116,-'Calc_Case'!N11-1))))</x:f>
        <x:v>0.7977162176163012</x:v>
      </x:c>
      <x:c r="U116" s="65" t="n">
        <x:f>IF(J116&lt;=0,0,'In_Cases'!Q11*MAX(0,K116-T116*R116))</x:f>
        <x:v>18017.89712021516</x:v>
      </x:c>
      <x:c r="V116" s="65" t="n">
        <x:f>MAX(0,1-I116-J116)</x:f>
        <x:v>0</x:v>
      </x:c>
      <x:c r="W116" s="65" t="n">
        <x:f>'In_Cases'!T11*(H116+'In_Cases'!S11*('In_Cases'!O11-H116))+(1-'In_Cases'!T11)*'In_Cases'!O11</x:f>
        <x:v>21.52967741935484</x:v>
      </x:c>
      <x:c r="X116" s="65" t="n">
        <x:f>'In_Cases'!T11*(H116+'In_Cases'!S11*('In_Cases'!P11-H116))+(1-'In_Cases'!T11)*'In_Cases'!P11</x:f>
        <x:v>25.129677419354838</x:v>
      </x:c>
      <x:c r="Y116" s="65" t="n">
        <x:f>'In_Cases'!T11*(H116+'In_Cases'!S11*((('In_Cases'!O11+'In_Cases'!P11)/2)-H116))+(1-'In_Cases'!T11)*(('In_Cases'!O11+'In_Cases'!P11)/2)</x:f>
        <x:v>23.329677419354837</x:v>
      </x:c>
      <x:c r="Z116" s="65" t="n">
        <x:f>'In_Cases'!R11*M116*('In_Cases'!U11-W116)*G116*I116/1000</x:f>
        <x:v>0</x:v>
      </x:c>
      <x:c r="AA116" s="65" t="n">
        <x:f>'In_Cases'!R11*M116*('In_Cases'!V11-X116)*G116*J116/1000</x:f>
        <x:v>-18003.52599691668</x:v>
      </x:c>
      <x:c r="AB116" s="65" t="n">
        <x:f>'In_Cases'!R11*M116*('In_Cases'!V11-Y116)*G116*V116/1000</x:f>
        <x:v>0</x:v>
      </x:c>
      <x:c r="AC116" s="65" t="n">
        <x:f>MAX(0,Z116)+MAX(0,AA116)+MAX(0,AB116)</x:f>
        <x:v>0</x:v>
      </x:c>
      <x:c r="AD116" s="65" t="n">
        <x:f>MAX(0,-Z116)+MAX(0,-AA116)+MAX(0,-AB116)</x:f>
        <x:v>18003.52599691668</x:v>
      </x:c>
      <x:c r="AE116" s="65" t="n">
        <x:f>Q116+AC116</x:f>
        <x:v>0</x:v>
      </x:c>
      <x:c r="AF116" s="65" t="n">
        <x:f>U116+AD116</x:f>
        <x:v>36021.42311713184</x:v>
      </x:c>
    </x:row>
    <x:row r="117">
      <x:c r="A117" s="39" t="str">
        <x:f>'In_Monthly'!A117</x:f>
        <x:v>20|aggregate</x:v>
      </x:c>
      <x:c r="B117" s="39" t="str">
        <x:f>'In_Monthly'!B117</x:f>
        <x:v>20</x:v>
      </x:c>
      <x:c r="C117" s="39" t="str">
        <x:f>'In_Monthly'!C117</x:f>
        <x:v>Test building 4</x:v>
      </x:c>
      <x:c r="D117" s="39" t="str">
        <x:f>'In_Monthly'!D117</x:f>
        <x:v>aggregate</x:v>
      </x:c>
      <x:c r="E117" s="39" t="str">
        <x:f>'In_Monthly'!E117</x:f>
        <x:v>2023-08</x:v>
      </x:c>
      <x:c r="F117" s="65" t="n">
        <x:f>'In_Monthly'!F117</x:f>
        <x:v>31</x:v>
      </x:c>
      <x:c r="G117" s="65" t="n">
        <x:f>F117*24</x:f>
        <x:v>744</x:v>
      </x:c>
      <x:c r="H117" s="65" t="n">
        <x:f>'In_Monthly'!G117</x:f>
        <x:v>22.74717741935484</x:v>
      </x:c>
      <x:c r="I117" s="65" t="n">
        <x:f>'In_Monthly'!K117</x:f>
        <x:v>0</x:v>
      </x:c>
      <x:c r="J117" s="65" t="n">
        <x:f>'In_Monthly'!L117</x:f>
        <x:v>1</x:v>
      </x:c>
      <x:c r="K117" s="65" t="n">
        <x:f>'In_Monthly'!J117*G117/1000</x:f>
        <x:v>52859.75275880799</x:v>
      </x:c>
      <x:c r="L117" s="65" t="n">
        <x:f>'Calc_Case'!E11+'Calc_Case'!F11+'Calc_Case'!G11</x:f>
        <x:v>16198.925845537571</x:v>
      </x:c>
      <x:c r="M117" s="65" t="n">
        <x:f>'Calc_Case'!H11</x:f>
        <x:v>11362.419214453124</x:v>
      </x:c>
      <x:c r="N117" s="65" t="n">
        <x:f>(L117*('In_Cases'!O11-H117)+M117*('In_Cases'!O11-'In_Cases'!U11))*G117*I117/1000</x:f>
        <x:v>0</x:v>
      </x:c>
      <x:c r="O117" s="65" t="str">
        <x:f>IF(N117&lt;=0,"",K117/N117)</x:f>
      </x:c>
      <x:c r="P117" s="65" t="n">
        <x:f>IF(N117&lt;=0,0,IF(ABS(O117-1)&lt;1E-9,'Calc_Case'!N11/('Calc_Case'!N11+1),(1-POWER(O117,'Calc_Case'!N11))/(1-POWER(O117,'Calc_Case'!N11+1))))</x:f>
        <x:v>0</x:v>
      </x:c>
      <x:c r="Q117" s="65" t="n">
        <x:f>IF(N117&lt;=0,0,MAX(0,N117-P117*K117))</x:f>
        <x:v>0</x:v>
      </x:c>
      <x:c r="R117" s="65" t="n">
        <x:f>IF(J117&lt;=0,0,MAX(1E-12,(L117*('In_Cases'!P11-H117)+M117*('In_Cases'!P11-'In_Cases'!V11))*G117*J117/1000))</x:f>
        <x:v>64563.940125444824</x:v>
      </x:c>
      <x:c r="S117" s="65" t="n">
        <x:f>IF(J117&lt;=0,"",K117/R117)</x:f>
        <x:v>0.8187194377558723</x:v>
      </x:c>
      <x:c r="T117" s="65" t="n">
        <x:f>IF(J117&lt;=0,0,IF(ABS(S117-1)&lt;1E-9,'Calc_Case'!N11/('Calc_Case'!N11+1),(1-POWER(S117,-'Calc_Case'!N11))/(1-POWER(S117,-'Calc_Case'!N11-1))))</x:f>
        <x:v>0.6698740525364464</x:v>
      </x:c>
      <x:c r="U117" s="65" t="n">
        <x:f>IF(J117&lt;=0,0,'In_Cases'!Q11*MAX(0,K117-T117*R117))</x:f>
        <x:v>9610.044539255789</x:v>
      </x:c>
      <x:c r="V117" s="65" t="n">
        <x:f>MAX(0,1-I117-J117)</x:f>
        <x:v>0</x:v>
      </x:c>
      <x:c r="W117" s="65" t="n">
        <x:f>'In_Cases'!T11*(H117+'In_Cases'!S11*('In_Cases'!O11-H117))+(1-'In_Cases'!T11)*'In_Cases'!O11</x:f>
        <x:v>21.098870967741938</x:v>
      </x:c>
      <x:c r="X117" s="65" t="n">
        <x:f>'In_Cases'!T11*(H117+'In_Cases'!S11*('In_Cases'!P11-H117))+(1-'In_Cases'!T11)*'In_Cases'!P11</x:f>
        <x:v>24.698870967741936</x:v>
      </x:c>
      <x:c r="Y117" s="65" t="n">
        <x:f>'In_Cases'!T11*(H117+'In_Cases'!S11*((('In_Cases'!O11+'In_Cases'!P11)/2)-H117))+(1-'In_Cases'!T11)*(('In_Cases'!O11+'In_Cases'!P11)/2)</x:f>
        <x:v>22.898870967741935</x:v>
      </x:c>
      <x:c r="Z117" s="65" t="n">
        <x:f>'In_Cases'!R11*M117*('In_Cases'!U11-W117)*G117*I117/1000</x:f>
        <x:v>0</x:v>
      </x:c>
      <x:c r="AA117" s="65" t="n">
        <x:f>'In_Cases'!R11*M117*('In_Cases'!V11-X117)*G117*J117/1000</x:f>
        <x:v>-14361.643390300173</x:v>
      </x:c>
      <x:c r="AB117" s="65" t="n">
        <x:f>'In_Cases'!R11*M117*('In_Cases'!V11-Y117)*G117*V117/1000</x:f>
        <x:v>0</x:v>
      </x:c>
      <x:c r="AC117" s="65" t="n">
        <x:f>MAX(0,Z117)+MAX(0,AA117)+MAX(0,AB117)</x:f>
        <x:v>0</x:v>
      </x:c>
      <x:c r="AD117" s="65" t="n">
        <x:f>MAX(0,-Z117)+MAX(0,-AA117)+MAX(0,-AB117)</x:f>
        <x:v>14361.643390300173</x:v>
      </x:c>
      <x:c r="AE117" s="65" t="n">
        <x:f>Q117+AC117</x:f>
        <x:v>0</x:v>
      </x:c>
      <x:c r="AF117" s="65" t="n">
        <x:f>U117+AD117</x:f>
        <x:v>23971.687929555963</x:v>
      </x:c>
    </x:row>
    <x:row r="118">
      <x:c r="A118" s="39" t="str">
        <x:f>'In_Monthly'!A118</x:f>
        <x:v>20|aggregate</x:v>
      </x:c>
      <x:c r="B118" s="39" t="str">
        <x:f>'In_Monthly'!B118</x:f>
        <x:v>20</x:v>
      </x:c>
      <x:c r="C118" s="39" t="str">
        <x:f>'In_Monthly'!C118</x:f>
        <x:v>Test building 4</x:v>
      </x:c>
      <x:c r="D118" s="39" t="str">
        <x:f>'In_Monthly'!D118</x:f>
        <x:v>aggregate</x:v>
      </x:c>
      <x:c r="E118" s="39" t="str">
        <x:f>'In_Monthly'!E118</x:f>
        <x:v>2023-09</x:v>
      </x:c>
      <x:c r="F118" s="65" t="n">
        <x:f>'In_Monthly'!F118</x:f>
        <x:v>30</x:v>
      </x:c>
      <x:c r="G118" s="65" t="n">
        <x:f>F118*24</x:f>
        <x:v>720</x:v>
      </x:c>
      <x:c r="H118" s="65" t="n">
        <x:f>'In_Monthly'!G118</x:f>
        <x:v>19.61638888888889</x:v>
      </x:c>
      <x:c r="I118" s="65" t="n">
        <x:f>'In_Monthly'!K118</x:f>
        <x:v>0</x:v>
      </x:c>
      <x:c r="J118" s="65" t="n">
        <x:f>'In_Monthly'!L118</x:f>
        <x:v>1</x:v>
      </x:c>
      <x:c r="K118" s="65" t="n">
        <x:f>'In_Monthly'!J118*G118/1000</x:f>
        <x:v>40656.12120608196</x:v>
      </x:c>
      <x:c r="L118" s="65" t="n">
        <x:f>'Calc_Case'!E11+'Calc_Case'!F11+'Calc_Case'!G11</x:f>
        <x:v>16198.925845537571</x:v>
      </x:c>
      <x:c r="M118" s="65" t="n">
        <x:f>'Calc_Case'!H11</x:f>
        <x:v>11362.419214453124</x:v>
      </x:c>
      <x:c r="N118" s="65" t="n">
        <x:f>(L118*('In_Cases'!O11-H118)+M118*('In_Cases'!O11-'In_Cases'!U11))*G118*I118/1000</x:f>
        <x:v>0</x:v>
      </x:c>
      <x:c r="O118" s="65" t="str">
        <x:f>IF(N118&lt;=0,"",K118/N118)</x:f>
      </x:c>
      <x:c r="P118" s="65" t="n">
        <x:f>IF(N118&lt;=0,0,IF(ABS(O118-1)&lt;1E-9,'Calc_Case'!N11/('Calc_Case'!N11+1),(1-POWER(O118,'Calc_Case'!N11))/(1-POWER(O118,'Calc_Case'!N11+1))))</x:f>
        <x:v>0</x:v>
      </x:c>
      <x:c r="Q118" s="65" t="n">
        <x:f>IF(N118&lt;=0,0,MAX(0,N118-P118*K118))</x:f>
        <x:v>0</x:v>
      </x:c>
      <x:c r="R118" s="65" t="n">
        <x:f>IF(J118&lt;=0,0,MAX(1E-12,(L118*('In_Cases'!P11-H118)+M118*('In_Cases'!P11-'In_Cases'!V11))*G118*J118/1000))</x:f>
        <x:v>98996.32847447855</x:v>
      </x:c>
      <x:c r="S118" s="65" t="n">
        <x:f>IF(J118&lt;=0,"",K118/R118)</x:f>
        <x:v>0.4106831216125676</x:v>
      </x:c>
      <x:c r="T118" s="65" t="n">
        <x:f>IF(J118&lt;=0,0,IF(ABS(S118-1)&lt;1E-9,'Calc_Case'!N11/('Calc_Case'!N11+1),(1-POWER(S118,-'Calc_Case'!N11))/(1-POWER(S118,-'Calc_Case'!N11-1))))</x:f>
        <x:v>0.3931503458965285</x:v>
      </x:c>
      <x:c r="U118" s="65" t="n">
        <x:f>IF(J118&lt;=0,0,'In_Cases'!Q11*MAX(0,K118-T118*R118))</x:f>
        <x:v>1735.68042385437</x:v>
      </x:c>
      <x:c r="V118" s="65" t="n">
        <x:f>MAX(0,1-I118-J118)</x:f>
        <x:v>0</x:v>
      </x:c>
      <x:c r="W118" s="65" t="n">
        <x:f>'In_Cases'!T11*(H118+'In_Cases'!S11*('In_Cases'!O11-H118))+(1-'In_Cases'!T11)*'In_Cases'!O11</x:f>
        <x:v>19.846555555555554</x:v>
      </x:c>
      <x:c r="X118" s="65" t="n">
        <x:f>'In_Cases'!T11*(H118+'In_Cases'!S11*('In_Cases'!P11-H118))+(1-'In_Cases'!T11)*'In_Cases'!P11</x:f>
        <x:v>23.446555555555555</x:v>
      </x:c>
      <x:c r="Y118" s="65" t="n">
        <x:f>'In_Cases'!T11*(H118+'In_Cases'!S11*((('In_Cases'!O11+'In_Cases'!P11)/2)-H118))+(1-'In_Cases'!T11)*(('In_Cases'!O11+'In_Cases'!P11)/2)</x:f>
        <x:v>21.646555555555555</x:v>
      </x:c>
      <x:c r="Z118" s="65" t="n">
        <x:f>'In_Cases'!R11*M118*('In_Cases'!U11-W118)*G118*I118/1000</x:f>
        <x:v>0</x:v>
      </x:c>
      <x:c r="AA118" s="65" t="n">
        <x:f>'In_Cases'!R11*M118*('In_Cases'!V11-X118)*G118*J118/1000</x:f>
        <x:v>-3653.2450258309673</x:v>
      </x:c>
      <x:c r="AB118" s="65" t="n">
        <x:f>'In_Cases'!R11*M118*('In_Cases'!V11-Y118)*G118*V118/1000</x:f>
        <x:v>0</x:v>
      </x:c>
      <x:c r="AC118" s="65" t="n">
        <x:f>MAX(0,Z118)+MAX(0,AA118)+MAX(0,AB118)</x:f>
        <x:v>0</x:v>
      </x:c>
      <x:c r="AD118" s="65" t="n">
        <x:f>MAX(0,-Z118)+MAX(0,-AA118)+MAX(0,-AB118)</x:f>
        <x:v>3653.2450258309673</x:v>
      </x:c>
      <x:c r="AE118" s="65" t="n">
        <x:f>Q118+AC118</x:f>
        <x:v>0</x:v>
      </x:c>
      <x:c r="AF118" s="65" t="n">
        <x:f>U118+AD118</x:f>
        <x:v>5388.925449685337</x:v>
      </x:c>
    </x:row>
    <x:row r="119">
      <x:c r="A119" s="39" t="str">
        <x:f>'In_Monthly'!A119</x:f>
        <x:v>20|aggregate</x:v>
      </x:c>
      <x:c r="B119" s="39" t="str">
        <x:f>'In_Monthly'!B119</x:f>
        <x:v>20</x:v>
      </x:c>
      <x:c r="C119" s="39" t="str">
        <x:f>'In_Monthly'!C119</x:f>
        <x:v>Test building 4</x:v>
      </x:c>
      <x:c r="D119" s="39" t="str">
        <x:f>'In_Monthly'!D119</x:f>
        <x:v>aggregate</x:v>
      </x:c>
      <x:c r="E119" s="39" t="str">
        <x:f>'In_Monthly'!E119</x:f>
        <x:v>2023-10</x:v>
      </x:c>
      <x:c r="F119" s="65" t="n">
        <x:f>'In_Monthly'!F119</x:f>
        <x:v>31</x:v>
      </x:c>
      <x:c r="G119" s="65" t="n">
        <x:f>F119*24</x:f>
        <x:v>744</x:v>
      </x:c>
      <x:c r="H119" s="65" t="n">
        <x:f>'In_Monthly'!G119</x:f>
        <x:v>13.926209677419354</x:v>
      </x:c>
      <x:c r="I119" s="65" t="n">
        <x:f>'In_Monthly'!K119</x:f>
        <x:v>0.5483870967741935</x:v>
      </x:c>
      <x:c r="J119" s="65" t="n">
        <x:f>'In_Monthly'!L119</x:f>
        <x:v>0</x:v>
      </x:c>
      <x:c r="K119" s="65" t="n">
        <x:f>'In_Monthly'!J119*G119/1000</x:f>
        <x:v>28530.32427723219</x:v>
      </x:c>
      <x:c r="L119" s="65" t="n">
        <x:f>'Calc_Case'!E11+'Calc_Case'!F11+'Calc_Case'!G11</x:f>
        <x:v>16198.925845537571</x:v>
      </x:c>
      <x:c r="M119" s="65" t="n">
        <x:f>'Calc_Case'!H11</x:f>
        <x:v>11362.419214453124</x:v>
      </x:c>
      <x:c r="N119" s="65" t="n">
        <x:f>(L119*('In_Cases'!O11-H119)+M119*('In_Cases'!O11-'In_Cases'!U11))*G119*I119/1000</x:f>
        <x:v>30870.928568031904</x:v>
      </x:c>
      <x:c r="O119" s="65" t="n">
        <x:f>IF(N119&lt;=0,"",K119/N119)</x:f>
        <x:v>0.9241809560201081</x:v>
      </x:c>
      <x:c r="P119" s="65" t="n">
        <x:f>IF(N119&lt;=0,0,IF(ABS(O119-1)&lt;1E-9,'Calc_Case'!N11/('Calc_Case'!N11+1),(1-POWER(O119,'Calc_Case'!N11))/(1-POWER(O119,'Calc_Case'!N11+1))))</x:f>
        <x:v>0.7776167900271804</x:v>
      </x:c>
      <x:c r="Q119" s="65" t="n">
        <x:f>IF(N119&lt;=0,0,MAX(0,N119-P119*K119))</x:f>
        <x:v>8685.269385136071</x:v>
      </x:c>
      <x:c r="R119" s="65" t="n">
        <x:f>IF(J119&lt;=0,0,MAX(1E-12,(L119*('In_Cases'!P11-H119)+M119*('In_Cases'!P11-'In_Cases'!V11))*G119*J119/1000))</x:f>
        <x:v>0</x:v>
      </x:c>
      <x:c r="S119" s="65" t="str">
        <x:f>IF(J119&lt;=0,"",K119/R119)</x:f>
      </x:c>
      <x:c r="T119" s="65" t="n">
        <x:f>IF(J119&lt;=0,0,IF(ABS(S119-1)&lt;1E-9,'Calc_Case'!N11/('Calc_Case'!N11+1),(1-POWER(S119,-'Calc_Case'!N11))/(1-POWER(S119,-'Calc_Case'!N11-1))))</x:f>
        <x:v>0</x:v>
      </x:c>
      <x:c r="U119" s="65" t="n">
        <x:f>IF(J119&lt;=0,0,'In_Cases'!Q11*MAX(0,K119-T119*R119))</x:f>
        <x:v>0</x:v>
      </x:c>
      <x:c r="V119" s="65" t="n">
        <x:f>MAX(0,1-I119-J119)</x:f>
        <x:v>0.4516129032258065</x:v>
      </x:c>
      <x:c r="W119" s="65" t="n">
        <x:f>'In_Cases'!T11*(H119+'In_Cases'!S11*('In_Cases'!O11-H119))+(1-'In_Cases'!T11)*'In_Cases'!O11</x:f>
        <x:v>17.570483870967742</x:v>
      </x:c>
      <x:c r="X119" s="65" t="n">
        <x:f>'In_Cases'!T11*(H119+'In_Cases'!S11*('In_Cases'!P11-H119))+(1-'In_Cases'!T11)*'In_Cases'!P11</x:f>
        <x:v>21.170483870967743</x:v>
      </x:c>
      <x:c r="Y119" s="65" t="n">
        <x:f>'In_Cases'!T11*(H119+'In_Cases'!S11*((('In_Cases'!O11+'In_Cases'!P11)/2)-H119))+(1-'In_Cases'!T11)*(('In_Cases'!O11+'In_Cases'!P11)/2)</x:f>
        <x:v>19.370483870967742</x:v>
      </x:c>
      <x:c r="Z119" s="65" t="n">
        <x:f>'In_Cases'!R11*M119*('In_Cases'!U11-W119)*G119*I119/1000</x:f>
        <x:v>20534.647823500432</x:v>
      </x:c>
      <x:c r="AA119" s="65" t="n">
        <x:f>'In_Cases'!R11*M119*('In_Cases'!V11-X119)*G119*J119/1000</x:f>
        <x:v>0</x:v>
      </x:c>
      <x:c r="AB119" s="65" t="n">
        <x:f>'In_Cases'!R11*M119*('In_Cases'!V11-Y119)*G119*V119/1000</x:f>
        <x:v>13856.668158037708</x:v>
      </x:c>
      <x:c r="AC119" s="65" t="n">
        <x:f>MAX(0,Z119)+MAX(0,AA119)+MAX(0,AB119)</x:f>
        <x:v>34391.31598153814</x:v>
      </x:c>
      <x:c r="AD119" s="65" t="n">
        <x:f>MAX(0,-Z119)+MAX(0,-AA119)+MAX(0,-AB119)</x:f>
        <x:v>0</x:v>
      </x:c>
      <x:c r="AE119" s="65" t="n">
        <x:f>Q119+AC119</x:f>
        <x:v>43076.585366674204</x:v>
      </x:c>
      <x:c r="AF119" s="65" t="n">
        <x:f>U119+AD119</x:f>
        <x:v>0</x:v>
      </x:c>
    </x:row>
    <x:row r="120">
      <x:c r="A120" s="39" t="str">
        <x:f>'In_Monthly'!A120</x:f>
        <x:v>20|aggregate</x:v>
      </x:c>
      <x:c r="B120" s="39" t="str">
        <x:f>'In_Monthly'!B120</x:f>
        <x:v>20</x:v>
      </x:c>
      <x:c r="C120" s="39" t="str">
        <x:f>'In_Monthly'!C120</x:f>
        <x:v>Test building 4</x:v>
      </x:c>
      <x:c r="D120" s="39" t="str">
        <x:f>'In_Monthly'!D120</x:f>
        <x:v>aggregate</x:v>
      </x:c>
      <x:c r="E120" s="39" t="str">
        <x:f>'In_Monthly'!E120</x:f>
        <x:v>2023-11</x:v>
      </x:c>
      <x:c r="F120" s="65" t="n">
        <x:f>'In_Monthly'!F120</x:f>
        <x:v>30</x:v>
      </x:c>
      <x:c r="G120" s="65" t="n">
        <x:f>F120*24</x:f>
        <x:v>720</x:v>
      </x:c>
      <x:c r="H120" s="65" t="n">
        <x:f>'In_Monthly'!G120</x:f>
        <x:v>8.68388888888889</x:v>
      </x:c>
      <x:c r="I120" s="65" t="n">
        <x:f>'In_Monthly'!K120</x:f>
        <x:v>1</x:v>
      </x:c>
      <x:c r="J120" s="65" t="n">
        <x:f>'In_Monthly'!L120</x:f>
        <x:v>0</x:v>
      </x:c>
      <x:c r="K120" s="65" t="n">
        <x:f>'In_Monthly'!J120*G120/1000</x:f>
        <x:v>15387.97248757199</x:v>
      </x:c>
      <x:c r="L120" s="65" t="n">
        <x:f>'Calc_Case'!E11+'Calc_Case'!F11+'Calc_Case'!G11</x:f>
        <x:v>16198.925845537571</x:v>
      </x:c>
      <x:c r="M120" s="65" t="n">
        <x:f>'Calc_Case'!H11</x:f>
        <x:v>11362.419214453124</x:v>
      </x:c>
      <x:c r="N120" s="65" t="n">
        <x:f>(L120*('In_Cases'!O11-H120)+M120*('In_Cases'!O11-'In_Cases'!U11))*G120*I120/1000</x:f>
        <x:v>115620.4845502894</x:v>
      </x:c>
      <x:c r="O120" s="65" t="n">
        <x:f>IF(N120&lt;=0,"",K120/N120)</x:f>
        <x:v>0.13309036497662277</x:v>
      </x:c>
      <x:c r="P120" s="65" t="n">
        <x:f>IF(N120&lt;=0,0,IF(ABS(O120-1)&lt;1E-9,'Calc_Case'!N11/('Calc_Case'!N11+1),(1-POWER(O120,'Calc_Case'!N11))/(1-POWER(O120,'Calc_Case'!N11+1))))</x:f>
        <x:v>0.997882450362571</x:v>
      </x:c>
      <x:c r="Q120" s="65" t="n">
        <x:f>IF(N120&lt;=0,0,MAX(0,N120-P120*K120))</x:f>
        <x:v>100265.09685827924</x:v>
      </x:c>
      <x:c r="R120" s="65" t="n">
        <x:f>IF(J120&lt;=0,0,MAX(1E-12,(L120*('In_Cases'!P11-H120)+M120*('In_Cases'!P11-'In_Cases'!V11))*G120*J120/1000))</x:f>
        <x:v>0</x:v>
      </x:c>
      <x:c r="S120" s="65" t="str">
        <x:f>IF(J120&lt;=0,"",K120/R120)</x:f>
      </x:c>
      <x:c r="T120" s="65" t="n">
        <x:f>IF(J120&lt;=0,0,IF(ABS(S120-1)&lt;1E-9,'Calc_Case'!N11/('Calc_Case'!N11+1),(1-POWER(S120,-'Calc_Case'!N11))/(1-POWER(S120,-'Calc_Case'!N11-1))))</x:f>
        <x:v>0</x:v>
      </x:c>
      <x:c r="U120" s="65" t="n">
        <x:f>IF(J120&lt;=0,0,'In_Cases'!Q11*MAX(0,K120-T120*R120))</x:f>
        <x:v>0</x:v>
      </x:c>
      <x:c r="V120" s="65" t="n">
        <x:f>MAX(0,1-I120-J120)</x:f>
        <x:v>0</x:v>
      </x:c>
      <x:c r="W120" s="65" t="n">
        <x:f>'In_Cases'!T11*(H120+'In_Cases'!S11*('In_Cases'!O11-H120))+(1-'In_Cases'!T11)*'In_Cases'!O11</x:f>
        <x:v>15.473555555555556</x:v>
      </x:c>
      <x:c r="X120" s="65" t="n">
        <x:f>'In_Cases'!T11*(H120+'In_Cases'!S11*('In_Cases'!P11-H120))+(1-'In_Cases'!T11)*'In_Cases'!P11</x:f>
        <x:v>19.073555555555558</x:v>
      </x:c>
      <x:c r="Y120" s="65" t="n">
        <x:f>'In_Cases'!T11*(H120+'In_Cases'!S11*((('In_Cases'!O11+'In_Cases'!P11)/2)-H120))+(1-'In_Cases'!T11)*(('In_Cases'!O11+'In_Cases'!P11)/2)</x:f>
        <x:v>17.273555555555554</x:v>
      </x:c>
      <x:c r="Z120" s="65" t="n">
        <x:f>'In_Cases'!R11*M120*('In_Cases'!U11-W120)*G120*I120/1000</x:f>
        <x:v>53392.4623854838</x:v>
      </x:c>
      <x:c r="AA120" s="65" t="n">
        <x:f>'In_Cases'!R11*M120*('In_Cases'!V11-X120)*G120*J120/1000</x:f>
        <x:v>0</x:v>
      </x:c>
      <x:c r="AB120" s="65" t="n">
        <x:f>'In_Cases'!R11*M120*('In_Cases'!V11-Y120)*G120*V120/1000</x:f>
        <x:v>0</x:v>
      </x:c>
      <x:c r="AC120" s="65" t="n">
        <x:f>MAX(0,Z120)+MAX(0,AA120)+MAX(0,AB120)</x:f>
        <x:v>53392.4623854838</x:v>
      </x:c>
      <x:c r="AD120" s="65" t="n">
        <x:f>MAX(0,-Z120)+MAX(0,-AA120)+MAX(0,-AB120)</x:f>
        <x:v>0</x:v>
      </x:c>
      <x:c r="AE120" s="65" t="n">
        <x:f>Q120+AC120</x:f>
        <x:v>153657.55924376304</x:v>
      </x:c>
      <x:c r="AF120" s="65" t="n">
        <x:f>U120+AD120</x:f>
        <x:v>0</x:v>
      </x:c>
    </x:row>
    <x:row r="121">
      <x:c r="A121" s="39" t="str">
        <x:f>'In_Monthly'!A121</x:f>
        <x:v>20|aggregate</x:v>
      </x:c>
      <x:c r="B121" s="39" t="str">
        <x:f>'In_Monthly'!B121</x:f>
        <x:v>20</x:v>
      </x:c>
      <x:c r="C121" s="39" t="str">
        <x:f>'In_Monthly'!C121</x:f>
        <x:v>Test building 4</x:v>
      </x:c>
      <x:c r="D121" s="39" t="str">
        <x:f>'In_Monthly'!D121</x:f>
        <x:v>aggregate</x:v>
      </x:c>
      <x:c r="E121" s="39" t="str">
        <x:f>'In_Monthly'!E121</x:f>
        <x:v>2023-12</x:v>
      </x:c>
      <x:c r="F121" s="65" t="n">
        <x:f>'In_Monthly'!F121</x:f>
        <x:v>31</x:v>
      </x:c>
      <x:c r="G121" s="65" t="n">
        <x:f>F121*24</x:f>
        <x:v>744</x:v>
      </x:c>
      <x:c r="H121" s="65" t="n">
        <x:f>'In_Monthly'!G121</x:f>
        <x:v>3.9963709677419357</x:v>
      </x:c>
      <x:c r="I121" s="65" t="n">
        <x:f>'In_Monthly'!K121</x:f>
        <x:v>1</x:v>
      </x:c>
      <x:c r="J121" s="65" t="n">
        <x:f>'In_Monthly'!L121</x:f>
        <x:v>0</x:v>
      </x:c>
      <x:c r="K121" s="65" t="n">
        <x:f>'In_Monthly'!J121*G121/1000</x:f>
        <x:v>13342.037364556018</x:v>
      </x:c>
      <x:c r="L121" s="65" t="n">
        <x:f>'Calc_Case'!E11+'Calc_Case'!F11+'Calc_Case'!G11</x:f>
        <x:v>16198.925845537571</x:v>
      </x:c>
      <x:c r="M121" s="65" t="n">
        <x:f>'Calc_Case'!H11</x:f>
        <x:v>11362.419214453124</x:v>
      </x:c>
      <x:c r="N121" s="65" t="n">
        <x:f>(L121*('In_Cases'!O11-H121)+M121*('In_Cases'!O11-'In_Cases'!U11))*G121*I121/1000</x:f>
        <x:v>175968.47057395594</x:v>
      </x:c>
      <x:c r="O121" s="65" t="n">
        <x:f>IF(N121&lt;=0,"",K121/N121)</x:f>
        <x:v>0.07582061332372968</x:v>
      </x:c>
      <x:c r="P121" s="65" t="n">
        <x:f>IF(N121&lt;=0,0,IF(ABS(O121-1)&lt;1E-9,'Calc_Case'!N11/('Calc_Case'!N11+1),(1-POWER(O121,'Calc_Case'!N11))/(1-POWER(O121,'Calc_Case'!N11+1))))</x:f>
        <x:v>0.9995786193029217</x:v>
      </x:c>
      <x:c r="Q121" s="65" t="n">
        <x:f>IF(N121&lt;=0,0,MAX(0,N121-P121*K121))</x:f>
        <x:v>162632.05528640506</x:v>
      </x:c>
      <x:c r="R121" s="65" t="n">
        <x:f>IF(J121&lt;=0,0,MAX(1E-12,(L121*('In_Cases'!P11-H121)+M121*('In_Cases'!P11-'In_Cases'!V11))*G121*J121/1000))</x:f>
        <x:v>0</x:v>
      </x:c>
      <x:c r="S121" s="65" t="str">
        <x:f>IF(J121&lt;=0,"",K121/R121)</x:f>
      </x:c>
      <x:c r="T121" s="65" t="n">
        <x:f>IF(J121&lt;=0,0,IF(ABS(S121-1)&lt;1E-9,'Calc_Case'!N11/('Calc_Case'!N11+1),(1-POWER(S121,-'Calc_Case'!N11))/(1-POWER(S121,-'Calc_Case'!N11-1))))</x:f>
        <x:v>0</x:v>
      </x:c>
      <x:c r="U121" s="65" t="n">
        <x:f>IF(J121&lt;=0,0,'In_Cases'!Q11*MAX(0,K121-T121*R121))</x:f>
        <x:v>0</x:v>
      </x:c>
      <x:c r="V121" s="65" t="n">
        <x:f>MAX(0,1-I121-J121)</x:f>
        <x:v>0</x:v>
      </x:c>
      <x:c r="W121" s="65" t="n">
        <x:f>'In_Cases'!T11*(H121+'In_Cases'!S11*('In_Cases'!O11-H121))+(1-'In_Cases'!T11)*'In_Cases'!O11</x:f>
        <x:v>13.598548387096773</x:v>
      </x:c>
      <x:c r="X121" s="65" t="n">
        <x:f>'In_Cases'!T11*(H121+'In_Cases'!S11*('In_Cases'!P11-H121))+(1-'In_Cases'!T11)*'In_Cases'!P11</x:f>
        <x:v>17.198548387096775</x:v>
      </x:c>
      <x:c r="Y121" s="65" t="n">
        <x:f>'In_Cases'!T11*(H121+'In_Cases'!S11*((('In_Cases'!O11+'In_Cases'!P11)/2)-H121))+(1-'In_Cases'!T11)*(('In_Cases'!O11+'In_Cases'!P11)/2)</x:f>
        <x:v>15.398548387096774</x:v>
      </x:c>
      <x:c r="Z121" s="65" t="n">
        <x:f>'In_Cases'!R11*M121*('In_Cases'!U11-W121)*G121*I121/1000</x:f>
        <x:v>71022.84653539785</x:v>
      </x:c>
      <x:c r="AA121" s="65" t="n">
        <x:f>'In_Cases'!R11*M121*('In_Cases'!V11-X121)*G121*J121/1000</x:f>
        <x:v>0</x:v>
      </x:c>
      <x:c r="AB121" s="65" t="n">
        <x:f>'In_Cases'!R11*M121*('In_Cases'!V11-Y121)*G121*V121/1000</x:f>
        <x:v>0</x:v>
      </x:c>
      <x:c r="AC121" s="65" t="n">
        <x:f>MAX(0,Z121)+MAX(0,AA121)+MAX(0,AB121)</x:f>
        <x:v>71022.84653539785</x:v>
      </x:c>
      <x:c r="AD121" s="65" t="n">
        <x:f>MAX(0,-Z121)+MAX(0,-AA121)+MAX(0,-AB121)</x:f>
        <x:v>0</x:v>
      </x:c>
      <x:c r="AE121" s="65" t="n">
        <x:f>Q121+AC121</x:f>
        <x:v>233654.9018218029</x:v>
      </x:c>
      <x:c r="AF121" s="65" t="n">
        <x:f>U121+AD121</x:f>
        <x:v>0</x:v>
      </x:c>
    </x:row>
    <x:row r="122">
      <x:c r="A122" s="39" t="str">
        <x:f>'In_Monthly'!A122</x:f>
        <x:v>20|lower</x:v>
      </x:c>
      <x:c r="B122" s="39" t="str">
        <x:f>'In_Monthly'!B122</x:f>
        <x:v>20</x:v>
      </x:c>
      <x:c r="C122" s="39" t="str">
        <x:f>'In_Monthly'!C122</x:f>
        <x:v>Test building 4</x:v>
      </x:c>
      <x:c r="D122" s="39" t="str">
        <x:f>'In_Monthly'!D122</x:f>
        <x:v>lower</x:v>
      </x:c>
      <x:c r="E122" s="39" t="str">
        <x:f>'In_Monthly'!E122</x:f>
        <x:v>2023-01</x:v>
      </x:c>
      <x:c r="F122" s="65" t="n">
        <x:f>'In_Monthly'!F122</x:f>
        <x:v>31</x:v>
      </x:c>
      <x:c r="G122" s="65" t="n">
        <x:f>F122*24</x:f>
        <x:v>744</x:v>
      </x:c>
      <x:c r="H122" s="65" t="n">
        <x:f>'In_Monthly'!G122</x:f>
        <x:v>2.638440860215054</x:v>
      </x:c>
      <x:c r="I122" s="65" t="n">
        <x:f>'In_Monthly'!K122</x:f>
        <x:v>1</x:v>
      </x:c>
      <x:c r="J122" s="65" t="n">
        <x:f>'In_Monthly'!L122</x:f>
        <x:v>0</x:v>
      </x:c>
      <x:c r="K122" s="65" t="n">
        <x:f>'In_Monthly'!J122*G122/1000</x:f>
        <x:v>2323.171248626485</x:v>
      </x:c>
      <x:c r="L122" s="65" t="n">
        <x:f>'Calc_Case'!E12+'Calc_Case'!F12+'Calc_Case'!G12</x:f>
        <x:v>5192.5837426582</x:v>
      </x:c>
      <x:c r="M122" s="65" t="n">
        <x:f>'Calc_Case'!H12</x:f>
        <x:v>0</x:v>
      </x:c>
      <x:c r="N122" s="65" t="n">
        <x:f>(L122*('In_Cases'!O12-H122)+M122*('In_Cases'!O12-'In_Cases'!U12))*G122*I122/1000</x:f>
        <x:v>67072.60420391597</x:v>
      </x:c>
      <x:c r="O122" s="65" t="n">
        <x:f>IF(N122&lt;=0,"",K122/N122)</x:f>
        <x:v>0.03463666389877328</x:v>
      </x:c>
      <x:c r="P122" s="65" t="n">
        <x:f>IF(N122&lt;=0,0,IF(ABS(O122-1)&lt;1E-9,'Calc_Case'!N12/('Calc_Case'!N12+1),(1-POWER(O122,'Calc_Case'!N12))/(1-POWER(O122,'Calc_Case'!N12+1))))</x:f>
        <x:v>0.9998238553872775</x:v>
      </x:c>
      <x:c r="Q122" s="65" t="n">
        <x:f>IF(N122&lt;=0,0,MAX(0,N122-P122*K122))</x:f>
        <x:v>64749.84216938936</x:v>
      </x:c>
      <x:c r="R122" s="65" t="n">
        <x:f>IF(J122&lt;=0,0,MAX(1E-12,(L122*('In_Cases'!P12-H122)+M122*('In_Cases'!P12-'In_Cases'!V12))*G122*J122/1000))</x:f>
        <x:v>0</x:v>
      </x:c>
      <x:c r="S122" s="65" t="str">
        <x:f>IF(J122&lt;=0,"",K122/R122)</x:f>
      </x:c>
      <x:c r="T122" s="65" t="n">
        <x:f>IF(J122&lt;=0,0,IF(ABS(S122-1)&lt;1E-9,'Calc_Case'!N12/('Calc_Case'!N12+1),(1-POWER(S122,-'Calc_Case'!N12))/(1-POWER(S122,-'Calc_Case'!N12-1))))</x:f>
        <x:v>0</x:v>
      </x:c>
      <x:c r="U122" s="65" t="n">
        <x:f>IF(J122&lt;=0,0,'In_Cases'!Q12*MAX(0,K122-T122*R122))</x:f>
        <x:v>0</x:v>
      </x:c>
      <x:c r="V122" s="65" t="n">
        <x:f>MAX(0,1-I122-J122)</x:f>
        <x:v>0</x:v>
      </x:c>
      <x:c r="W122" s="65" t="n">
        <x:f>'In_Cases'!T12*(H122+'In_Cases'!S12*('In_Cases'!O12-H122))+(1-'In_Cases'!T12)*'In_Cases'!O12</x:f>
        <x:v>2.638440860215054</x:v>
      </x:c>
      <x:c r="X122" s="65" t="n">
        <x:f>'In_Cases'!T12*(H122+'In_Cases'!S12*('In_Cases'!P12-H122))+(1-'In_Cases'!T12)*'In_Cases'!P12</x:f>
        <x:v>2.638440860215054</x:v>
      </x:c>
      <x:c r="Y122" s="65" t="n">
        <x:f>'In_Cases'!T12*(H122+'In_Cases'!S12*((('In_Cases'!O12+'In_Cases'!P12)/2)-H122))+(1-'In_Cases'!T12)*(('In_Cases'!O12+'In_Cases'!P12)/2)</x:f>
        <x:v>2.638440860215054</x:v>
      </x:c>
      <x:c r="Z122" s="65" t="n">
        <x:f>'In_Cases'!R12*M122*('In_Cases'!U12-W122)*G122*I122/1000</x:f>
        <x:v>0</x:v>
      </x:c>
      <x:c r="AA122" s="65" t="n">
        <x:f>'In_Cases'!R12*M122*('In_Cases'!V12-X122)*G122*J122/1000</x:f>
        <x:v>0</x:v>
      </x:c>
      <x:c r="AB122" s="65" t="n">
        <x:f>'In_Cases'!R12*M122*('In_Cases'!V12-Y122)*G122*V122/1000</x:f>
        <x:v>0</x:v>
      </x:c>
      <x:c r="AC122" s="65" t="n">
        <x:f>MAX(0,Z122)+MAX(0,AA122)+MAX(0,AB122)</x:f>
        <x:v>0</x:v>
      </x:c>
      <x:c r="AD122" s="65" t="n">
        <x:f>MAX(0,-Z122)+MAX(0,-AA122)+MAX(0,-AB122)</x:f>
        <x:v>0</x:v>
      </x:c>
      <x:c r="AE122" s="65" t="n">
        <x:f>Q122+AC122</x:f>
        <x:v>64749.84216938936</x:v>
      </x:c>
      <x:c r="AF122" s="65" t="n">
        <x:f>U122+AD122</x:f>
        <x:v>0</x:v>
      </x:c>
    </x:row>
    <x:row r="123">
      <x:c r="A123" s="39" t="str">
        <x:f>'In_Monthly'!A123</x:f>
        <x:v>20|lower</x:v>
      </x:c>
      <x:c r="B123" s="39" t="str">
        <x:f>'In_Monthly'!B123</x:f>
        <x:v>20</x:v>
      </x:c>
      <x:c r="C123" s="39" t="str">
        <x:f>'In_Monthly'!C123</x:f>
        <x:v>Test building 4</x:v>
      </x:c>
      <x:c r="D123" s="39" t="str">
        <x:f>'In_Monthly'!D123</x:f>
        <x:v>lower</x:v>
      </x:c>
      <x:c r="E123" s="39" t="str">
        <x:f>'In_Monthly'!E123</x:f>
        <x:v>2023-02</x:v>
      </x:c>
      <x:c r="F123" s="65" t="n">
        <x:f>'In_Monthly'!F123</x:f>
        <x:v>28</x:v>
      </x:c>
      <x:c r="G123" s="65" t="n">
        <x:f>F123*24</x:f>
        <x:v>672</x:v>
      </x:c>
      <x:c r="H123" s="65" t="n">
        <x:f>'In_Monthly'!G123</x:f>
        <x:v>3.8903273809523813</x:v>
      </x:c>
      <x:c r="I123" s="65" t="n">
        <x:f>'In_Monthly'!K123</x:f>
        <x:v>1</x:v>
      </x:c>
      <x:c r="J123" s="65" t="n">
        <x:f>'In_Monthly'!L123</x:f>
        <x:v>0</x:v>
      </x:c>
      <x:c r="K123" s="65" t="n">
        <x:f>'In_Monthly'!J123*G123/1000</x:f>
        <x:v>2502.9082421327284</x:v>
      </x:c>
      <x:c r="L123" s="65" t="n">
        <x:f>'Calc_Case'!E12+'Calc_Case'!F12+'Calc_Case'!G12</x:f>
        <x:v>5192.5837426582</x:v>
      </x:c>
      <x:c r="M123" s="65" t="n">
        <x:f>'Calc_Case'!H12</x:f>
        <x:v>0</x:v>
      </x:c>
      <x:c r="N123" s="65" t="n">
        <x:f>(L123*('In_Cases'!O12-H123)+M123*('In_Cases'!O12-'In_Cases'!U12))*G123*I123/1000</x:f>
        <x:v>56213.353822894875</x:v>
      </x:c>
      <x:c r="O123" s="65" t="n">
        <x:f>IF(N123&lt;=0,"",K123/N123)</x:f>
        <x:v>0.044525154112283735</x:v>
      </x:c>
      <x:c r="P123" s="65" t="n">
        <x:f>IF(N123&lt;=0,0,IF(ABS(O123-1)&lt;1E-9,'Calc_Case'!N12/('Calc_Case'!N12+1),(1-POWER(O123,'Calc_Case'!N12))/(1-POWER(O123,'Calc_Case'!N12+1))))</x:f>
        <x:v>0.9996683942015999</x:v>
      </x:c>
      <x:c r="Q123" s="65" t="n">
        <x:f>IF(N123&lt;=0,0,MAX(0,N123-P123*K123))</x:f>
        <x:v>53711.2755596481</x:v>
      </x:c>
      <x:c r="R123" s="65" t="n">
        <x:f>IF(J123&lt;=0,0,MAX(1E-12,(L123*('In_Cases'!P12-H123)+M123*('In_Cases'!P12-'In_Cases'!V12))*G123*J123/1000))</x:f>
        <x:v>0</x:v>
      </x:c>
      <x:c r="S123" s="65" t="str">
        <x:f>IF(J123&lt;=0,"",K123/R123)</x:f>
      </x:c>
      <x:c r="T123" s="65" t="n">
        <x:f>IF(J123&lt;=0,0,IF(ABS(S123-1)&lt;1E-9,'Calc_Case'!N12/('Calc_Case'!N12+1),(1-POWER(S123,-'Calc_Case'!N12))/(1-POWER(S123,-'Calc_Case'!N12-1))))</x:f>
        <x:v>0</x:v>
      </x:c>
      <x:c r="U123" s="65" t="n">
        <x:f>IF(J123&lt;=0,0,'In_Cases'!Q12*MAX(0,K123-T123*R123))</x:f>
        <x:v>0</x:v>
      </x:c>
      <x:c r="V123" s="65" t="n">
        <x:f>MAX(0,1-I123-J123)</x:f>
        <x:v>0</x:v>
      </x:c>
      <x:c r="W123" s="65" t="n">
        <x:f>'In_Cases'!T12*(H123+'In_Cases'!S12*('In_Cases'!O12-H123))+(1-'In_Cases'!T12)*'In_Cases'!O12</x:f>
        <x:v>3.8903273809523813</x:v>
      </x:c>
      <x:c r="X123" s="65" t="n">
        <x:f>'In_Cases'!T12*(H123+'In_Cases'!S12*('In_Cases'!P12-H123))+(1-'In_Cases'!T12)*'In_Cases'!P12</x:f>
        <x:v>3.8903273809523813</x:v>
      </x:c>
      <x:c r="Y123" s="65" t="n">
        <x:f>'In_Cases'!T12*(H123+'In_Cases'!S12*((('In_Cases'!O12+'In_Cases'!P12)/2)-H123))+(1-'In_Cases'!T12)*(('In_Cases'!O12+'In_Cases'!P12)/2)</x:f>
        <x:v>3.8903273809523813</x:v>
      </x:c>
      <x:c r="Z123" s="65" t="n">
        <x:f>'In_Cases'!R12*M123*('In_Cases'!U12-W123)*G123*I123/1000</x:f>
        <x:v>0</x:v>
      </x:c>
      <x:c r="AA123" s="65" t="n">
        <x:f>'In_Cases'!R12*M123*('In_Cases'!V12-X123)*G123*J123/1000</x:f>
        <x:v>0</x:v>
      </x:c>
      <x:c r="AB123" s="65" t="n">
        <x:f>'In_Cases'!R12*M123*('In_Cases'!V12-Y123)*G123*V123/1000</x:f>
        <x:v>0</x:v>
      </x:c>
      <x:c r="AC123" s="65" t="n">
        <x:f>MAX(0,Z123)+MAX(0,AA123)+MAX(0,AB123)</x:f>
        <x:v>0</x:v>
      </x:c>
      <x:c r="AD123" s="65" t="n">
        <x:f>MAX(0,-Z123)+MAX(0,-AA123)+MAX(0,-AB123)</x:f>
        <x:v>0</x:v>
      </x:c>
      <x:c r="AE123" s="65" t="n">
        <x:f>Q123+AC123</x:f>
        <x:v>53711.2755596481</x:v>
      </x:c>
      <x:c r="AF123" s="65" t="n">
        <x:f>U123+AD123</x:f>
        <x:v>0</x:v>
      </x:c>
    </x:row>
    <x:row r="124">
      <x:c r="A124" s="39" t="str">
        <x:f>'In_Monthly'!A124</x:f>
        <x:v>20|lower</x:v>
      </x:c>
      <x:c r="B124" s="39" t="str">
        <x:f>'In_Monthly'!B124</x:f>
        <x:v>20</x:v>
      </x:c>
      <x:c r="C124" s="39" t="str">
        <x:f>'In_Monthly'!C124</x:f>
        <x:v>Test building 4</x:v>
      </x:c>
      <x:c r="D124" s="39" t="str">
        <x:f>'In_Monthly'!D124</x:f>
        <x:v>lower</x:v>
      </x:c>
      <x:c r="E124" s="39" t="str">
        <x:f>'In_Monthly'!E124</x:f>
        <x:v>2023-03</x:v>
      </x:c>
      <x:c r="F124" s="65" t="n">
        <x:f>'In_Monthly'!F124</x:f>
        <x:v>31</x:v>
      </x:c>
      <x:c r="G124" s="65" t="n">
        <x:f>F124*24</x:f>
        <x:v>744</x:v>
      </x:c>
      <x:c r="H124" s="65" t="n">
        <x:f>'In_Monthly'!G124</x:f>
        <x:v>7.746908602150539</x:v>
      </x:c>
      <x:c r="I124" s="65" t="n">
        <x:f>'In_Monthly'!K124</x:f>
        <x:v>1</x:v>
      </x:c>
      <x:c r="J124" s="65" t="n">
        <x:f>'In_Monthly'!L124</x:f>
        <x:v>0</x:v>
      </x:c>
      <x:c r="K124" s="65" t="n">
        <x:f>'In_Monthly'!J124*G124/1000</x:f>
        <x:v>4312.776147085677</x:v>
      </x:c>
      <x:c r="L124" s="65" t="n">
        <x:f>'Calc_Case'!E12+'Calc_Case'!F12+'Calc_Case'!G12</x:f>
        <x:v>5192.5837426582</x:v>
      </x:c>
      <x:c r="M124" s="65" t="n">
        <x:f>'Calc_Case'!H12</x:f>
        <x:v>0</x:v>
      </x:c>
      <x:c r="N124" s="65" t="n">
        <x:f>(L124*('In_Cases'!O12-H124)+M124*('In_Cases'!O12-'In_Cases'!U12))*G124*I124/1000</x:f>
        <x:v>47337.15117319494</x:v>
      </x:c>
      <x:c r="O124" s="65" t="n">
        <x:f>IF(N124&lt;=0,"",K124/N124)</x:f>
        <x:v>0.09110764040924842</x:v>
      </x:c>
      <x:c r="P124" s="65" t="n">
        <x:f>IF(N124&lt;=0,0,IF(ABS(O124-1)&lt;1E-9,'Calc_Case'!N12/('Calc_Case'!N12+1),(1-POWER(O124,'Calc_Case'!N12))/(1-POWER(O124,'Calc_Case'!N12+1))))</x:f>
        <x:v>0.9980274291403243</x:v>
      </x:c>
      <x:c r="Q124" s="65" t="n">
        <x:f>IF(N124&lt;=0,0,MAX(0,N124-P124*K124))</x:f>
        <x:v>43032.88228266131</x:v>
      </x:c>
      <x:c r="R124" s="65" t="n">
        <x:f>IF(J124&lt;=0,0,MAX(1E-12,(L124*('In_Cases'!P12-H124)+M124*('In_Cases'!P12-'In_Cases'!V12))*G124*J124/1000))</x:f>
        <x:v>0</x:v>
      </x:c>
      <x:c r="S124" s="65" t="str">
        <x:f>IF(J124&lt;=0,"",K124/R124)</x:f>
      </x:c>
      <x:c r="T124" s="65" t="n">
        <x:f>IF(J124&lt;=0,0,IF(ABS(S124-1)&lt;1E-9,'Calc_Case'!N12/('Calc_Case'!N12+1),(1-POWER(S124,-'Calc_Case'!N12))/(1-POWER(S124,-'Calc_Case'!N12-1))))</x:f>
        <x:v>0</x:v>
      </x:c>
      <x:c r="U124" s="65" t="n">
        <x:f>IF(J124&lt;=0,0,'In_Cases'!Q12*MAX(0,K124-T124*R124))</x:f>
        <x:v>0</x:v>
      </x:c>
      <x:c r="V124" s="65" t="n">
        <x:f>MAX(0,1-I124-J124)</x:f>
        <x:v>0</x:v>
      </x:c>
      <x:c r="W124" s="65" t="n">
        <x:f>'In_Cases'!T12*(H124+'In_Cases'!S12*('In_Cases'!O12-H124))+(1-'In_Cases'!T12)*'In_Cases'!O12</x:f>
        <x:v>7.746908602150539</x:v>
      </x:c>
      <x:c r="X124" s="65" t="n">
        <x:f>'In_Cases'!T12*(H124+'In_Cases'!S12*('In_Cases'!P12-H124))+(1-'In_Cases'!T12)*'In_Cases'!P12</x:f>
        <x:v>7.746908602150539</x:v>
      </x:c>
      <x:c r="Y124" s="65" t="n">
        <x:f>'In_Cases'!T12*(H124+'In_Cases'!S12*((('In_Cases'!O12+'In_Cases'!P12)/2)-H124))+(1-'In_Cases'!T12)*(('In_Cases'!O12+'In_Cases'!P12)/2)</x:f>
        <x:v>7.746908602150539</x:v>
      </x:c>
      <x:c r="Z124" s="65" t="n">
        <x:f>'In_Cases'!R12*M124*('In_Cases'!U12-W124)*G124*I124/1000</x:f>
        <x:v>0</x:v>
      </x:c>
      <x:c r="AA124" s="65" t="n">
        <x:f>'In_Cases'!R12*M124*('In_Cases'!V12-X124)*G124*J124/1000</x:f>
        <x:v>0</x:v>
      </x:c>
      <x:c r="AB124" s="65" t="n">
        <x:f>'In_Cases'!R12*M124*('In_Cases'!V12-Y124)*G124*V124/1000</x:f>
        <x:v>0</x:v>
      </x:c>
      <x:c r="AC124" s="65" t="n">
        <x:f>MAX(0,Z124)+MAX(0,AA124)+MAX(0,AB124)</x:f>
        <x:v>0</x:v>
      </x:c>
      <x:c r="AD124" s="65" t="n">
        <x:f>MAX(0,-Z124)+MAX(0,-AA124)+MAX(0,-AB124)</x:f>
        <x:v>0</x:v>
      </x:c>
      <x:c r="AE124" s="65" t="n">
        <x:f>Q124+AC124</x:f>
        <x:v>43032.88228266131</x:v>
      </x:c>
      <x:c r="AF124" s="65" t="n">
        <x:f>U124+AD124</x:f>
        <x:v>0</x:v>
      </x:c>
    </x:row>
    <x:row r="125">
      <x:c r="A125" s="39" t="str">
        <x:f>'In_Monthly'!A125</x:f>
        <x:v>20|lower</x:v>
      </x:c>
      <x:c r="B125" s="39" t="str">
        <x:f>'In_Monthly'!B125</x:f>
        <x:v>20</x:v>
      </x:c>
      <x:c r="C125" s="39" t="str">
        <x:f>'In_Monthly'!C125</x:f>
        <x:v>Test building 4</x:v>
      </x:c>
      <x:c r="D125" s="39" t="str">
        <x:f>'In_Monthly'!D125</x:f>
        <x:v>lower</x:v>
      </x:c>
      <x:c r="E125" s="39" t="str">
        <x:f>'In_Monthly'!E125</x:f>
        <x:v>2023-04</x:v>
      </x:c>
      <x:c r="F125" s="65" t="n">
        <x:f>'In_Monthly'!F125</x:f>
        <x:v>30</x:v>
      </x:c>
      <x:c r="G125" s="65" t="n">
        <x:f>F125*24</x:f>
        <x:v>720</x:v>
      </x:c>
      <x:c r="H125" s="65" t="n">
        <x:f>'In_Monthly'!G125</x:f>
        <x:v>12.03041666666667</x:v>
      </x:c>
      <x:c r="I125" s="65" t="n">
        <x:f>'In_Monthly'!K125</x:f>
        <x:v>1</x:v>
      </x:c>
      <x:c r="J125" s="65" t="n">
        <x:f>'In_Monthly'!L125</x:f>
        <x:v>0</x:v>
      </x:c>
      <x:c r="K125" s="65" t="n">
        <x:f>'In_Monthly'!J125*G125/1000</x:f>
        <x:v>5182.0132939335135</x:v>
      </x:c>
      <x:c r="L125" s="65" t="n">
        <x:f>'Calc_Case'!E12+'Calc_Case'!F12+'Calc_Case'!G12</x:f>
        <x:v>5192.5837426582</x:v>
      </x:c>
      <x:c r="M125" s="65" t="n">
        <x:f>'Calc_Case'!H12</x:f>
        <x:v>0</x:v>
      </x:c>
      <x:c r="N125" s="65" t="n">
        <x:f>(L125*('In_Cases'!O12-H125)+M125*('In_Cases'!O12-'In_Cases'!U12))*G125*I125/1000</x:f>
        <x:v>29795.56477374701</x:v>
      </x:c>
      <x:c r="O125" s="65" t="n">
        <x:f>IF(N125&lt;=0,"",K125/N125)</x:f>
        <x:v>0.17391894845032124</x:v>
      </x:c>
      <x:c r="P125" s="65" t="n">
        <x:f>IF(N125&lt;=0,0,IF(ABS(O125-1)&lt;1E-9,'Calc_Case'!N12/('Calc_Case'!N12+1),(1-POWER(O125,'Calc_Case'!N12))/(1-POWER(O125,'Calc_Case'!N12+1))))</x:f>
        <x:v>0.9905995113926082</x:v>
      </x:c>
      <x:c r="Q125" s="65" t="n">
        <x:f>IF(N125&lt;=0,0,MAX(0,N125-P125*K125))</x:f>
        <x:v>24662.26493674647</x:v>
      </x:c>
      <x:c r="R125" s="65" t="n">
        <x:f>IF(J125&lt;=0,0,MAX(1E-12,(L125*('In_Cases'!P12-H125)+M125*('In_Cases'!P12-'In_Cases'!V12))*G125*J125/1000))</x:f>
        <x:v>0</x:v>
      </x:c>
      <x:c r="S125" s="65" t="str">
        <x:f>IF(J125&lt;=0,"",K125/R125)</x:f>
      </x:c>
      <x:c r="T125" s="65" t="n">
        <x:f>IF(J125&lt;=0,0,IF(ABS(S125-1)&lt;1E-9,'Calc_Case'!N12/('Calc_Case'!N12+1),(1-POWER(S125,-'Calc_Case'!N12))/(1-POWER(S125,-'Calc_Case'!N12-1))))</x:f>
        <x:v>0</x:v>
      </x:c>
      <x:c r="U125" s="65" t="n">
        <x:f>IF(J125&lt;=0,0,'In_Cases'!Q12*MAX(0,K125-T125*R125))</x:f>
        <x:v>0</x:v>
      </x:c>
      <x:c r="V125" s="65" t="n">
        <x:f>MAX(0,1-I125-J125)</x:f>
        <x:v>0</x:v>
      </x:c>
      <x:c r="W125" s="65" t="n">
        <x:f>'In_Cases'!T12*(H125+'In_Cases'!S12*('In_Cases'!O12-H125))+(1-'In_Cases'!T12)*'In_Cases'!O12</x:f>
        <x:v>12.03041666666667</x:v>
      </x:c>
      <x:c r="X125" s="65" t="n">
        <x:f>'In_Cases'!T12*(H125+'In_Cases'!S12*('In_Cases'!P12-H125))+(1-'In_Cases'!T12)*'In_Cases'!P12</x:f>
        <x:v>12.03041666666667</x:v>
      </x:c>
      <x:c r="Y125" s="65" t="n">
        <x:f>'In_Cases'!T12*(H125+'In_Cases'!S12*((('In_Cases'!O12+'In_Cases'!P12)/2)-H125))+(1-'In_Cases'!T12)*(('In_Cases'!O12+'In_Cases'!P12)/2)</x:f>
        <x:v>12.03041666666667</x:v>
      </x:c>
      <x:c r="Z125" s="65" t="n">
        <x:f>'In_Cases'!R12*M125*('In_Cases'!U12-W125)*G125*I125/1000</x:f>
        <x:v>0</x:v>
      </x:c>
      <x:c r="AA125" s="65" t="n">
        <x:f>'In_Cases'!R12*M125*('In_Cases'!V12-X125)*G125*J125/1000</x:f>
        <x:v>0</x:v>
      </x:c>
      <x:c r="AB125" s="65" t="n">
        <x:f>'In_Cases'!R12*M125*('In_Cases'!V12-Y125)*G125*V125/1000</x:f>
        <x:v>0</x:v>
      </x:c>
      <x:c r="AC125" s="65" t="n">
        <x:f>MAX(0,Z125)+MAX(0,AA125)+MAX(0,AB125)</x:f>
        <x:v>0</x:v>
      </x:c>
      <x:c r="AD125" s="65" t="n">
        <x:f>MAX(0,-Z125)+MAX(0,-AA125)+MAX(0,-AB125)</x:f>
        <x:v>0</x:v>
      </x:c>
      <x:c r="AE125" s="65" t="n">
        <x:f>Q125+AC125</x:f>
        <x:v>24662.26493674647</x:v>
      </x:c>
      <x:c r="AF125" s="65" t="n">
        <x:f>U125+AD125</x:f>
        <x:v>0</x:v>
      </x:c>
    </x:row>
    <x:row r="126">
      <x:c r="A126" s="39" t="str">
        <x:f>'In_Monthly'!A126</x:f>
        <x:v>20|lower</x:v>
      </x:c>
      <x:c r="B126" s="39" t="str">
        <x:f>'In_Monthly'!B126</x:f>
        <x:v>20</x:v>
      </x:c>
      <x:c r="C126" s="39" t="str">
        <x:f>'In_Monthly'!C126</x:f>
        <x:v>Test building 4</x:v>
      </x:c>
      <x:c r="D126" s="39" t="str">
        <x:f>'In_Monthly'!D126</x:f>
        <x:v>lower</x:v>
      </x:c>
      <x:c r="E126" s="39" t="str">
        <x:f>'In_Monthly'!E126</x:f>
        <x:v>2023-05</x:v>
      </x:c>
      <x:c r="F126" s="65" t="n">
        <x:f>'In_Monthly'!F126</x:f>
        <x:v>31</x:v>
      </x:c>
      <x:c r="G126" s="65" t="n">
        <x:f>F126*24</x:f>
        <x:v>744</x:v>
      </x:c>
      <x:c r="H126" s="65" t="n">
        <x:f>'In_Monthly'!G126</x:f>
        <x:v>17.244086021505375</x:v>
      </x:c>
      <x:c r="I126" s="65" t="n">
        <x:f>'In_Monthly'!K126</x:f>
        <x:v>0</x:v>
      </x:c>
      <x:c r="J126" s="65" t="n">
        <x:f>'In_Monthly'!L126</x:f>
        <x:v>0</x:v>
      </x:c>
      <x:c r="K126" s="65" t="n">
        <x:f>'In_Monthly'!J126*G126/1000</x:f>
        <x:v>6370.365020582506</x:v>
      </x:c>
      <x:c r="L126" s="65" t="n">
        <x:f>'Calc_Case'!E12+'Calc_Case'!F12+'Calc_Case'!G12</x:f>
        <x:v>5192.5837426582</x:v>
      </x:c>
      <x:c r="M126" s="65" t="n">
        <x:f>'Calc_Case'!H12</x:f>
        <x:v>0</x:v>
      </x:c>
      <x:c r="N126" s="65" t="n">
        <x:f>(L126*('In_Cases'!O12-H126)+M126*('In_Cases'!O12-'In_Cases'!U12))*G126*I126/1000</x:f>
        <x:v>0</x:v>
      </x:c>
      <x:c r="O126" s="65" t="str">
        <x:f>IF(N126&lt;=0,"",K126/N126)</x:f>
      </x:c>
      <x:c r="P126" s="65" t="n">
        <x:f>IF(N126&lt;=0,0,IF(ABS(O126-1)&lt;1E-9,'Calc_Case'!N12/('Calc_Case'!N12+1),(1-POWER(O126,'Calc_Case'!N12))/(1-POWER(O126,'Calc_Case'!N12+1))))</x:f>
        <x:v>0</x:v>
      </x:c>
      <x:c r="Q126" s="65" t="n">
        <x:f>IF(N126&lt;=0,0,MAX(0,N126-P126*K126))</x:f>
        <x:v>0</x:v>
      </x:c>
      <x:c r="R126" s="65" t="n">
        <x:f>IF(J126&lt;=0,0,MAX(1E-12,(L126*('In_Cases'!P12-H126)+M126*('In_Cases'!P12-'In_Cases'!V12))*G126*J126/1000))</x:f>
        <x:v>0</x:v>
      </x:c>
      <x:c r="S126" s="65" t="str">
        <x:f>IF(J126&lt;=0,"",K126/R126)</x:f>
      </x:c>
      <x:c r="T126" s="65" t="n">
        <x:f>IF(J126&lt;=0,0,IF(ABS(S126-1)&lt;1E-9,'Calc_Case'!N12/('Calc_Case'!N12+1),(1-POWER(S126,-'Calc_Case'!N12))/(1-POWER(S126,-'Calc_Case'!N12-1))))</x:f>
        <x:v>0</x:v>
      </x:c>
      <x:c r="U126" s="65" t="n">
        <x:f>IF(J126&lt;=0,0,'In_Cases'!Q12*MAX(0,K126-T126*R126))</x:f>
        <x:v>0</x:v>
      </x:c>
      <x:c r="V126" s="65" t="n">
        <x:f>MAX(0,1-I126-J126)</x:f>
        <x:v>1</x:v>
      </x:c>
      <x:c r="W126" s="65" t="n">
        <x:f>'In_Cases'!T12*(H126+'In_Cases'!S12*('In_Cases'!O12-H126))+(1-'In_Cases'!T12)*'In_Cases'!O12</x:f>
        <x:v>17.244086021505375</x:v>
      </x:c>
      <x:c r="X126" s="65" t="n">
        <x:f>'In_Cases'!T12*(H126+'In_Cases'!S12*('In_Cases'!P12-H126))+(1-'In_Cases'!T12)*'In_Cases'!P12</x:f>
        <x:v>17.244086021505375</x:v>
      </x:c>
      <x:c r="Y126" s="65" t="n">
        <x:f>'In_Cases'!T12*(H126+'In_Cases'!S12*((('In_Cases'!O12+'In_Cases'!P12)/2)-H126))+(1-'In_Cases'!T12)*(('In_Cases'!O12+'In_Cases'!P12)/2)</x:f>
        <x:v>17.244086021505375</x:v>
      </x:c>
      <x:c r="Z126" s="65" t="n">
        <x:f>'In_Cases'!R12*M126*('In_Cases'!U12-W126)*G126*I126/1000</x:f>
        <x:v>0</x:v>
      </x:c>
      <x:c r="AA126" s="65" t="n">
        <x:f>'In_Cases'!R12*M126*('In_Cases'!V12-X126)*G126*J126/1000</x:f>
        <x:v>0</x:v>
      </x:c>
      <x:c r="AB126" s="65" t="n">
        <x:f>'In_Cases'!R12*M126*('In_Cases'!V12-Y126)*G126*V126/1000</x:f>
        <x:v>0</x:v>
      </x:c>
      <x:c r="AC126" s="65" t="n">
        <x:f>MAX(0,Z126)+MAX(0,AA126)+MAX(0,AB126)</x:f>
        <x:v>0</x:v>
      </x:c>
      <x:c r="AD126" s="65" t="n">
        <x:f>MAX(0,-Z126)+MAX(0,-AA126)+MAX(0,-AB126)</x:f>
        <x:v>0</x:v>
      </x:c>
      <x:c r="AE126" s="65" t="n">
        <x:f>Q126+AC126</x:f>
        <x:v>0</x:v>
      </x:c>
      <x:c r="AF126" s="65" t="n">
        <x:f>U126+AD126</x:f>
        <x:v>0</x:v>
      </x:c>
    </x:row>
    <x:row r="127">
      <x:c r="A127" s="39" t="str">
        <x:f>'In_Monthly'!A127</x:f>
        <x:v>20|lower</x:v>
      </x:c>
      <x:c r="B127" s="39" t="str">
        <x:f>'In_Monthly'!B127</x:f>
        <x:v>20</x:v>
      </x:c>
      <x:c r="C127" s="39" t="str">
        <x:f>'In_Monthly'!C127</x:f>
        <x:v>Test building 4</x:v>
      </x:c>
      <x:c r="D127" s="39" t="str">
        <x:f>'In_Monthly'!D127</x:f>
        <x:v>lower</x:v>
      </x:c>
      <x:c r="E127" s="39" t="str">
        <x:f>'In_Monthly'!E127</x:f>
        <x:v>2023-06</x:v>
      </x:c>
      <x:c r="F127" s="65" t="n">
        <x:f>'In_Monthly'!F127</x:f>
        <x:v>30</x:v>
      </x:c>
      <x:c r="G127" s="65" t="n">
        <x:f>F127*24</x:f>
        <x:v>720</x:v>
      </x:c>
      <x:c r="H127" s="65" t="n">
        <x:f>'In_Monthly'!G127</x:f>
        <x:v>20.758194444444445</x:v>
      </x:c>
      <x:c r="I127" s="65" t="n">
        <x:f>'In_Monthly'!K127</x:f>
        <x:v>0</x:v>
      </x:c>
      <x:c r="J127" s="65" t="n">
        <x:f>'In_Monthly'!L127</x:f>
        <x:v>1</x:v>
      </x:c>
      <x:c r="K127" s="65" t="n">
        <x:f>'In_Monthly'!J127*G127/1000</x:f>
        <x:v>6416.263577003104</x:v>
      </x:c>
      <x:c r="L127" s="65" t="n">
        <x:f>'Calc_Case'!E12+'Calc_Case'!F12+'Calc_Case'!G12</x:f>
        <x:v>5192.5837426582</x:v>
      </x:c>
      <x:c r="M127" s="65" t="n">
        <x:f>'Calc_Case'!H12</x:f>
        <x:v>0</x:v>
      </x:c>
      <x:c r="N127" s="65" t="n">
        <x:f>(L127*('In_Cases'!O12-H127)+M127*('In_Cases'!O12-'In_Cases'!U12))*G127*I127/1000</x:f>
        <x:v>0</x:v>
      </x:c>
      <x:c r="O127" s="65" t="str">
        <x:f>IF(N127&lt;=0,"",K127/N127)</x:f>
      </x:c>
      <x:c r="P127" s="65" t="n">
        <x:f>IF(N127&lt;=0,0,IF(ABS(O127-1)&lt;1E-9,'Calc_Case'!N12/('Calc_Case'!N12+1),(1-POWER(O127,'Calc_Case'!N12))/(1-POWER(O127,'Calc_Case'!N12+1))))</x:f>
        <x:v>0</x:v>
      </x:c>
      <x:c r="Q127" s="65" t="n">
        <x:f>IF(N127&lt;=0,0,MAX(0,N127-P127*K127))</x:f>
        <x:v>0</x:v>
      </x:c>
      <x:c r="R127" s="65" t="n">
        <x:f>IF(J127&lt;=0,0,MAX(1E-12,(L127*('In_Cases'!P12-H127)+M127*('In_Cases'!P12-'In_Cases'!V12))*G127*J127/1000))</x:f>
        <x:v>19597.33030316631</x:v>
      </x:c>
      <x:c r="S127" s="65" t="n">
        <x:f>IF(J127&lt;=0,"",K127/R127)</x:f>
        <x:v>0.3274049820942416</x:v>
      </x:c>
      <x:c r="T127" s="65" t="n">
        <x:f>IF(J127&lt;=0,0,IF(ABS(S127-1)&lt;1E-9,'Calc_Case'!N12/('Calc_Case'!N12+1),(1-POWER(S127,-'Calc_Case'!N12))/(1-POWER(S127,-'Calc_Case'!N12-1))))</x:f>
        <x:v>0.3145320145853726</x:v>
      </x:c>
      <x:c r="U127" s="65" t="n">
        <x:f>IF(J127&lt;=0,0,'In_Cases'!Q12*MAX(0,K127-T127*R127))</x:f>
        <x:v>252.27579625323324</x:v>
      </x:c>
      <x:c r="V127" s="65" t="n">
        <x:f>MAX(0,1-I127-J127)</x:f>
        <x:v>0</x:v>
      </x:c>
      <x:c r="W127" s="65" t="n">
        <x:f>'In_Cases'!T12*(H127+'In_Cases'!S12*('In_Cases'!O12-H127))+(1-'In_Cases'!T12)*'In_Cases'!O12</x:f>
        <x:v>20.758194444444445</x:v>
      </x:c>
      <x:c r="X127" s="65" t="n">
        <x:f>'In_Cases'!T12*(H127+'In_Cases'!S12*('In_Cases'!P12-H127))+(1-'In_Cases'!T12)*'In_Cases'!P12</x:f>
        <x:v>20.758194444444445</x:v>
      </x:c>
      <x:c r="Y127" s="65" t="n">
        <x:f>'In_Cases'!T12*(H127+'In_Cases'!S12*((('In_Cases'!O12+'In_Cases'!P12)/2)-H127))+(1-'In_Cases'!T12)*(('In_Cases'!O12+'In_Cases'!P12)/2)</x:f>
        <x:v>20.758194444444445</x:v>
      </x:c>
      <x:c r="Z127" s="65" t="n">
        <x:f>'In_Cases'!R12*M127*('In_Cases'!U12-W127)*G127*I127/1000</x:f>
        <x:v>0</x:v>
      </x:c>
      <x:c r="AA127" s="65" t="n">
        <x:f>'In_Cases'!R12*M127*('In_Cases'!V12-X127)*G127*J127/1000</x:f>
        <x:v>0</x:v>
      </x:c>
      <x:c r="AB127" s="65" t="n">
        <x:f>'In_Cases'!R12*M127*('In_Cases'!V12-Y127)*G127*V127/1000</x:f>
        <x:v>0</x:v>
      </x:c>
      <x:c r="AC127" s="65" t="n">
        <x:f>MAX(0,Z127)+MAX(0,AA127)+MAX(0,AB127)</x:f>
        <x:v>0</x:v>
      </x:c>
      <x:c r="AD127" s="65" t="n">
        <x:f>MAX(0,-Z127)+MAX(0,-AA127)+MAX(0,-AB127)</x:f>
        <x:v>0</x:v>
      </x:c>
      <x:c r="AE127" s="65" t="n">
        <x:f>Q127+AC127</x:f>
        <x:v>0</x:v>
      </x:c>
      <x:c r="AF127" s="65" t="n">
        <x:f>U127+AD127</x:f>
        <x:v>252.27579625323324</x:v>
      </x:c>
    </x:row>
    <x:row r="128">
      <x:c r="A128" s="39" t="str">
        <x:f>'In_Monthly'!A128</x:f>
        <x:v>20|lower</x:v>
      </x:c>
      <x:c r="B128" s="39" t="str">
        <x:f>'In_Monthly'!B128</x:f>
        <x:v>20</x:v>
      </x:c>
      <x:c r="C128" s="39" t="str">
        <x:f>'In_Monthly'!C128</x:f>
        <x:v>Test building 4</x:v>
      </x:c>
      <x:c r="D128" s="39" t="str">
        <x:f>'In_Monthly'!D128</x:f>
        <x:v>lower</x:v>
      </x:c>
      <x:c r="E128" s="39" t="str">
        <x:f>'In_Monthly'!E128</x:f>
        <x:v>2023-07</x:v>
      </x:c>
      <x:c r="F128" s="65" t="n">
        <x:f>'In_Monthly'!F128</x:f>
        <x:v>31</x:v>
      </x:c>
      <x:c r="G128" s="65" t="n">
        <x:f>F128*24</x:f>
        <x:v>744</x:v>
      </x:c>
      <x:c r="H128" s="65" t="n">
        <x:f>'In_Monthly'!G128</x:f>
        <x:v>23.824193548387097</x:v>
      </x:c>
      <x:c r="I128" s="65" t="n">
        <x:f>'In_Monthly'!K128</x:f>
        <x:v>0</x:v>
      </x:c>
      <x:c r="J128" s="65" t="n">
        <x:f>'In_Monthly'!L128</x:f>
        <x:v>1</x:v>
      </x:c>
      <x:c r="K128" s="65" t="n">
        <x:f>'In_Monthly'!J128*G128/1000</x:f>
        <x:v>6881.118627472436</x:v>
      </x:c>
      <x:c r="L128" s="65" t="n">
        <x:f>'Calc_Case'!E12+'Calc_Case'!F12+'Calc_Case'!G12</x:f>
        <x:v>5192.5837426582</x:v>
      </x:c>
      <x:c r="M128" s="65" t="n">
        <x:f>'Calc_Case'!H12</x:f>
        <x:v>0</x:v>
      </x:c>
      <x:c r="N128" s="65" t="n">
        <x:f>(L128*('In_Cases'!O12-H128)+M128*('In_Cases'!O12-'In_Cases'!U12))*G128*I128/1000</x:f>
        <x:v>0</x:v>
      </x:c>
      <x:c r="O128" s="65" t="str">
        <x:f>IF(N128&lt;=0,"",K128/N128)</x:f>
      </x:c>
      <x:c r="P128" s="65" t="n">
        <x:f>IF(N128&lt;=0,0,IF(ABS(O128-1)&lt;1E-9,'Calc_Case'!N12/('Calc_Case'!N12+1),(1-POWER(O128,'Calc_Case'!N12))/(1-POWER(O128,'Calc_Case'!N12+1))))</x:f>
        <x:v>0</x:v>
      </x:c>
      <x:c r="Q128" s="65" t="n">
        <x:f>IF(N128&lt;=0,0,MAX(0,N128-P128*K128))</x:f>
        <x:v>0</x:v>
      </x:c>
      <x:c r="R128" s="65" t="n">
        <x:f>IF(J128&lt;=0,0,MAX(1E-12,(L128*('In_Cases'!P12-H128)+M128*('In_Cases'!P12-'In_Cases'!V12))*G128*J128/1000))</x:f>
        <x:v>8405.754562615095</x:v>
      </x:c>
      <x:c r="S128" s="65" t="n">
        <x:f>IF(J128&lt;=0,"",K128/R128)</x:f>
        <x:v>0.8186199794693585</x:v>
      </x:c>
      <x:c r="T128" s="65" t="n">
        <x:f>IF(J128&lt;=0,0,IF(ABS(S128-1)&lt;1E-9,'Calc_Case'!N12/('Calc_Case'!N12+1),(1-POWER(S128,-'Calc_Case'!N12))/(1-POWER(S128,-'Calc_Case'!N12-1))))</x:f>
        <x:v>0.6440575761095783</x:v>
      </x:c>
      <x:c r="U128" s="65" t="n">
        <x:f>IF(J128&lt;=0,0,'In_Cases'!Q12*MAX(0,K128-T128*R128))</x:f>
        <x:v>1467.3287185025301</x:v>
      </x:c>
      <x:c r="V128" s="65" t="n">
        <x:f>MAX(0,1-I128-J128)</x:f>
        <x:v>0</x:v>
      </x:c>
      <x:c r="W128" s="65" t="n">
        <x:f>'In_Cases'!T12*(H128+'In_Cases'!S12*('In_Cases'!O12-H128))+(1-'In_Cases'!T12)*'In_Cases'!O12</x:f>
        <x:v>23.824193548387097</x:v>
      </x:c>
      <x:c r="X128" s="65" t="n">
        <x:f>'In_Cases'!T12*(H128+'In_Cases'!S12*('In_Cases'!P12-H128))+(1-'In_Cases'!T12)*'In_Cases'!P12</x:f>
        <x:v>23.824193548387097</x:v>
      </x:c>
      <x:c r="Y128" s="65" t="n">
        <x:f>'In_Cases'!T12*(H128+'In_Cases'!S12*((('In_Cases'!O12+'In_Cases'!P12)/2)-H128))+(1-'In_Cases'!T12)*(('In_Cases'!O12+'In_Cases'!P12)/2)</x:f>
        <x:v>23.824193548387097</x:v>
      </x:c>
      <x:c r="Z128" s="65" t="n">
        <x:f>'In_Cases'!R12*M128*('In_Cases'!U12-W128)*G128*I128/1000</x:f>
        <x:v>0</x:v>
      </x:c>
      <x:c r="AA128" s="65" t="n">
        <x:f>'In_Cases'!R12*M128*('In_Cases'!V12-X128)*G128*J128/1000</x:f>
        <x:v>0</x:v>
      </x:c>
      <x:c r="AB128" s="65" t="n">
        <x:f>'In_Cases'!R12*M128*('In_Cases'!V12-Y128)*G128*V128/1000</x:f>
        <x:v>0</x:v>
      </x:c>
      <x:c r="AC128" s="65" t="n">
        <x:f>MAX(0,Z128)+MAX(0,AA128)+MAX(0,AB128)</x:f>
        <x:v>0</x:v>
      </x:c>
      <x:c r="AD128" s="65" t="n">
        <x:f>MAX(0,-Z128)+MAX(0,-AA128)+MAX(0,-AB128)</x:f>
        <x:v>0</x:v>
      </x:c>
      <x:c r="AE128" s="65" t="n">
        <x:f>Q128+AC128</x:f>
        <x:v>0</x:v>
      </x:c>
      <x:c r="AF128" s="65" t="n">
        <x:f>U128+AD128</x:f>
        <x:v>1467.3287185025301</x:v>
      </x:c>
    </x:row>
    <x:row r="129">
      <x:c r="A129" s="39" t="str">
        <x:f>'In_Monthly'!A129</x:f>
        <x:v>20|lower</x:v>
      </x:c>
      <x:c r="B129" s="39" t="str">
        <x:f>'In_Monthly'!B129</x:f>
        <x:v>20</x:v>
      </x:c>
      <x:c r="C129" s="39" t="str">
        <x:f>'In_Monthly'!C129</x:f>
        <x:v>Test building 4</x:v>
      </x:c>
      <x:c r="D129" s="39" t="str">
        <x:f>'In_Monthly'!D129</x:f>
        <x:v>lower</x:v>
      </x:c>
      <x:c r="E129" s="39" t="str">
        <x:f>'In_Monthly'!E129</x:f>
        <x:v>2023-08</x:v>
      </x:c>
      <x:c r="F129" s="65" t="n">
        <x:f>'In_Monthly'!F129</x:f>
        <x:v>31</x:v>
      </x:c>
      <x:c r="G129" s="65" t="n">
        <x:f>F129*24</x:f>
        <x:v>744</x:v>
      </x:c>
      <x:c r="H129" s="65" t="n">
        <x:f>'In_Monthly'!G129</x:f>
        <x:v>22.74717741935484</x:v>
      </x:c>
      <x:c r="I129" s="65" t="n">
        <x:f>'In_Monthly'!K129</x:f>
        <x:v>0</x:v>
      </x:c>
      <x:c r="J129" s="65" t="n">
        <x:f>'In_Monthly'!L129</x:f>
        <x:v>1</x:v>
      </x:c>
      <x:c r="K129" s="65" t="n">
        <x:f>'In_Monthly'!J129*G129/1000</x:f>
        <x:v>6225.501952210873</x:v>
      </x:c>
      <x:c r="L129" s="65" t="n">
        <x:f>'Calc_Case'!E12+'Calc_Case'!F12+'Calc_Case'!G12</x:f>
        <x:v>5192.5837426582</x:v>
      </x:c>
      <x:c r="M129" s="65" t="n">
        <x:f>'Calc_Case'!H12</x:f>
        <x:v>0</x:v>
      </x:c>
      <x:c r="N129" s="65" t="n">
        <x:f>(L129*('In_Cases'!O12-H129)+M129*('In_Cases'!O12-'In_Cases'!U12))*G129*I129/1000</x:f>
        <x:v>0</x:v>
      </x:c>
      <x:c r="O129" s="65" t="str">
        <x:f>IF(N129&lt;=0,"",K129/N129)</x:f>
      </x:c>
      <x:c r="P129" s="65" t="n">
        <x:f>IF(N129&lt;=0,0,IF(ABS(O129-1)&lt;1E-9,'Calc_Case'!N12/('Calc_Case'!N12+1),(1-POWER(O129,'Calc_Case'!N12))/(1-POWER(O129,'Calc_Case'!N12+1))))</x:f>
        <x:v>0</x:v>
      </x:c>
      <x:c r="Q129" s="65" t="n">
        <x:f>IF(N129&lt;=0,0,MAX(0,N129-P129*K129))</x:f>
        <x:v>0</x:v>
      </x:c>
      <x:c r="R129" s="65" t="n">
        <x:f>IF(J129&lt;=0,0,MAX(1E-12,(L129*('In_Cases'!P12-H129)+M129*('In_Cases'!P12-'In_Cases'!V12))*G129*J129/1000))</x:f>
        <x:v>12566.5719156071</x:v>
      </x:c>
      <x:c r="S129" s="65" t="n">
        <x:f>IF(J129&lt;=0,"",K129/R129)</x:f>
        <x:v>0.4954017685984105</x:v>
      </x:c>
      <x:c r="T129" s="65" t="n">
        <x:f>IF(J129&lt;=0,0,IF(ABS(S129-1)&lt;1E-9,'Calc_Case'!N12/('Calc_Case'!N12+1),(1-POWER(S129,-'Calc_Case'!N12))/(1-POWER(S129,-'Calc_Case'!N12-1))))</x:f>
        <x:v>0.4503030055792875</x:v>
      </x:c>
      <x:c r="U129" s="65" t="n">
        <x:f>IF(J129&lt;=0,0,'In_Cases'!Q12*MAX(0,K129-T129*R129))</x:f>
        <x:v>566.7368487847316</x:v>
      </x:c>
      <x:c r="V129" s="65" t="n">
        <x:f>MAX(0,1-I129-J129)</x:f>
        <x:v>0</x:v>
      </x:c>
      <x:c r="W129" s="65" t="n">
        <x:f>'In_Cases'!T12*(H129+'In_Cases'!S12*('In_Cases'!O12-H129))+(1-'In_Cases'!T12)*'In_Cases'!O12</x:f>
        <x:v>22.74717741935484</x:v>
      </x:c>
      <x:c r="X129" s="65" t="n">
        <x:f>'In_Cases'!T12*(H129+'In_Cases'!S12*('In_Cases'!P12-H129))+(1-'In_Cases'!T12)*'In_Cases'!P12</x:f>
        <x:v>22.74717741935484</x:v>
      </x:c>
      <x:c r="Y129" s="65" t="n">
        <x:f>'In_Cases'!T12*(H129+'In_Cases'!S12*((('In_Cases'!O12+'In_Cases'!P12)/2)-H129))+(1-'In_Cases'!T12)*(('In_Cases'!O12+'In_Cases'!P12)/2)</x:f>
        <x:v>22.74717741935484</x:v>
      </x:c>
      <x:c r="Z129" s="65" t="n">
        <x:f>'In_Cases'!R12*M129*('In_Cases'!U12-W129)*G129*I129/1000</x:f>
        <x:v>0</x:v>
      </x:c>
      <x:c r="AA129" s="65" t="n">
        <x:f>'In_Cases'!R12*M129*('In_Cases'!V12-X129)*G129*J129/1000</x:f>
        <x:v>0</x:v>
      </x:c>
      <x:c r="AB129" s="65" t="n">
        <x:f>'In_Cases'!R12*M129*('In_Cases'!V12-Y129)*G129*V129/1000</x:f>
        <x:v>0</x:v>
      </x:c>
      <x:c r="AC129" s="65" t="n">
        <x:f>MAX(0,Z129)+MAX(0,AA129)+MAX(0,AB129)</x:f>
        <x:v>0</x:v>
      </x:c>
      <x:c r="AD129" s="65" t="n">
        <x:f>MAX(0,-Z129)+MAX(0,-AA129)+MAX(0,-AB129)</x:f>
        <x:v>0</x:v>
      </x:c>
      <x:c r="AE129" s="65" t="n">
        <x:f>Q129+AC129</x:f>
        <x:v>0</x:v>
      </x:c>
      <x:c r="AF129" s="65" t="n">
        <x:f>U129+AD129</x:f>
        <x:v>566.7368487847316</x:v>
      </x:c>
    </x:row>
    <x:row r="130">
      <x:c r="A130" s="39" t="str">
        <x:f>'In_Monthly'!A130</x:f>
        <x:v>20|lower</x:v>
      </x:c>
      <x:c r="B130" s="39" t="str">
        <x:f>'In_Monthly'!B130</x:f>
        <x:v>20</x:v>
      </x:c>
      <x:c r="C130" s="39" t="str">
        <x:f>'In_Monthly'!C130</x:f>
        <x:v>Test building 4</x:v>
      </x:c>
      <x:c r="D130" s="39" t="str">
        <x:f>'In_Monthly'!D130</x:f>
        <x:v>lower</x:v>
      </x:c>
      <x:c r="E130" s="39" t="str">
        <x:f>'In_Monthly'!E130</x:f>
        <x:v>2023-09</x:v>
      </x:c>
      <x:c r="F130" s="65" t="n">
        <x:f>'In_Monthly'!F130</x:f>
        <x:v>30</x:v>
      </x:c>
      <x:c r="G130" s="65" t="n">
        <x:f>F130*24</x:f>
        <x:v>720</x:v>
      </x:c>
      <x:c r="H130" s="65" t="n">
        <x:f>'In_Monthly'!G130</x:f>
        <x:v>19.61638888888889</x:v>
      </x:c>
      <x:c r="I130" s="65" t="n">
        <x:f>'In_Monthly'!K130</x:f>
        <x:v>0</x:v>
      </x:c>
      <x:c r="J130" s="65" t="n">
        <x:f>'In_Monthly'!L130</x:f>
        <x:v>1</x:v>
      </x:c>
      <x:c r="K130" s="65" t="n">
        <x:f>'In_Monthly'!J130*G130/1000</x:f>
        <x:v>4998.6991786064455</x:v>
      </x:c>
      <x:c r="L130" s="65" t="n">
        <x:f>'Calc_Case'!E12+'Calc_Case'!F12+'Calc_Case'!G12</x:f>
        <x:v>5192.5837426582</x:v>
      </x:c>
      <x:c r="M130" s="65" t="n">
        <x:f>'Calc_Case'!H12</x:f>
        <x:v>0</x:v>
      </x:c>
      <x:c r="N130" s="65" t="n">
        <x:f>(L130*('In_Cases'!O12-H130)+M130*('In_Cases'!O12-'In_Cases'!U12))*G130*I130/1000</x:f>
        <x:v>0</x:v>
      </x:c>
      <x:c r="O130" s="65" t="str">
        <x:f>IF(N130&lt;=0,"",K130/N130)</x:f>
      </x:c>
      <x:c r="P130" s="65" t="n">
        <x:f>IF(N130&lt;=0,0,IF(ABS(O130-1)&lt;1E-9,'Calc_Case'!N12/('Calc_Case'!N12+1),(1-POWER(O130,'Calc_Case'!N12))/(1-POWER(O130,'Calc_Case'!N12+1))))</x:f>
        <x:v>0</x:v>
      </x:c>
      <x:c r="Q130" s="65" t="n">
        <x:f>IF(N130&lt;=0,0,MAX(0,N130-P130*K130))</x:f>
        <x:v>0</x:v>
      </x:c>
      <x:c r="R130" s="65" t="n">
        <x:f>IF(J130&lt;=0,0,MAX(1E-12,(L130*('In_Cases'!P12-H130)+M130*('In_Cases'!P12-'In_Cases'!V12))*G130*J130/1000))</x:f>
        <x:v>23866.153398005623</x:v>
      </x:c>
      <x:c r="S130" s="65" t="n">
        <x:f>IF(J130&lt;=0,"",K130/R130)</x:f>
        <x:v>0.2094472073167921</x:v>
      </x:c>
      <x:c r="T130" s="65" t="n">
        <x:f>IF(J130&lt;=0,0,IF(ABS(S130-1)&lt;1E-9,'Calc_Case'!N12/('Calc_Case'!N12+1),(1-POWER(S130,-'Calc_Case'!N12))/(1-POWER(S130,-'Calc_Case'!N12-1))))</x:f>
        <x:v>0.20640908530408422</x:v>
      </x:c>
      <x:c r="U130" s="65" t="n">
        <x:f>IF(J130&lt;=0,0,'In_Cases'!Q12*MAX(0,K130-T130*R130))</x:f>
        <x:v>72.5082859971435</x:v>
      </x:c>
      <x:c r="V130" s="65" t="n">
        <x:f>MAX(0,1-I130-J130)</x:f>
        <x:v>0</x:v>
      </x:c>
      <x:c r="W130" s="65" t="n">
        <x:f>'In_Cases'!T12*(H130+'In_Cases'!S12*('In_Cases'!O12-H130))+(1-'In_Cases'!T12)*'In_Cases'!O12</x:f>
        <x:v>19.61638888888889</x:v>
      </x:c>
      <x:c r="X130" s="65" t="n">
        <x:f>'In_Cases'!T12*(H130+'In_Cases'!S12*('In_Cases'!P12-H130))+(1-'In_Cases'!T12)*'In_Cases'!P12</x:f>
        <x:v>19.61638888888889</x:v>
      </x:c>
      <x:c r="Y130" s="65" t="n">
        <x:f>'In_Cases'!T12*(H130+'In_Cases'!S12*((('In_Cases'!O12+'In_Cases'!P12)/2)-H130))+(1-'In_Cases'!T12)*(('In_Cases'!O12+'In_Cases'!P12)/2)</x:f>
        <x:v>19.61638888888889</x:v>
      </x:c>
      <x:c r="Z130" s="65" t="n">
        <x:f>'In_Cases'!R12*M130*('In_Cases'!U12-W130)*G130*I130/1000</x:f>
        <x:v>0</x:v>
      </x:c>
      <x:c r="AA130" s="65" t="n">
        <x:f>'In_Cases'!R12*M130*('In_Cases'!V12-X130)*G130*J130/1000</x:f>
        <x:v>0</x:v>
      </x:c>
      <x:c r="AB130" s="65" t="n">
        <x:f>'In_Cases'!R12*M130*('In_Cases'!V12-Y130)*G130*V130/1000</x:f>
        <x:v>0</x:v>
      </x:c>
      <x:c r="AC130" s="65" t="n">
        <x:f>MAX(0,Z130)+MAX(0,AA130)+MAX(0,AB130)</x:f>
        <x:v>0</x:v>
      </x:c>
      <x:c r="AD130" s="65" t="n">
        <x:f>MAX(0,-Z130)+MAX(0,-AA130)+MAX(0,-AB130)</x:f>
        <x:v>0</x:v>
      </x:c>
      <x:c r="AE130" s="65" t="n">
        <x:f>Q130+AC130</x:f>
        <x:v>0</x:v>
      </x:c>
      <x:c r="AF130" s="65" t="n">
        <x:f>U130+AD130</x:f>
        <x:v>72.5082859971435</x:v>
      </x:c>
    </x:row>
    <x:row r="131">
      <x:c r="A131" s="39" t="str">
        <x:f>'In_Monthly'!A131</x:f>
        <x:v>20|lower</x:v>
      </x:c>
      <x:c r="B131" s="39" t="str">
        <x:f>'In_Monthly'!B131</x:f>
        <x:v>20</x:v>
      </x:c>
      <x:c r="C131" s="39" t="str">
        <x:f>'In_Monthly'!C131</x:f>
        <x:v>Test building 4</x:v>
      </x:c>
      <x:c r="D131" s="39" t="str">
        <x:f>'In_Monthly'!D131</x:f>
        <x:v>lower</x:v>
      </x:c>
      <x:c r="E131" s="39" t="str">
        <x:f>'In_Monthly'!E131</x:f>
        <x:v>2023-10</x:v>
      </x:c>
      <x:c r="F131" s="65" t="n">
        <x:f>'In_Monthly'!F131</x:f>
        <x:v>31</x:v>
      </x:c>
      <x:c r="G131" s="65" t="n">
        <x:f>F131*24</x:f>
        <x:v>744</x:v>
      </x:c>
      <x:c r="H131" s="65" t="n">
        <x:f>'In_Monthly'!G131</x:f>
        <x:v>13.926209677419354</x:v>
      </x:c>
      <x:c r="I131" s="65" t="n">
        <x:f>'In_Monthly'!K131</x:f>
        <x:v>0.5483870967741935</x:v>
      </x:c>
      <x:c r="J131" s="65" t="n">
        <x:f>'In_Monthly'!L131</x:f>
        <x:v>0</x:v>
      </x:c>
      <x:c r="K131" s="65" t="n">
        <x:f>'In_Monthly'!J131*G131/1000</x:f>
        <x:v>3764.849505645782</x:v>
      </x:c>
      <x:c r="L131" s="65" t="n">
        <x:f>'Calc_Case'!E12+'Calc_Case'!F12+'Calc_Case'!G12</x:f>
        <x:v>5192.5837426582</x:v>
      </x:c>
      <x:c r="M131" s="65" t="n">
        <x:f>'Calc_Case'!H12</x:f>
        <x:v>0</x:v>
      </x:c>
      <x:c r="N131" s="65" t="n">
        <x:f>(L131*('In_Cases'!O12-H131)+M131*('In_Cases'!O12-'In_Cases'!U12))*G131*I131/1000</x:f>
        <x:v>12867.775273221561</x:v>
      </x:c>
      <x:c r="O131" s="65" t="n">
        <x:f>IF(N131&lt;=0,"",K131/N131)</x:f>
        <x:v>0.2925796748627254</x:v>
      </x:c>
      <x:c r="P131" s="65" t="n">
        <x:f>IF(N131&lt;=0,0,IF(ABS(O131-1)&lt;1E-9,'Calc_Case'!N12/('Calc_Case'!N12+1),(1-POWER(O131,'Calc_Case'!N12))/(1-POWER(O131,'Calc_Case'!N12+1))))</x:f>
        <x:v>0.9691859320896213</x:v>
      </x:c>
      <x:c r="Q131" s="65" t="n">
        <x:f>IF(N131&lt;=0,0,MAX(0,N131-P131*K131))</x:f>
        <x:v>9218.936095915104</x:v>
      </x:c>
      <x:c r="R131" s="65" t="n">
        <x:f>IF(J131&lt;=0,0,MAX(1E-12,(L131*('In_Cases'!P12-H131)+M131*('In_Cases'!P12-'In_Cases'!V12))*G131*J131/1000))</x:f>
        <x:v>0</x:v>
      </x:c>
      <x:c r="S131" s="65" t="str">
        <x:f>IF(J131&lt;=0,"",K131/R131)</x:f>
      </x:c>
      <x:c r="T131" s="65" t="n">
        <x:f>IF(J131&lt;=0,0,IF(ABS(S131-1)&lt;1E-9,'Calc_Case'!N12/('Calc_Case'!N12+1),(1-POWER(S131,-'Calc_Case'!N12))/(1-POWER(S131,-'Calc_Case'!N12-1))))</x:f>
        <x:v>0</x:v>
      </x:c>
      <x:c r="U131" s="65" t="n">
        <x:f>IF(J131&lt;=0,0,'In_Cases'!Q12*MAX(0,K131-T131*R131))</x:f>
        <x:v>0</x:v>
      </x:c>
      <x:c r="V131" s="65" t="n">
        <x:f>MAX(0,1-I131-J131)</x:f>
        <x:v>0.4516129032258065</x:v>
      </x:c>
      <x:c r="W131" s="65" t="n">
        <x:f>'In_Cases'!T12*(H131+'In_Cases'!S12*('In_Cases'!O12-H131))+(1-'In_Cases'!T12)*'In_Cases'!O12</x:f>
        <x:v>13.926209677419354</x:v>
      </x:c>
      <x:c r="X131" s="65" t="n">
        <x:f>'In_Cases'!T12*(H131+'In_Cases'!S12*('In_Cases'!P12-H131))+(1-'In_Cases'!T12)*'In_Cases'!P12</x:f>
        <x:v>13.926209677419354</x:v>
      </x:c>
      <x:c r="Y131" s="65" t="n">
        <x:f>'In_Cases'!T12*(H131+'In_Cases'!S12*((('In_Cases'!O12+'In_Cases'!P12)/2)-H131))+(1-'In_Cases'!T12)*(('In_Cases'!O12+'In_Cases'!P12)/2)</x:f>
        <x:v>13.926209677419354</x:v>
      </x:c>
      <x:c r="Z131" s="65" t="n">
        <x:f>'In_Cases'!R12*M131*('In_Cases'!U12-W131)*G131*I131/1000</x:f>
        <x:v>0</x:v>
      </x:c>
      <x:c r="AA131" s="65" t="n">
        <x:f>'In_Cases'!R12*M131*('In_Cases'!V12-X131)*G131*J131/1000</x:f>
        <x:v>0</x:v>
      </x:c>
      <x:c r="AB131" s="65" t="n">
        <x:f>'In_Cases'!R12*M131*('In_Cases'!V12-Y131)*G131*V131/1000</x:f>
        <x:v>0</x:v>
      </x:c>
      <x:c r="AC131" s="65" t="n">
        <x:f>MAX(0,Z131)+MAX(0,AA131)+MAX(0,AB131)</x:f>
        <x:v>0</x:v>
      </x:c>
      <x:c r="AD131" s="65" t="n">
        <x:f>MAX(0,-Z131)+MAX(0,-AA131)+MAX(0,-AB131)</x:f>
        <x:v>0</x:v>
      </x:c>
      <x:c r="AE131" s="65" t="n">
        <x:f>Q131+AC131</x:f>
        <x:v>9218.936095915104</x:v>
      </x:c>
      <x:c r="AF131" s="65" t="n">
        <x:f>U131+AD131</x:f>
        <x:v>0</x:v>
      </x:c>
    </x:row>
    <x:row r="132">
      <x:c r="A132" s="39" t="str">
        <x:f>'In_Monthly'!A132</x:f>
        <x:v>20|lower</x:v>
      </x:c>
      <x:c r="B132" s="39" t="str">
        <x:f>'In_Monthly'!B132</x:f>
        <x:v>20</x:v>
      </x:c>
      <x:c r="C132" s="39" t="str">
        <x:f>'In_Monthly'!C132</x:f>
        <x:v>Test building 4</x:v>
      </x:c>
      <x:c r="D132" s="39" t="str">
        <x:f>'In_Monthly'!D132</x:f>
        <x:v>lower</x:v>
      </x:c>
      <x:c r="E132" s="39" t="str">
        <x:f>'In_Monthly'!E132</x:f>
        <x:v>2023-11</x:v>
      </x:c>
      <x:c r="F132" s="65" t="n">
        <x:f>'In_Monthly'!F132</x:f>
        <x:v>30</x:v>
      </x:c>
      <x:c r="G132" s="65" t="n">
        <x:f>F132*24</x:f>
        <x:v>720</x:v>
      </x:c>
      <x:c r="H132" s="65" t="n">
        <x:f>'In_Monthly'!G132</x:f>
        <x:v>8.68388888888889</x:v>
      </x:c>
      <x:c r="I132" s="65" t="n">
        <x:f>'In_Monthly'!K132</x:f>
        <x:v>1</x:v>
      </x:c>
      <x:c r="J132" s="65" t="n">
        <x:f>'In_Monthly'!L132</x:f>
        <x:v>0</x:v>
      </x:c>
      <x:c r="K132" s="65" t="n">
        <x:f>'In_Monthly'!J132*G132/1000</x:f>
        <x:v>2283.8253790738977</x:v>
      </x:c>
      <x:c r="L132" s="65" t="n">
        <x:f>'Calc_Case'!E12+'Calc_Case'!F12+'Calc_Case'!G12</x:f>
        <x:v>5192.5837426582</x:v>
      </x:c>
      <x:c r="M132" s="65" t="n">
        <x:f>'Calc_Case'!H12</x:f>
        <x:v>0</x:v>
      </x:c>
      <x:c r="N132" s="65" t="n">
        <x:f>(L132*('In_Cases'!O12-H132)+M132*('In_Cases'!O12-'In_Cases'!U12))*G132*I132/1000</x:f>
        <x:v>42307.09530168195</x:v>
      </x:c>
      <x:c r="O132" s="65" t="n">
        <x:f>IF(N132&lt;=0,"",K132/N132)</x:f>
        <x:v>0.053982088885764334</x:v>
      </x:c>
      <x:c r="P132" s="65" t="n">
        <x:f>IF(N132&lt;=0,0,IF(ABS(O132-1)&lt;1E-9,'Calc_Case'!N12/('Calc_Case'!N12+1),(1-POWER(O132,'Calc_Case'!N12))/(1-POWER(O132,'Calc_Case'!N12+1))))</x:f>
        <x:v>0.9994624235821925</x:v>
      </x:c>
      <x:c r="Q132" s="65" t="n">
        <x:f>IF(N132&lt;=0,0,MAX(0,N132-P132*K132))</x:f>
        <x:v>40024.49765327423</x:v>
      </x:c>
      <x:c r="R132" s="65" t="n">
        <x:f>IF(J132&lt;=0,0,MAX(1E-12,(L132*('In_Cases'!P12-H132)+M132*('In_Cases'!P12-'In_Cases'!V12))*G132*J132/1000))</x:f>
        <x:v>0</x:v>
      </x:c>
      <x:c r="S132" s="65" t="str">
        <x:f>IF(J132&lt;=0,"",K132/R132)</x:f>
      </x:c>
      <x:c r="T132" s="65" t="n">
        <x:f>IF(J132&lt;=0,0,IF(ABS(S132-1)&lt;1E-9,'Calc_Case'!N12/('Calc_Case'!N12+1),(1-POWER(S132,-'Calc_Case'!N12))/(1-POWER(S132,-'Calc_Case'!N12-1))))</x:f>
        <x:v>0</x:v>
      </x:c>
      <x:c r="U132" s="65" t="n">
        <x:f>IF(J132&lt;=0,0,'In_Cases'!Q12*MAX(0,K132-T132*R132))</x:f>
        <x:v>0</x:v>
      </x:c>
      <x:c r="V132" s="65" t="n">
        <x:f>MAX(0,1-I132-J132)</x:f>
        <x:v>0</x:v>
      </x:c>
      <x:c r="W132" s="65" t="n">
        <x:f>'In_Cases'!T12*(H132+'In_Cases'!S12*('In_Cases'!O12-H132))+(1-'In_Cases'!T12)*'In_Cases'!O12</x:f>
        <x:v>8.68388888888889</x:v>
      </x:c>
      <x:c r="X132" s="65" t="n">
        <x:f>'In_Cases'!T12*(H132+'In_Cases'!S12*('In_Cases'!P12-H132))+(1-'In_Cases'!T12)*'In_Cases'!P12</x:f>
        <x:v>8.68388888888889</x:v>
      </x:c>
      <x:c r="Y132" s="65" t="n">
        <x:f>'In_Cases'!T12*(H132+'In_Cases'!S12*((('In_Cases'!O12+'In_Cases'!P12)/2)-H132))+(1-'In_Cases'!T12)*(('In_Cases'!O12+'In_Cases'!P12)/2)</x:f>
        <x:v>8.68388888888889</x:v>
      </x:c>
      <x:c r="Z132" s="65" t="n">
        <x:f>'In_Cases'!R12*M132*('In_Cases'!U12-W132)*G132*I132/1000</x:f>
        <x:v>0</x:v>
      </x:c>
      <x:c r="AA132" s="65" t="n">
        <x:f>'In_Cases'!R12*M132*('In_Cases'!V12-X132)*G132*J132/1000</x:f>
        <x:v>0</x:v>
      </x:c>
      <x:c r="AB132" s="65" t="n">
        <x:f>'In_Cases'!R12*M132*('In_Cases'!V12-Y132)*G132*V132/1000</x:f>
        <x:v>0</x:v>
      </x:c>
      <x:c r="AC132" s="65" t="n">
        <x:f>MAX(0,Z132)+MAX(0,AA132)+MAX(0,AB132)</x:f>
        <x:v>0</x:v>
      </x:c>
      <x:c r="AD132" s="65" t="n">
        <x:f>MAX(0,-Z132)+MAX(0,-AA132)+MAX(0,-AB132)</x:f>
        <x:v>0</x:v>
      </x:c>
      <x:c r="AE132" s="65" t="n">
        <x:f>Q132+AC132</x:f>
        <x:v>40024.49765327423</x:v>
      </x:c>
      <x:c r="AF132" s="65" t="n">
        <x:f>U132+AD132</x:f>
        <x:v>0</x:v>
      </x:c>
    </x:row>
    <x:row r="133">
      <x:c r="A133" s="39" t="str">
        <x:f>'In_Monthly'!A133</x:f>
        <x:v>20|lower</x:v>
      </x:c>
      <x:c r="B133" s="39" t="str">
        <x:f>'In_Monthly'!B133</x:f>
        <x:v>20</x:v>
      </x:c>
      <x:c r="C133" s="39" t="str">
        <x:f>'In_Monthly'!C133</x:f>
        <x:v>Test building 4</x:v>
      </x:c>
      <x:c r="D133" s="39" t="str">
        <x:f>'In_Monthly'!D133</x:f>
        <x:v>lower</x:v>
      </x:c>
      <x:c r="E133" s="39" t="str">
        <x:f>'In_Monthly'!E133</x:f>
        <x:v>2023-12</x:v>
      </x:c>
      <x:c r="F133" s="65" t="n">
        <x:f>'In_Monthly'!F133</x:f>
        <x:v>31</x:v>
      </x:c>
      <x:c r="G133" s="65" t="n">
        <x:f>F133*24</x:f>
        <x:v>744</x:v>
      </x:c>
      <x:c r="H133" s="65" t="n">
        <x:f>'In_Monthly'!G133</x:f>
        <x:v>3.9963709677419357</x:v>
      </x:c>
      <x:c r="I133" s="65" t="n">
        <x:f>'In_Monthly'!K133</x:f>
        <x:v>1</x:v>
      </x:c>
      <x:c r="J133" s="65" t="n">
        <x:f>'In_Monthly'!L133</x:f>
        <x:v>0</x:v>
      </x:c>
      <x:c r="K133" s="65" t="n">
        <x:f>'In_Monthly'!J133*G133/1000</x:f>
        <x:v>2133.1908357349216</x:v>
      </x:c>
      <x:c r="L133" s="65" t="n">
        <x:f>'Calc_Case'!E12+'Calc_Case'!F12+'Calc_Case'!G12</x:f>
        <x:v>5192.5837426582</x:v>
      </x:c>
      <x:c r="M133" s="65" t="n">
        <x:f>'Calc_Case'!H12</x:f>
        <x:v>0</x:v>
      </x:c>
      <x:c r="N133" s="65" t="n">
        <x:f>(L133*('In_Cases'!O12-H133)+M133*('In_Cases'!O12-'In_Cases'!U12))*G133*I133/1000</x:f>
        <x:v>61826.53684870839</x:v>
      </x:c>
      <x:c r="O133" s="65" t="n">
        <x:f>IF(N133&lt;=0,"",K133/N133)</x:f>
        <x:v>0.03450283558587328</x:v>
      </x:c>
      <x:c r="P133" s="65" t="n">
        <x:f>IF(N133&lt;=0,0,IF(ABS(O133-1)&lt;1E-9,'Calc_Case'!N12/('Calc_Case'!N12+1),(1-POWER(O133,'Calc_Case'!N12))/(1-POWER(O133,'Calc_Case'!N12+1))))</x:f>
        <x:v>0.9998255682874212</x:v>
      </x:c>
      <x:c r="Q133" s="65" t="n">
        <x:f>IF(N133&lt;=0,0,MAX(0,N133-P133*K133))</x:f>
        <x:v>59693.7181091042</x:v>
      </x:c>
      <x:c r="R133" s="65" t="n">
        <x:f>IF(J133&lt;=0,0,MAX(1E-12,(L133*('In_Cases'!P12-H133)+M133*('In_Cases'!P12-'In_Cases'!V12))*G133*J133/1000))</x:f>
        <x:v>0</x:v>
      </x:c>
      <x:c r="S133" s="65" t="str">
        <x:f>IF(J133&lt;=0,"",K133/R133)</x:f>
      </x:c>
      <x:c r="T133" s="65" t="n">
        <x:f>IF(J133&lt;=0,0,IF(ABS(S133-1)&lt;1E-9,'Calc_Case'!N12/('Calc_Case'!N12+1),(1-POWER(S133,-'Calc_Case'!N12))/(1-POWER(S133,-'Calc_Case'!N12-1))))</x:f>
        <x:v>0</x:v>
      </x:c>
      <x:c r="U133" s="65" t="n">
        <x:f>IF(J133&lt;=0,0,'In_Cases'!Q12*MAX(0,K133-T133*R133))</x:f>
        <x:v>0</x:v>
      </x:c>
      <x:c r="V133" s="65" t="n">
        <x:f>MAX(0,1-I133-J133)</x:f>
        <x:v>0</x:v>
      </x:c>
      <x:c r="W133" s="65" t="n">
        <x:f>'In_Cases'!T12*(H133+'In_Cases'!S12*('In_Cases'!O12-H133))+(1-'In_Cases'!T12)*'In_Cases'!O12</x:f>
        <x:v>3.9963709677419357</x:v>
      </x:c>
      <x:c r="X133" s="65" t="n">
        <x:f>'In_Cases'!T12*(H133+'In_Cases'!S12*('In_Cases'!P12-H133))+(1-'In_Cases'!T12)*'In_Cases'!P12</x:f>
        <x:v>3.9963709677419357</x:v>
      </x:c>
      <x:c r="Y133" s="65" t="n">
        <x:f>'In_Cases'!T12*(H133+'In_Cases'!S12*((('In_Cases'!O12+'In_Cases'!P12)/2)-H133))+(1-'In_Cases'!T12)*(('In_Cases'!O12+'In_Cases'!P12)/2)</x:f>
        <x:v>3.9963709677419357</x:v>
      </x:c>
      <x:c r="Z133" s="65" t="n">
        <x:f>'In_Cases'!R12*M133*('In_Cases'!U12-W133)*G133*I133/1000</x:f>
        <x:v>0</x:v>
      </x:c>
      <x:c r="AA133" s="65" t="n">
        <x:f>'In_Cases'!R12*M133*('In_Cases'!V12-X133)*G133*J133/1000</x:f>
        <x:v>0</x:v>
      </x:c>
      <x:c r="AB133" s="65" t="n">
        <x:f>'In_Cases'!R12*M133*('In_Cases'!V12-Y133)*G133*V133/1000</x:f>
        <x:v>0</x:v>
      </x:c>
      <x:c r="AC133" s="65" t="n">
        <x:f>MAX(0,Z133)+MAX(0,AA133)+MAX(0,AB133)</x:f>
        <x:v>0</x:v>
      </x:c>
      <x:c r="AD133" s="65" t="n">
        <x:f>MAX(0,-Z133)+MAX(0,-AA133)+MAX(0,-AB133)</x:f>
        <x:v>0</x:v>
      </x:c>
      <x:c r="AE133" s="65" t="n">
        <x:f>Q133+AC133</x:f>
        <x:v>59693.7181091042</x:v>
      </x:c>
      <x:c r="AF133" s="65" t="n">
        <x:f>U133+AD133</x:f>
        <x:v>0</x:v>
      </x:c>
    </x:row>
    <x:row r="134">
      <x:c r="A134" s="39" t="str">
        <x:f>'In_Monthly'!A134</x:f>
        <x:v>20|upper</x:v>
      </x:c>
      <x:c r="B134" s="39" t="str">
        <x:f>'In_Monthly'!B134</x:f>
        <x:v>20</x:v>
      </x:c>
      <x:c r="C134" s="39" t="str">
        <x:f>'In_Monthly'!C134</x:f>
        <x:v>Test building 4</x:v>
      </x:c>
      <x:c r="D134" s="39" t="str">
        <x:f>'In_Monthly'!D134</x:f>
        <x:v>upper</x:v>
      </x:c>
      <x:c r="E134" s="39" t="str">
        <x:f>'In_Monthly'!E134</x:f>
        <x:v>2023-01</x:v>
      </x:c>
      <x:c r="F134" s="65" t="n">
        <x:f>'In_Monthly'!F134</x:f>
        <x:v>31</x:v>
      </x:c>
      <x:c r="G134" s="65" t="n">
        <x:f>F134*24</x:f>
        <x:v>744</x:v>
      </x:c>
      <x:c r="H134" s="65" t="n">
        <x:f>'In_Monthly'!G134</x:f>
        <x:v>2.638440860215054</x:v>
      </x:c>
      <x:c r="I134" s="65" t="n">
        <x:f>'In_Monthly'!K134</x:f>
        <x:v>1</x:v>
      </x:c>
      <x:c r="J134" s="65" t="n">
        <x:f>'In_Monthly'!L134</x:f>
        <x:v>0</x:v>
      </x:c>
      <x:c r="K134" s="65" t="n">
        <x:f>'In_Monthly'!J134*G134/1000</x:f>
        <x:v>12966.489293779214</x:v>
      </x:c>
      <x:c r="L134" s="65" t="n">
        <x:f>'Calc_Case'!E13+'Calc_Case'!F13+'Calc_Case'!G13</x:f>
        <x:v>11006.342102879371</x:v>
      </x:c>
      <x:c r="M134" s="65" t="n">
        <x:f>'Calc_Case'!H13</x:f>
        <x:v>11362.419214453124</x:v>
      </x:c>
      <x:c r="N134" s="65" t="n">
        <x:f>(L134*('In_Cases'!O13-H134)+M134*('In_Cases'!O13-'In_Cases'!U13))*G134*I134/1000</x:f>
        <x:v>125261.64115178656</x:v>
      </x:c>
      <x:c r="O134" s="65" t="n">
        <x:f>IF(N134&lt;=0,"",K134/N134)</x:f>
        <x:v>0.10351524356979318</x:v>
      </x:c>
      <x:c r="P134" s="65" t="n">
        <x:f>IF(N134&lt;=0,0,IF(ABS(O134-1)&lt;1E-9,'Calc_Case'!N13/('Calc_Case'!N13+1),(1-POWER(O134,'Calc_Case'!N13))/(1-POWER(O134,'Calc_Case'!N13+1))))</x:f>
        <x:v>0.9995121049126582</x:v>
      </x:c>
      <x:c r="Q134" s="65" t="n">
        <x:f>IF(N134&lt;=0,0,MAX(0,N134-P134*K134))</x:f>
        <x:v>112301.47814443386</x:v>
      </x:c>
      <x:c r="R134" s="65" t="n">
        <x:f>IF(J134&lt;=0,0,MAX(1E-12,(L134*('In_Cases'!P13-H134)+M134*('In_Cases'!P13-'In_Cases'!V13))*G134*J134/1000))</x:f>
        <x:v>0</x:v>
      </x:c>
      <x:c r="S134" s="65" t="str">
        <x:f>IF(J134&lt;=0,"",K134/R134)</x:f>
      </x:c>
      <x:c r="T134" s="65" t="n">
        <x:f>IF(J134&lt;=0,0,IF(ABS(S134-1)&lt;1E-9,'Calc_Case'!N13/('Calc_Case'!N13+1),(1-POWER(S134,-'Calc_Case'!N13))/(1-POWER(S134,-'Calc_Case'!N13-1))))</x:f>
        <x:v>0</x:v>
      </x:c>
      <x:c r="U134" s="65" t="n">
        <x:f>IF(J134&lt;=0,0,'In_Cases'!Q13*MAX(0,K134-T134*R134))</x:f>
        <x:v>0</x:v>
      </x:c>
      <x:c r="V134" s="65" t="n">
        <x:f>MAX(0,1-I134-J134)</x:f>
        <x:v>0</x:v>
      </x:c>
      <x:c r="W134" s="65" t="n">
        <x:f>'In_Cases'!T13*(H134+'In_Cases'!S13*('In_Cases'!O13-H134))+(1-'In_Cases'!T13)*'In_Cases'!O13</x:f>
        <x:v>13.05537634408602</x:v>
      </x:c>
      <x:c r="X134" s="65" t="n">
        <x:f>'In_Cases'!T13*(H134+'In_Cases'!S13*('In_Cases'!P13-H134))+(1-'In_Cases'!T13)*'In_Cases'!P13</x:f>
        <x:v>16.655376344086022</x:v>
      </x:c>
      <x:c r="Y134" s="65" t="n">
        <x:f>'In_Cases'!T13*(H134+'In_Cases'!S13*((('In_Cases'!O13+'In_Cases'!P13)/2)-H134))+(1-'In_Cases'!T13)*(('In_Cases'!O13+'In_Cases'!P13)/2)</x:f>
        <x:v>14.85537634408602</x:v>
      </x:c>
      <x:c r="Z134" s="65" t="n">
        <x:f>'In_Cases'!R13*M134*('In_Cases'!U13-W134)*G134*I134/1000</x:f>
        <x:v>75614.62738834265</x:v>
      </x:c>
      <x:c r="AA134" s="65" t="n">
        <x:f>'In_Cases'!R13*M134*('In_Cases'!V13-X134)*G134*J134/1000</x:f>
        <x:v>0</x:v>
      </x:c>
      <x:c r="AB134" s="65" t="n">
        <x:f>'In_Cases'!R13*M134*('In_Cases'!V13-Y134)*G134*V134/1000</x:f>
        <x:v>0</x:v>
      </x:c>
      <x:c r="AC134" s="65" t="n">
        <x:f>MAX(0,Z134)+MAX(0,AA134)+MAX(0,AB134)</x:f>
        <x:v>75614.62738834265</x:v>
      </x:c>
      <x:c r="AD134" s="65" t="n">
        <x:f>MAX(0,-Z134)+MAX(0,-AA134)+MAX(0,-AB134)</x:f>
        <x:v>0</x:v>
      </x:c>
      <x:c r="AE134" s="65" t="n">
        <x:f>Q134+AC134</x:f>
        <x:v>187916.1055327765</x:v>
      </x:c>
      <x:c r="AF134" s="65" t="n">
        <x:f>U134+AD134</x:f>
        <x:v>0</x:v>
      </x:c>
    </x:row>
    <x:row r="135">
      <x:c r="A135" s="39" t="str">
        <x:f>'In_Monthly'!A135</x:f>
        <x:v>20|upper</x:v>
      </x:c>
      <x:c r="B135" s="39" t="str">
        <x:f>'In_Monthly'!B135</x:f>
        <x:v>20</x:v>
      </x:c>
      <x:c r="C135" s="39" t="str">
        <x:f>'In_Monthly'!C135</x:f>
        <x:v>Test building 4</x:v>
      </x:c>
      <x:c r="D135" s="39" t="str">
        <x:f>'In_Monthly'!D135</x:f>
        <x:v>upper</x:v>
      </x:c>
      <x:c r="E135" s="39" t="str">
        <x:f>'In_Monthly'!E135</x:f>
        <x:v>2023-02</x:v>
      </x:c>
      <x:c r="F135" s="65" t="n">
        <x:f>'In_Monthly'!F135</x:f>
        <x:v>28</x:v>
      </x:c>
      <x:c r="G135" s="65" t="n">
        <x:f>F135*24</x:f>
        <x:v>672</x:v>
      </x:c>
      <x:c r="H135" s="65" t="n">
        <x:f>'In_Monthly'!G135</x:f>
        <x:v>3.8903273809523813</x:v>
      </x:c>
      <x:c r="I135" s="65" t="n">
        <x:f>'In_Monthly'!K135</x:f>
        <x:v>1</x:v>
      </x:c>
      <x:c r="J135" s="65" t="n">
        <x:f>'In_Monthly'!L135</x:f>
        <x:v>0</x:v>
      </x:c>
      <x:c r="K135" s="65" t="n">
        <x:f>'In_Monthly'!J135*G135/1000</x:f>
        <x:v>15033.364098970782</x:v>
      </x:c>
      <x:c r="L135" s="65" t="n">
        <x:f>'Calc_Case'!E13+'Calc_Case'!F13+'Calc_Case'!G13</x:f>
        <x:v>11006.342102879371</x:v>
      </x:c>
      <x:c r="M135" s="65" t="n">
        <x:f>'Calc_Case'!H13</x:f>
        <x:v>11362.419214453124</x:v>
      </x:c>
      <x:c r="N135" s="65" t="n">
        <x:f>(L135*('In_Cases'!O13-H135)+M135*('In_Cases'!O13-'In_Cases'!U13))*G135*I135/1000</x:f>
        <x:v>103880.26627891621</x:v>
      </x:c>
      <x:c r="O135" s="65" t="n">
        <x:f>IF(N135&lt;=0,"",K135/N135)</x:f>
        <x:v>0.1447181898687719</x:v>
      </x:c>
      <x:c r="P135" s="65" t="n">
        <x:f>IF(N135&lt;=0,0,IF(ABS(O135-1)&lt;1E-9,'Calc_Case'!N13/('Calc_Case'!N13+1),(1-POWER(O135,'Calc_Case'!N13))/(1-POWER(O135,'Calc_Case'!N13+1))))</x:f>
        <x:v>0.9985867585953533</x:v>
      </x:c>
      <x:c r="Q135" s="65" t="n">
        <x:f>IF(N135&lt;=0,0,MAX(0,N135-P135*K135))</x:f>
        <x:v>88868.14795254123</x:v>
      </x:c>
      <x:c r="R135" s="65" t="n">
        <x:f>IF(J135&lt;=0,0,MAX(1E-12,(L135*('In_Cases'!P13-H135)+M135*('In_Cases'!P13-'In_Cases'!V13))*G135*J135/1000))</x:f>
        <x:v>0</x:v>
      </x:c>
      <x:c r="S135" s="65" t="str">
        <x:f>IF(J135&lt;=0,"",K135/R135)</x:f>
      </x:c>
      <x:c r="T135" s="65" t="n">
        <x:f>IF(J135&lt;=0,0,IF(ABS(S135-1)&lt;1E-9,'Calc_Case'!N13/('Calc_Case'!N13+1),(1-POWER(S135,-'Calc_Case'!N13))/(1-POWER(S135,-'Calc_Case'!N13-1))))</x:f>
        <x:v>0</x:v>
      </x:c>
      <x:c r="U135" s="65" t="n">
        <x:f>IF(J135&lt;=0,0,'In_Cases'!Q13*MAX(0,K135-T135*R135))</x:f>
        <x:v>0</x:v>
      </x:c>
      <x:c r="V135" s="65" t="n">
        <x:f>MAX(0,1-I135-J135)</x:f>
        <x:v>0</x:v>
      </x:c>
      <x:c r="W135" s="65" t="n">
        <x:f>'In_Cases'!T13*(H135+'In_Cases'!S13*('In_Cases'!O13-H135))+(1-'In_Cases'!T13)*'In_Cases'!O13</x:f>
        <x:v>13.556130952380952</x:v>
      </x:c>
      <x:c r="X135" s="65" t="n">
        <x:f>'In_Cases'!T13*(H135+'In_Cases'!S13*('In_Cases'!P13-H135))+(1-'In_Cases'!T13)*'In_Cases'!P13</x:f>
        <x:v>17.156130952380952</x:v>
      </x:c>
      <x:c r="Y135" s="65" t="n">
        <x:f>'In_Cases'!T13*(H135+'In_Cases'!S13*((('In_Cases'!O13+'In_Cases'!P13)/2)-H135))+(1-'In_Cases'!T13)*(('In_Cases'!O13+'In_Cases'!P13)/2)</x:f>
        <x:v>15.356130952380953</x:v>
      </x:c>
      <x:c r="Z135" s="65" t="n">
        <x:f>'In_Cases'!R13*M135*('In_Cases'!U13-W135)*G135*I135/1000</x:f>
        <x:v>64473.54810018708</x:v>
      </x:c>
      <x:c r="AA135" s="65" t="n">
        <x:f>'In_Cases'!R13*M135*('In_Cases'!V13-X135)*G135*J135/1000</x:f>
        <x:v>0</x:v>
      </x:c>
      <x:c r="AB135" s="65" t="n">
        <x:f>'In_Cases'!R13*M135*('In_Cases'!V13-Y135)*G135*V135/1000</x:f>
        <x:v>0</x:v>
      </x:c>
      <x:c r="AC135" s="65" t="n">
        <x:f>MAX(0,Z135)+MAX(0,AA135)+MAX(0,AB135)</x:f>
        <x:v>64473.54810018708</x:v>
      </x:c>
      <x:c r="AD135" s="65" t="n">
        <x:f>MAX(0,-Z135)+MAX(0,-AA135)+MAX(0,-AB135)</x:f>
        <x:v>0</x:v>
      </x:c>
      <x:c r="AE135" s="65" t="n">
        <x:f>Q135+AC135</x:f>
        <x:v>153341.6960527283</x:v>
      </x:c>
      <x:c r="AF135" s="65" t="n">
        <x:f>U135+AD135</x:f>
        <x:v>0</x:v>
      </x:c>
    </x:row>
    <x:row r="136">
      <x:c r="A136" s="39" t="str">
        <x:f>'In_Monthly'!A136</x:f>
        <x:v>20|upper</x:v>
      </x:c>
      <x:c r="B136" s="39" t="str">
        <x:f>'In_Monthly'!B136</x:f>
        <x:v>20</x:v>
      </x:c>
      <x:c r="C136" s="39" t="str">
        <x:f>'In_Monthly'!C136</x:f>
        <x:v>Test building 4</x:v>
      </x:c>
      <x:c r="D136" s="39" t="str">
        <x:f>'In_Monthly'!D136</x:f>
        <x:v>upper</x:v>
      </x:c>
      <x:c r="E136" s="39" t="str">
        <x:f>'In_Monthly'!E136</x:f>
        <x:v>2023-03</x:v>
      </x:c>
      <x:c r="F136" s="65" t="n">
        <x:f>'In_Monthly'!F136</x:f>
        <x:v>31</x:v>
      </x:c>
      <x:c r="G136" s="65" t="n">
        <x:f>F136*24</x:f>
        <x:v>744</x:v>
      </x:c>
      <x:c r="H136" s="65" t="n">
        <x:f>'In_Monthly'!G136</x:f>
        <x:v>7.746908602150539</x:v>
      </x:c>
      <x:c r="I136" s="65" t="n">
        <x:f>'In_Monthly'!K136</x:f>
        <x:v>1</x:v>
      </x:c>
      <x:c r="J136" s="65" t="n">
        <x:f>'In_Monthly'!L136</x:f>
        <x:v>0</x:v>
      </x:c>
      <x:c r="K136" s="65" t="n">
        <x:f>'In_Monthly'!J136*G136/1000</x:f>
        <x:v>29892.605272595345</x:v>
      </x:c>
      <x:c r="L136" s="65" t="n">
        <x:f>'Calc_Case'!E13+'Calc_Case'!F13+'Calc_Case'!G13</x:f>
        <x:v>11006.342102879371</x:v>
      </x:c>
      <x:c r="M136" s="65" t="n">
        <x:f>'Calc_Case'!H13</x:f>
        <x:v>11362.419214453124</x:v>
      </x:c>
      <x:c r="N136" s="65" t="n">
        <x:f>(L136*('In_Cases'!O13-H136)+M136*('In_Cases'!O13-'In_Cases'!U13))*G136*I136/1000</x:f>
        <x:v>83429.83672137295</x:v>
      </x:c>
      <x:c r="O136" s="65" t="n">
        <x:f>IF(N136&lt;=0,"",K136/N136)</x:f>
        <x:v>0.35829634154057377</x:v>
      </x:c>
      <x:c r="P136" s="65" t="n">
        <x:f>IF(N136&lt;=0,0,IF(ABS(O136-1)&lt;1E-9,'Calc_Case'!N13/('Calc_Case'!N13+1),(1-POWER(O136,'Calc_Case'!N13))/(1-POWER(O136,'Calc_Case'!N13+1))))</x:f>
        <x:v>0.9783565581159778</x:v>
      </x:c>
      <x:c r="Q136" s="65" t="n">
        <x:f>IF(N136&lt;=0,0,MAX(0,N136-P136*K136))</x:f>
        <x:v>54184.21031375704</x:v>
      </x:c>
      <x:c r="R136" s="65" t="n">
        <x:f>IF(J136&lt;=0,0,MAX(1E-12,(L136*('In_Cases'!P13-H136)+M136*('In_Cases'!P13-'In_Cases'!V13))*G136*J136/1000))</x:f>
        <x:v>0</x:v>
      </x:c>
      <x:c r="S136" s="65" t="str">
        <x:f>IF(J136&lt;=0,"",K136/R136)</x:f>
      </x:c>
      <x:c r="T136" s="65" t="n">
        <x:f>IF(J136&lt;=0,0,IF(ABS(S136-1)&lt;1E-9,'Calc_Case'!N13/('Calc_Case'!N13+1),(1-POWER(S136,-'Calc_Case'!N13))/(1-POWER(S136,-'Calc_Case'!N13-1))))</x:f>
        <x:v>0</x:v>
      </x:c>
      <x:c r="U136" s="65" t="n">
        <x:f>IF(J136&lt;=0,0,'In_Cases'!Q13*MAX(0,K136-T136*R136))</x:f>
        <x:v>0</x:v>
      </x:c>
      <x:c r="V136" s="65" t="n">
        <x:f>MAX(0,1-I136-J136)</x:f>
        <x:v>0</x:v>
      </x:c>
      <x:c r="W136" s="65" t="n">
        <x:f>'In_Cases'!T13*(H136+'In_Cases'!S13*('In_Cases'!O13-H136))+(1-'In_Cases'!T13)*'In_Cases'!O13</x:f>
        <x:v>15.098763440860214</x:v>
      </x:c>
      <x:c r="X136" s="65" t="n">
        <x:f>'In_Cases'!T13*(H136+'In_Cases'!S13*('In_Cases'!P13-H136))+(1-'In_Cases'!T13)*'In_Cases'!P13</x:f>
        <x:v>18.698763440860212</x:v>
      </x:c>
      <x:c r="Y136" s="65" t="n">
        <x:f>'In_Cases'!T13*(H136+'In_Cases'!S13*((('In_Cases'!O13+'In_Cases'!P13)/2)-H136))+(1-'In_Cases'!T13)*(('In_Cases'!O13+'In_Cases'!P13)/2)</x:f>
        <x:v>16.898763440860215</x:v>
      </x:c>
      <x:c r="Z136" s="65" t="n">
        <x:f>'In_Cases'!R13*M136*('In_Cases'!U13-W136)*G136*I136/1000</x:f>
        <x:v>58340.568704993864</x:v>
      </x:c>
      <x:c r="AA136" s="65" t="n">
        <x:f>'In_Cases'!R13*M136*('In_Cases'!V13-X136)*G136*J136/1000</x:f>
        <x:v>0</x:v>
      </x:c>
      <x:c r="AB136" s="65" t="n">
        <x:f>'In_Cases'!R13*M136*('In_Cases'!V13-Y136)*G136*V136/1000</x:f>
        <x:v>0</x:v>
      </x:c>
      <x:c r="AC136" s="65" t="n">
        <x:f>MAX(0,Z136)+MAX(0,AA136)+MAX(0,AB136)</x:f>
        <x:v>58340.568704993864</x:v>
      </x:c>
      <x:c r="AD136" s="65" t="n">
        <x:f>MAX(0,-Z136)+MAX(0,-AA136)+MAX(0,-AB136)</x:f>
        <x:v>0</x:v>
      </x:c>
      <x:c r="AE136" s="65" t="n">
        <x:f>Q136+AC136</x:f>
        <x:v>112524.77901875091</x:v>
      </x:c>
      <x:c r="AF136" s="65" t="n">
        <x:f>U136+AD136</x:f>
        <x:v>0</x:v>
      </x:c>
    </x:row>
    <x:row r="137">
      <x:c r="A137" s="39" t="str">
        <x:f>'In_Monthly'!A137</x:f>
        <x:v>20|upper</x:v>
      </x:c>
      <x:c r="B137" s="39" t="str">
        <x:f>'In_Monthly'!B137</x:f>
        <x:v>20</x:v>
      </x:c>
      <x:c r="C137" s="39" t="str">
        <x:f>'In_Monthly'!C137</x:f>
        <x:v>Test building 4</x:v>
      </x:c>
      <x:c r="D137" s="39" t="str">
        <x:f>'In_Monthly'!D137</x:f>
        <x:v>upper</x:v>
      </x:c>
      <x:c r="E137" s="39" t="str">
        <x:f>'In_Monthly'!E137</x:f>
        <x:v>2023-04</x:v>
      </x:c>
      <x:c r="F137" s="65" t="n">
        <x:f>'In_Monthly'!F137</x:f>
        <x:v>30</x:v>
      </x:c>
      <x:c r="G137" s="65" t="n">
        <x:f>F137*24</x:f>
        <x:v>720</x:v>
      </x:c>
      <x:c r="H137" s="65" t="n">
        <x:f>'In_Monthly'!G137</x:f>
        <x:v>12.03041666666667</x:v>
      </x:c>
      <x:c r="I137" s="65" t="n">
        <x:f>'In_Monthly'!K137</x:f>
        <x:v>1</x:v>
      </x:c>
      <x:c r="J137" s="65" t="n">
        <x:f>'In_Monthly'!L137</x:f>
        <x:v>0</x:v>
      </x:c>
      <x:c r="K137" s="65" t="n">
        <x:f>'In_Monthly'!J137*G137/1000</x:f>
        <x:v>37152.04158946588</x:v>
      </x:c>
      <x:c r="L137" s="65" t="n">
        <x:f>'Calc_Case'!E13+'Calc_Case'!F13+'Calc_Case'!G13</x:f>
        <x:v>11006.342102879371</x:v>
      </x:c>
      <x:c r="M137" s="65" t="n">
        <x:f>'Calc_Case'!H13</x:f>
        <x:v>11362.419214453124</x:v>
      </x:c>
      <x:c r="N137" s="65" t="n">
        <x:f>(L137*('In_Cases'!O13-H137)+M137*('In_Cases'!O13-'In_Cases'!U13))*G137*I137/1000</x:f>
        <x:v>46793.60795171959</x:v>
      </x:c>
      <x:c r="O137" s="65" t="n">
        <x:f>IF(N137&lt;=0,"",K137/N137)</x:f>
        <x:v>0.793955482718887</x:v>
      </x:c>
      <x:c r="P137" s="65" t="n">
        <x:f>IF(N137&lt;=0,0,IF(ABS(O137-1)&lt;1E-9,'Calc_Case'!N13/('Calc_Case'!N13+1),(1-POWER(O137,'Calc_Case'!N13))/(1-POWER(O137,'Calc_Case'!N13+1))))</x:f>
        <x:v>0.8478512953501023</x:v>
      </x:c>
      <x:c r="Q137" s="65" t="n">
        <x:f>IF(N137&lt;=0,0,MAX(0,N137-P137*K137))</x:f>
        <x:v>15294.20136519007</x:v>
      </x:c>
      <x:c r="R137" s="65" t="n">
        <x:f>IF(J137&lt;=0,0,MAX(1E-12,(L137*('In_Cases'!P13-H137)+M137*('In_Cases'!P13-'In_Cases'!V13))*G137*J137/1000))</x:f>
        <x:v>0</x:v>
      </x:c>
      <x:c r="S137" s="65" t="str">
        <x:f>IF(J137&lt;=0,"",K137/R137)</x:f>
      </x:c>
      <x:c r="T137" s="65" t="n">
        <x:f>IF(J137&lt;=0,0,IF(ABS(S137-1)&lt;1E-9,'Calc_Case'!N13/('Calc_Case'!N13+1),(1-POWER(S137,-'Calc_Case'!N13))/(1-POWER(S137,-'Calc_Case'!N13-1))))</x:f>
        <x:v>0</x:v>
      </x:c>
      <x:c r="U137" s="65" t="n">
        <x:f>IF(J137&lt;=0,0,'In_Cases'!Q13*MAX(0,K137-T137*R137))</x:f>
        <x:v>0</x:v>
      </x:c>
      <x:c r="V137" s="65" t="n">
        <x:f>MAX(0,1-I137-J137)</x:f>
        <x:v>0</x:v>
      </x:c>
      <x:c r="W137" s="65" t="n">
        <x:f>'In_Cases'!T13*(H137+'In_Cases'!S13*('In_Cases'!O13-H137))+(1-'In_Cases'!T13)*'In_Cases'!O13</x:f>
        <x:v>16.812166666666666</x:v>
      </x:c>
      <x:c r="X137" s="65" t="n">
        <x:f>'In_Cases'!T13*(H137+'In_Cases'!S13*('In_Cases'!P13-H137))+(1-'In_Cases'!T13)*'In_Cases'!P13</x:f>
        <x:v>20.412166666666668</x:v>
      </x:c>
      <x:c r="Y137" s="65" t="n">
        <x:f>'In_Cases'!T13*(H137+'In_Cases'!S13*((('In_Cases'!O13+'In_Cases'!P13)/2)-H137))+(1-'In_Cases'!T13)*(('In_Cases'!O13+'In_Cases'!P13)/2)</x:f>
        <x:v>18.612166666666667</x:v>
      </x:c>
      <x:c r="Z137" s="65" t="n">
        <x:f>'In_Cases'!R13*M137*('In_Cases'!U13-W137)*G137*I137/1000</x:f>
        <x:v>42441.36274659389</x:v>
      </x:c>
      <x:c r="AA137" s="65" t="n">
        <x:f>'In_Cases'!R13*M137*('In_Cases'!V13-X137)*G137*J137/1000</x:f>
        <x:v>0</x:v>
      </x:c>
      <x:c r="AB137" s="65" t="n">
        <x:f>'In_Cases'!R13*M137*('In_Cases'!V13-Y137)*G137*V137/1000</x:f>
        <x:v>0</x:v>
      </x:c>
      <x:c r="AC137" s="65" t="n">
        <x:f>MAX(0,Z137)+MAX(0,AA137)+MAX(0,AB137)</x:f>
        <x:v>42441.36274659389</x:v>
      </x:c>
      <x:c r="AD137" s="65" t="n">
        <x:f>MAX(0,-Z137)+MAX(0,-AA137)+MAX(0,-AB137)</x:f>
        <x:v>0</x:v>
      </x:c>
      <x:c r="AE137" s="65" t="n">
        <x:f>Q137+AC137</x:f>
        <x:v>57735.56411178396</x:v>
      </x:c>
      <x:c r="AF137" s="65" t="n">
        <x:f>U137+AD137</x:f>
        <x:v>0</x:v>
      </x:c>
    </x:row>
    <x:row r="138">
      <x:c r="A138" s="39" t="str">
        <x:f>'In_Monthly'!A138</x:f>
        <x:v>20|upper</x:v>
      </x:c>
      <x:c r="B138" s="39" t="str">
        <x:f>'In_Monthly'!B138</x:f>
        <x:v>20</x:v>
      </x:c>
      <x:c r="C138" s="39" t="str">
        <x:f>'In_Monthly'!C138</x:f>
        <x:v>Test building 4</x:v>
      </x:c>
      <x:c r="D138" s="39" t="str">
        <x:f>'In_Monthly'!D138</x:f>
        <x:v>upper</x:v>
      </x:c>
      <x:c r="E138" s="39" t="str">
        <x:f>'In_Monthly'!E138</x:f>
        <x:v>2023-05</x:v>
      </x:c>
      <x:c r="F138" s="65" t="n">
        <x:f>'In_Monthly'!F138</x:f>
        <x:v>31</x:v>
      </x:c>
      <x:c r="G138" s="65" t="n">
        <x:f>F138*24</x:f>
        <x:v>744</x:v>
      </x:c>
      <x:c r="H138" s="65" t="n">
        <x:f>'In_Monthly'!G138</x:f>
        <x:v>17.244086021505375</x:v>
      </x:c>
      <x:c r="I138" s="65" t="n">
        <x:f>'In_Monthly'!K138</x:f>
        <x:v>0</x:v>
      </x:c>
      <x:c r="J138" s="65" t="n">
        <x:f>'In_Monthly'!L138</x:f>
        <x:v>0</x:v>
      </x:c>
      <x:c r="K138" s="65" t="n">
        <x:f>'In_Monthly'!J138*G138/1000</x:f>
        <x:v>48185.312439229005</x:v>
      </x:c>
      <x:c r="L138" s="65" t="n">
        <x:f>'Calc_Case'!E13+'Calc_Case'!F13+'Calc_Case'!G13</x:f>
        <x:v>11006.342102879371</x:v>
      </x:c>
      <x:c r="M138" s="65" t="n">
        <x:f>'Calc_Case'!H13</x:f>
        <x:v>11362.419214453124</x:v>
      </x:c>
      <x:c r="N138" s="65" t="n">
        <x:f>(L138*('In_Cases'!O13-H138)+M138*('In_Cases'!O13-'In_Cases'!U13))*G138*I138/1000</x:f>
        <x:v>0</x:v>
      </x:c>
      <x:c r="O138" s="65" t="str">
        <x:f>IF(N138&lt;=0,"",K138/N138)</x:f>
      </x:c>
      <x:c r="P138" s="65" t="n">
        <x:f>IF(N138&lt;=0,0,IF(ABS(O138-1)&lt;1E-9,'Calc_Case'!N13/('Calc_Case'!N13+1),(1-POWER(O138,'Calc_Case'!N13))/(1-POWER(O138,'Calc_Case'!N13+1))))</x:f>
        <x:v>0</x:v>
      </x:c>
      <x:c r="Q138" s="65" t="n">
        <x:f>IF(N138&lt;=0,0,MAX(0,N138-P138*K138))</x:f>
        <x:v>0</x:v>
      </x:c>
      <x:c r="R138" s="65" t="n">
        <x:f>IF(J138&lt;=0,0,MAX(1E-12,(L138*('In_Cases'!P13-H138)+M138*('In_Cases'!P13-'In_Cases'!V13))*G138*J138/1000))</x:f>
        <x:v>0</x:v>
      </x:c>
      <x:c r="S138" s="65" t="str">
        <x:f>IF(J138&lt;=0,"",K138/R138)</x:f>
      </x:c>
      <x:c r="T138" s="65" t="n">
        <x:f>IF(J138&lt;=0,0,IF(ABS(S138-1)&lt;1E-9,'Calc_Case'!N13/('Calc_Case'!N13+1),(1-POWER(S138,-'Calc_Case'!N13))/(1-POWER(S138,-'Calc_Case'!N13-1))))</x:f>
        <x:v>0</x:v>
      </x:c>
      <x:c r="U138" s="65" t="n">
        <x:f>IF(J138&lt;=0,0,'In_Cases'!Q13*MAX(0,K138-T138*R138))</x:f>
        <x:v>0</x:v>
      </x:c>
      <x:c r="V138" s="65" t="n">
        <x:f>MAX(0,1-I138-J138)</x:f>
        <x:v>1</x:v>
      </x:c>
      <x:c r="W138" s="65" t="n">
        <x:f>'In_Cases'!T13*(H138+'In_Cases'!S13*('In_Cases'!O13-H138))+(1-'In_Cases'!T13)*'In_Cases'!O13</x:f>
        <x:v>18.89763440860215</x:v>
      </x:c>
      <x:c r="X138" s="65" t="n">
        <x:f>'In_Cases'!T13*(H138+'In_Cases'!S13*('In_Cases'!P13-H138))+(1-'In_Cases'!T13)*'In_Cases'!P13</x:f>
        <x:v>22.49763440860215</x:v>
      </x:c>
      <x:c r="Y138" s="65" t="n">
        <x:f>'In_Cases'!T13*(H138+'In_Cases'!S13*((('In_Cases'!O13+'In_Cases'!P13)/2)-H138))+(1-'In_Cases'!T13)*(('In_Cases'!O13+'In_Cases'!P13)/2)</x:f>
        <x:v>20.69763440860215</x:v>
      </x:c>
      <x:c r="Z138" s="65" t="n">
        <x:f>'In_Cases'!R13*M138*('In_Cases'!U13-W138)*G138*I138/1000</x:f>
        <x:v>0</x:v>
      </x:c>
      <x:c r="AA138" s="65" t="n">
        <x:f>'In_Cases'!R13*M138*('In_Cases'!V13-X138)*G138*J138/1000</x:f>
        <x:v>0</x:v>
      </x:c>
      <x:c r="AB138" s="65" t="n">
        <x:f>'In_Cases'!R13*M138*('In_Cases'!V13-Y138)*G138*V138/1000</x:f>
        <x:v>19463.36961758964</x:v>
      </x:c>
      <x:c r="AC138" s="65" t="n">
        <x:f>MAX(0,Z138)+MAX(0,AA138)+MAX(0,AB138)</x:f>
        <x:v>19463.36961758964</x:v>
      </x:c>
      <x:c r="AD138" s="65" t="n">
        <x:f>MAX(0,-Z138)+MAX(0,-AA138)+MAX(0,-AB138)</x:f>
        <x:v>0</x:v>
      </x:c>
      <x:c r="AE138" s="65" t="n">
        <x:f>Q138+AC138</x:f>
        <x:v>19463.36961758964</x:v>
      </x:c>
      <x:c r="AF138" s="65" t="n">
        <x:f>U138+AD138</x:f>
        <x:v>0</x:v>
      </x:c>
    </x:row>
    <x:row r="139">
      <x:c r="A139" s="39" t="str">
        <x:f>'In_Monthly'!A139</x:f>
        <x:v>20|upper</x:v>
      </x:c>
      <x:c r="B139" s="39" t="str">
        <x:f>'In_Monthly'!B139</x:f>
        <x:v>20</x:v>
      </x:c>
      <x:c r="C139" s="39" t="str">
        <x:f>'In_Monthly'!C139</x:f>
        <x:v>Test building 4</x:v>
      </x:c>
      <x:c r="D139" s="39" t="str">
        <x:f>'In_Monthly'!D139</x:f>
        <x:v>upper</x:v>
      </x:c>
      <x:c r="E139" s="39" t="str">
        <x:f>'In_Monthly'!E139</x:f>
        <x:v>2023-06</x:v>
      </x:c>
      <x:c r="F139" s="65" t="n">
        <x:f>'In_Monthly'!F139</x:f>
        <x:v>30</x:v>
      </x:c>
      <x:c r="G139" s="65" t="n">
        <x:f>F139*24</x:f>
        <x:v>720</x:v>
      </x:c>
      <x:c r="H139" s="65" t="n">
        <x:f>'In_Monthly'!G139</x:f>
        <x:v>20.758194444444445</x:v>
      </x:c>
      <x:c r="I139" s="65" t="n">
        <x:f>'In_Monthly'!K139</x:f>
        <x:v>0</x:v>
      </x:c>
      <x:c r="J139" s="65" t="n">
        <x:f>'In_Monthly'!L139</x:f>
        <x:v>1</x:v>
      </x:c>
      <x:c r="K139" s="65" t="n">
        <x:f>'In_Monthly'!J139*G139/1000</x:f>
        <x:v>49016.62739735586</x:v>
      </x:c>
      <x:c r="L139" s="65" t="n">
        <x:f>'Calc_Case'!E13+'Calc_Case'!F13+'Calc_Case'!G13</x:f>
        <x:v>11006.342102879371</x:v>
      </x:c>
      <x:c r="M139" s="65" t="n">
        <x:f>'Calc_Case'!H13</x:f>
        <x:v>11362.419214453124</x:v>
      </x:c>
      <x:c r="N139" s="65" t="n">
        <x:f>(L139*('In_Cases'!O13-H139)+M139*('In_Cases'!O13-'In_Cases'!U13))*G139*I139/1000</x:f>
        <x:v>0</x:v>
      </x:c>
      <x:c r="O139" s="65" t="str">
        <x:f>IF(N139&lt;=0,"",K139/N139)</x:f>
      </x:c>
      <x:c r="P139" s="65" t="n">
        <x:f>IF(N139&lt;=0,0,IF(ABS(O139-1)&lt;1E-9,'Calc_Case'!N13/('Calc_Case'!N13+1),(1-POWER(O139,'Calc_Case'!N13))/(1-POWER(O139,'Calc_Case'!N13+1))))</x:f>
        <x:v>0</x:v>
      </x:c>
      <x:c r="Q139" s="65" t="n">
        <x:f>IF(N139&lt;=0,0,MAX(0,N139-P139*K139))</x:f>
        <x:v>0</x:v>
      </x:c>
      <x:c r="R139" s="65" t="n">
        <x:f>IF(J139&lt;=0,0,MAX(1E-12,(L139*('In_Cases'!P13-H139)+M139*('In_Cases'!P13-'In_Cases'!V13))*G139*J139/1000))</x:f>
        <x:v>66081.86123369577</x:v>
      </x:c>
      <x:c r="S139" s="65" t="n">
        <x:f>IF(J139&lt;=0,"",K139/R139)</x:f>
        <x:v>0.7417561564134911</x:v>
      </x:c>
      <x:c r="T139" s="65" t="n">
        <x:f>IF(J139&lt;=0,0,IF(ABS(S139-1)&lt;1E-9,'Calc_Case'!N13/('Calc_Case'!N13+1),(1-POWER(S139,-'Calc_Case'!N13))/(1-POWER(S139,-'Calc_Case'!N13-1))))</x:f>
        <x:v>0.6434965681850244</x:v>
      </x:c>
      <x:c r="U139" s="65" t="n">
        <x:f>IF(J139&lt;=0,0,'In_Cases'!Q13*MAX(0,K139-T139*R139))</x:f>
        <x:v>6493.17647419362</x:v>
      </x:c>
      <x:c r="V139" s="65" t="n">
        <x:f>MAX(0,1-I139-J139)</x:f>
        <x:v>0</x:v>
      </x:c>
      <x:c r="W139" s="65" t="n">
        <x:f>'In_Cases'!T13*(H139+'In_Cases'!S13*('In_Cases'!O13-H139))+(1-'In_Cases'!T13)*'In_Cases'!O13</x:f>
        <x:v>20.30327777777778</x:v>
      </x:c>
      <x:c r="X139" s="65" t="n">
        <x:f>'In_Cases'!T13*(H139+'In_Cases'!S13*('In_Cases'!P13-H139))+(1-'In_Cases'!T13)*'In_Cases'!P13</x:f>
        <x:v>23.903277777777777</x:v>
      </x:c>
      <x:c r="Y139" s="65" t="n">
        <x:f>'In_Cases'!T13*(H139+'In_Cases'!S13*((('In_Cases'!O13+'In_Cases'!P13)/2)-H139))+(1-'In_Cases'!T13)*(('In_Cases'!O13+'In_Cases'!P13)/2)</x:f>
        <x:v>22.103277777777777</x:v>
      </x:c>
      <x:c r="Z139" s="65" t="n">
        <x:f>'In_Cases'!R13*M139*('In_Cases'!U13-W139)*G139*I139/1000</x:f>
        <x:v>0</x:v>
      </x:c>
      <x:c r="AA139" s="65" t="n">
        <x:f>'In_Cases'!R13*M139*('In_Cases'!V13-X139)*G139*J139/1000</x:f>
        <x:v>-7389.662960311731</x:v>
      </x:c>
      <x:c r="AB139" s="65" t="n">
        <x:f>'In_Cases'!R13*M139*('In_Cases'!V13-Y139)*G139*V139/1000</x:f>
        <x:v>0</x:v>
      </x:c>
      <x:c r="AC139" s="65" t="n">
        <x:f>MAX(0,Z139)+MAX(0,AA139)+MAX(0,AB139)</x:f>
        <x:v>0</x:v>
      </x:c>
      <x:c r="AD139" s="65" t="n">
        <x:f>MAX(0,-Z139)+MAX(0,-AA139)+MAX(0,-AB139)</x:f>
        <x:v>7389.662960311731</x:v>
      </x:c>
      <x:c r="AE139" s="65" t="n">
        <x:f>Q139+AC139</x:f>
        <x:v>0</x:v>
      </x:c>
      <x:c r="AF139" s="65" t="n">
        <x:f>U139+AD139</x:f>
        <x:v>13882.839434505351</x:v>
      </x:c>
    </x:row>
    <x:row r="140">
      <x:c r="A140" s="39" t="str">
        <x:f>'In_Monthly'!A140</x:f>
        <x:v>20|upper</x:v>
      </x:c>
      <x:c r="B140" s="39" t="str">
        <x:f>'In_Monthly'!B140</x:f>
        <x:v>20</x:v>
      </x:c>
      <x:c r="C140" s="39" t="str">
        <x:f>'In_Monthly'!C140</x:f>
        <x:v>Test building 4</x:v>
      </x:c>
      <x:c r="D140" s="39" t="str">
        <x:f>'In_Monthly'!D140</x:f>
        <x:v>upper</x:v>
      </x:c>
      <x:c r="E140" s="39" t="str">
        <x:f>'In_Monthly'!E140</x:f>
        <x:v>2023-07</x:v>
      </x:c>
      <x:c r="F140" s="65" t="n">
        <x:f>'In_Monthly'!F140</x:f>
        <x:v>31</x:v>
      </x:c>
      <x:c r="G140" s="65" t="n">
        <x:f>F140*24</x:f>
        <x:v>744</x:v>
      </x:c>
      <x:c r="H140" s="65" t="n">
        <x:f>'In_Monthly'!G140</x:f>
        <x:v>23.824193548387097</x:v>
      </x:c>
      <x:c r="I140" s="65" t="n">
        <x:f>'In_Monthly'!K140</x:f>
        <x:v>0</x:v>
      </x:c>
      <x:c r="J140" s="65" t="n">
        <x:f>'In_Monthly'!L140</x:f>
        <x:v>1</x:v>
      </x:c>
      <x:c r="K140" s="65" t="n">
        <x:f>'In_Monthly'!J140*G140/1000</x:f>
        <x:v>52285.96513044715</x:v>
      </x:c>
      <x:c r="L140" s="65" t="n">
        <x:f>'Calc_Case'!E13+'Calc_Case'!F13+'Calc_Case'!G13</x:f>
        <x:v>11006.342102879371</x:v>
      </x:c>
      <x:c r="M140" s="65" t="n">
        <x:f>'Calc_Case'!H13</x:f>
        <x:v>11362.419214453124</x:v>
      </x:c>
      <x:c r="N140" s="65" t="n">
        <x:f>(L140*('In_Cases'!O13-H140)+M140*('In_Cases'!O13-'In_Cases'!U13))*G140*I140/1000</x:f>
        <x:v>0</x:v>
      </x:c>
      <x:c r="O140" s="65" t="str">
        <x:f>IF(N140&lt;=0,"",K140/N140)</x:f>
      </x:c>
      <x:c r="P140" s="65" t="n">
        <x:f>IF(N140&lt;=0,0,IF(ABS(O140-1)&lt;1E-9,'Calc_Case'!N13/('Calc_Case'!N13+1),(1-POWER(O140,'Calc_Case'!N13))/(1-POWER(O140,'Calc_Case'!N13+1))))</x:f>
        <x:v>0</x:v>
      </x:c>
      <x:c r="Q140" s="65" t="n">
        <x:f>IF(N140&lt;=0,0,MAX(0,N140-P140*K140))</x:f>
        <x:v>0</x:v>
      </x:c>
      <x:c r="R140" s="65" t="n">
        <x:f>IF(J140&lt;=0,0,MAX(1E-12,(L140*('In_Cases'!P13-H140)+M140*('In_Cases'!P13-'In_Cases'!V13))*G140*J140/1000))</x:f>
        <x:v>43177.986282800506</x:v>
      </x:c>
      <x:c r="S140" s="65" t="n">
        <x:f>IF(J140&lt;=0,"",K140/R140)</x:f>
        <x:v>1.2109403339931744</x:v>
      </x:c>
      <x:c r="T140" s="65" t="n">
        <x:f>IF(J140&lt;=0,0,IF(ABS(S140-1)&lt;1E-9,'Calc_Case'!N13/('Calc_Case'!N13+1),(1-POWER(S140,-'Calc_Case'!N13))/(1-POWER(S140,-'Calc_Case'!N13-1))))</x:f>
        <x:v>0.8356438831694989</x:v>
      </x:c>
      <x:c r="U140" s="65" t="n">
        <x:f>IF(J140&lt;=0,0,'In_Cases'!Q13*MAX(0,K140-T140*R140))</x:f>
        <x:v>16204.545005648375</x:v>
      </x:c>
      <x:c r="V140" s="65" t="n">
        <x:f>MAX(0,1-I140-J140)</x:f>
        <x:v>0</x:v>
      </x:c>
      <x:c r="W140" s="65" t="n">
        <x:f>'In_Cases'!T13*(H140+'In_Cases'!S13*('In_Cases'!O13-H140))+(1-'In_Cases'!T13)*'In_Cases'!O13</x:f>
        <x:v>21.52967741935484</x:v>
      </x:c>
      <x:c r="X140" s="65" t="n">
        <x:f>'In_Cases'!T13*(H140+'In_Cases'!S13*('In_Cases'!P13-H140))+(1-'In_Cases'!T13)*'In_Cases'!P13</x:f>
        <x:v>25.129677419354838</x:v>
      </x:c>
      <x:c r="Y140" s="65" t="n">
        <x:f>'In_Cases'!T13*(H140+'In_Cases'!S13*((('In_Cases'!O13+'In_Cases'!P13)/2)-H140))+(1-'In_Cases'!T13)*(('In_Cases'!O13+'In_Cases'!P13)/2)</x:f>
        <x:v>23.329677419354837</x:v>
      </x:c>
      <x:c r="Z140" s="65" t="n">
        <x:f>'In_Cases'!R13*M140*('In_Cases'!U13-W140)*G140*I140/1000</x:f>
        <x:v>0</x:v>
      </x:c>
      <x:c r="AA140" s="65" t="n">
        <x:f>'In_Cases'!R13*M140*('In_Cases'!V13-X140)*G140*J140/1000</x:f>
        <x:v>-18003.52599691668</x:v>
      </x:c>
      <x:c r="AB140" s="65" t="n">
        <x:f>'In_Cases'!R13*M140*('In_Cases'!V13-Y140)*G140*V140/1000</x:f>
        <x:v>0</x:v>
      </x:c>
      <x:c r="AC140" s="65" t="n">
        <x:f>MAX(0,Z140)+MAX(0,AA140)+MAX(0,AB140)</x:f>
        <x:v>0</x:v>
      </x:c>
      <x:c r="AD140" s="65" t="n">
        <x:f>MAX(0,-Z140)+MAX(0,-AA140)+MAX(0,-AB140)</x:f>
        <x:v>18003.52599691668</x:v>
      </x:c>
      <x:c r="AE140" s="65" t="n">
        <x:f>Q140+AC140</x:f>
        <x:v>0</x:v>
      </x:c>
      <x:c r="AF140" s="65" t="n">
        <x:f>U140+AD140</x:f>
        <x:v>34208.071002565055</x:v>
      </x:c>
    </x:row>
    <x:row r="141">
      <x:c r="A141" s="39" t="str">
        <x:f>'In_Monthly'!A141</x:f>
        <x:v>20|upper</x:v>
      </x:c>
      <x:c r="B141" s="39" t="str">
        <x:f>'In_Monthly'!B141</x:f>
        <x:v>20</x:v>
      </x:c>
      <x:c r="C141" s="39" t="str">
        <x:f>'In_Monthly'!C141</x:f>
        <x:v>Test building 4</x:v>
      </x:c>
      <x:c r="D141" s="39" t="str">
        <x:f>'In_Monthly'!D141</x:f>
        <x:v>upper</x:v>
      </x:c>
      <x:c r="E141" s="39" t="str">
        <x:f>'In_Monthly'!E141</x:f>
        <x:v>2023-08</x:v>
      </x:c>
      <x:c r="F141" s="65" t="n">
        <x:f>'In_Monthly'!F141</x:f>
        <x:v>31</x:v>
      </x:c>
      <x:c r="G141" s="65" t="n">
        <x:f>F141*24</x:f>
        <x:v>744</x:v>
      </x:c>
      <x:c r="H141" s="65" t="n">
        <x:f>'In_Monthly'!G141</x:f>
        <x:v>22.74717741935484</x:v>
      </x:c>
      <x:c r="I141" s="65" t="n">
        <x:f>'In_Monthly'!K141</x:f>
        <x:v>0</x:v>
      </x:c>
      <x:c r="J141" s="65" t="n">
        <x:f>'In_Monthly'!L141</x:f>
        <x:v>1</x:v>
      </x:c>
      <x:c r="K141" s="65" t="n">
        <x:f>'In_Monthly'!J141*G141/1000</x:f>
        <x:v>46634.25080659711</x:v>
      </x:c>
      <x:c r="L141" s="65" t="n">
        <x:f>'Calc_Case'!E13+'Calc_Case'!F13+'Calc_Case'!G13</x:f>
        <x:v>11006.342102879371</x:v>
      </x:c>
      <x:c r="M141" s="65" t="n">
        <x:f>'Calc_Case'!H13</x:f>
        <x:v>11362.419214453124</x:v>
      </x:c>
      <x:c r="N141" s="65" t="n">
        <x:f>(L141*('In_Cases'!O13-H141)+M141*('In_Cases'!O13-'In_Cases'!U13))*G141*I141/1000</x:f>
        <x:v>0</x:v>
      </x:c>
      <x:c r="O141" s="65" t="str">
        <x:f>IF(N141&lt;=0,"",K141/N141)</x:f>
      </x:c>
      <x:c r="P141" s="65" t="n">
        <x:f>IF(N141&lt;=0,0,IF(ABS(O141-1)&lt;1E-9,'Calc_Case'!N13/('Calc_Case'!N13+1),(1-POWER(O141,'Calc_Case'!N13))/(1-POWER(O141,'Calc_Case'!N13+1))))</x:f>
        <x:v>0</x:v>
      </x:c>
      <x:c r="Q141" s="65" t="n">
        <x:f>IF(N141&lt;=0,0,MAX(0,N141-P141*K141))</x:f>
        <x:v>0</x:v>
      </x:c>
      <x:c r="R141" s="65" t="n">
        <x:f>IF(J141&lt;=0,0,MAX(1E-12,(L141*('In_Cases'!P13-H141)+M141*('In_Cases'!P13-'In_Cases'!V13))*G141*J141/1000))</x:f>
        <x:v>51997.36820983771</x:v>
      </x:c>
      <x:c r="S141" s="65" t="n">
        <x:f>IF(J141&lt;=0,"",K141/R141)</x:f>
        <x:v>0.8968579067002488</x:v>
      </x:c>
      <x:c r="T141" s="65" t="n">
        <x:f>IF(J141&lt;=0,0,IF(ABS(S141-1)&lt;1E-9,'Calc_Case'!N13/('Calc_Case'!N13+1),(1-POWER(S141,-'Calc_Case'!N13))/(1-POWER(S141,-'Calc_Case'!N13-1))))</x:f>
        <x:v>0.7247733026252245</x:v>
      </x:c>
      <x:c r="U141" s="65" t="n">
        <x:f>IF(J141&lt;=0,0,'In_Cases'!Q13*MAX(0,K141-T141*R141))</x:f>
        <x:v>8947.946521333179</x:v>
      </x:c>
      <x:c r="V141" s="65" t="n">
        <x:f>MAX(0,1-I141-J141)</x:f>
        <x:v>0</x:v>
      </x:c>
      <x:c r="W141" s="65" t="n">
        <x:f>'In_Cases'!T13*(H141+'In_Cases'!S13*('In_Cases'!O13-H141))+(1-'In_Cases'!T13)*'In_Cases'!O13</x:f>
        <x:v>21.098870967741938</x:v>
      </x:c>
      <x:c r="X141" s="65" t="n">
        <x:f>'In_Cases'!T13*(H141+'In_Cases'!S13*('In_Cases'!P13-H141))+(1-'In_Cases'!T13)*'In_Cases'!P13</x:f>
        <x:v>24.698870967741936</x:v>
      </x:c>
      <x:c r="Y141" s="65" t="n">
        <x:f>'In_Cases'!T13*(H141+'In_Cases'!S13*((('In_Cases'!O13+'In_Cases'!P13)/2)-H141))+(1-'In_Cases'!T13)*(('In_Cases'!O13+'In_Cases'!P13)/2)</x:f>
        <x:v>22.898870967741935</x:v>
      </x:c>
      <x:c r="Z141" s="65" t="n">
        <x:f>'In_Cases'!R13*M141*('In_Cases'!U13-W141)*G141*I141/1000</x:f>
        <x:v>0</x:v>
      </x:c>
      <x:c r="AA141" s="65" t="n">
        <x:f>'In_Cases'!R13*M141*('In_Cases'!V13-X141)*G141*J141/1000</x:f>
        <x:v>-14361.643390300173</x:v>
      </x:c>
      <x:c r="AB141" s="65" t="n">
        <x:f>'In_Cases'!R13*M141*('In_Cases'!V13-Y141)*G141*V141/1000</x:f>
        <x:v>0</x:v>
      </x:c>
      <x:c r="AC141" s="65" t="n">
        <x:f>MAX(0,Z141)+MAX(0,AA141)+MAX(0,AB141)</x:f>
        <x:v>0</x:v>
      </x:c>
      <x:c r="AD141" s="65" t="n">
        <x:f>MAX(0,-Z141)+MAX(0,-AA141)+MAX(0,-AB141)</x:f>
        <x:v>14361.643390300173</x:v>
      </x:c>
      <x:c r="AE141" s="65" t="n">
        <x:f>Q141+AC141</x:f>
        <x:v>0</x:v>
      </x:c>
      <x:c r="AF141" s="65" t="n">
        <x:f>U141+AD141</x:f>
        <x:v>23309.589911633353</x:v>
      </x:c>
    </x:row>
    <x:row r="142">
      <x:c r="A142" s="39" t="str">
        <x:f>'In_Monthly'!A142</x:f>
        <x:v>20|upper</x:v>
      </x:c>
      <x:c r="B142" s="39" t="str">
        <x:f>'In_Monthly'!B142</x:f>
        <x:v>20</x:v>
      </x:c>
      <x:c r="C142" s="39" t="str">
        <x:f>'In_Monthly'!C142</x:f>
        <x:v>Test building 4</x:v>
      </x:c>
      <x:c r="D142" s="39" t="str">
        <x:f>'In_Monthly'!D142</x:f>
        <x:v>upper</x:v>
      </x:c>
      <x:c r="E142" s="39" t="str">
        <x:f>'In_Monthly'!E142</x:f>
        <x:v>2023-09</x:v>
      </x:c>
      <x:c r="F142" s="65" t="n">
        <x:f>'In_Monthly'!F142</x:f>
        <x:v>30</x:v>
      </x:c>
      <x:c r="G142" s="65" t="n">
        <x:f>F142*24</x:f>
        <x:v>720</x:v>
      </x:c>
      <x:c r="H142" s="65" t="n">
        <x:f>'In_Monthly'!G142</x:f>
        <x:v>19.61638888888889</x:v>
      </x:c>
      <x:c r="I142" s="65" t="n">
        <x:f>'In_Monthly'!K142</x:f>
        <x:v>0</x:v>
      </x:c>
      <x:c r="J142" s="65" t="n">
        <x:f>'In_Monthly'!L142</x:f>
        <x:v>1</x:v>
      </x:c>
      <x:c r="K142" s="65" t="n">
        <x:f>'In_Monthly'!J142*G142/1000</x:f>
        <x:v>35657.42202747551</x:v>
      </x:c>
      <x:c r="L142" s="65" t="n">
        <x:f>'Calc_Case'!E13+'Calc_Case'!F13+'Calc_Case'!G13</x:f>
        <x:v>11006.342102879371</x:v>
      </x:c>
      <x:c r="M142" s="65" t="n">
        <x:f>'Calc_Case'!H13</x:f>
        <x:v>11362.419214453124</x:v>
      </x:c>
      <x:c r="N142" s="65" t="n">
        <x:f>(L142*('In_Cases'!O13-H142)+M142*('In_Cases'!O13-'In_Cases'!U13))*G142*I142/1000</x:f>
        <x:v>0</x:v>
      </x:c>
      <x:c r="O142" s="65" t="str">
        <x:f>IF(N142&lt;=0,"",K142/N142)</x:f>
      </x:c>
      <x:c r="P142" s="65" t="n">
        <x:f>IF(N142&lt;=0,0,IF(ABS(O142-1)&lt;1E-9,'Calc_Case'!N13/('Calc_Case'!N13+1),(1-POWER(O142,'Calc_Case'!N13))/(1-POWER(O142,'Calc_Case'!N13+1))))</x:f>
        <x:v>0</x:v>
      </x:c>
      <x:c r="Q142" s="65" t="n">
        <x:f>IF(N142&lt;=0,0,MAX(0,N142-P142*K142))</x:f>
        <x:v>0</x:v>
      </x:c>
      <x:c r="R142" s="65" t="n">
        <x:f>IF(J142&lt;=0,0,MAX(1E-12,(L142*('In_Cases'!P13-H142)+M142*('In_Cases'!P13-'In_Cases'!V13))*G142*J142/1000))</x:f>
        <x:v>75130.17507647292</x:v>
      </x:c>
      <x:c r="S142" s="65" t="n">
        <x:f>IF(J142&lt;=0,"",K142/R142)</x:f>
        <x:v>0.4746085310087566</x:v>
      </x:c>
      <x:c r="T142" s="65" t="n">
        <x:f>IF(J142&lt;=0,0,IF(ABS(S142-1)&lt;1E-9,'Calc_Case'!N13/('Calc_Case'!N13+1),(1-POWER(S142,-'Calc_Case'!N13))/(1-POWER(S142,-'Calc_Case'!N13-1))))</x:f>
        <x:v>0.45262972147029024</x:v>
      </x:c>
      <x:c r="U142" s="65" t="n">
        <x:f>IF(J142&lt;=0,0,'In_Cases'!Q13*MAX(0,K142-T142*R142))</x:f>
        <x:v>1651.2718085974338</x:v>
      </x:c>
      <x:c r="V142" s="65" t="n">
        <x:f>MAX(0,1-I142-J142)</x:f>
        <x:v>0</x:v>
      </x:c>
      <x:c r="W142" s="65" t="n">
        <x:f>'In_Cases'!T13*(H142+'In_Cases'!S13*('In_Cases'!O13-H142))+(1-'In_Cases'!T13)*'In_Cases'!O13</x:f>
        <x:v>19.846555555555554</x:v>
      </x:c>
      <x:c r="X142" s="65" t="n">
        <x:f>'In_Cases'!T13*(H142+'In_Cases'!S13*('In_Cases'!P13-H142))+(1-'In_Cases'!T13)*'In_Cases'!P13</x:f>
        <x:v>23.446555555555555</x:v>
      </x:c>
      <x:c r="Y142" s="65" t="n">
        <x:f>'In_Cases'!T13*(H142+'In_Cases'!S13*((('In_Cases'!O13+'In_Cases'!P13)/2)-H142))+(1-'In_Cases'!T13)*(('In_Cases'!O13+'In_Cases'!P13)/2)</x:f>
        <x:v>21.646555555555555</x:v>
      </x:c>
      <x:c r="Z142" s="65" t="n">
        <x:f>'In_Cases'!R13*M142*('In_Cases'!U13-W142)*G142*I142/1000</x:f>
        <x:v>0</x:v>
      </x:c>
      <x:c r="AA142" s="65" t="n">
        <x:f>'In_Cases'!R13*M142*('In_Cases'!V13-X142)*G142*J142/1000</x:f>
        <x:v>-3653.2450258309673</x:v>
      </x:c>
      <x:c r="AB142" s="65" t="n">
        <x:f>'In_Cases'!R13*M142*('In_Cases'!V13-Y142)*G142*V142/1000</x:f>
        <x:v>0</x:v>
      </x:c>
      <x:c r="AC142" s="65" t="n">
        <x:f>MAX(0,Z142)+MAX(0,AA142)+MAX(0,AB142)</x:f>
        <x:v>0</x:v>
      </x:c>
      <x:c r="AD142" s="65" t="n">
        <x:f>MAX(0,-Z142)+MAX(0,-AA142)+MAX(0,-AB142)</x:f>
        <x:v>3653.2450258309673</x:v>
      </x:c>
      <x:c r="AE142" s="65" t="n">
        <x:f>Q142+AC142</x:f>
        <x:v>0</x:v>
      </x:c>
      <x:c r="AF142" s="65" t="n">
        <x:f>U142+AD142</x:f>
        <x:v>5304.516834428401</x:v>
      </x:c>
    </x:row>
    <x:row r="143">
      <x:c r="A143" s="39" t="str">
        <x:f>'In_Monthly'!A143</x:f>
        <x:v>20|upper</x:v>
      </x:c>
      <x:c r="B143" s="39" t="str">
        <x:f>'In_Monthly'!B143</x:f>
        <x:v>20</x:v>
      </x:c>
      <x:c r="C143" s="39" t="str">
        <x:f>'In_Monthly'!C143</x:f>
        <x:v>Test building 4</x:v>
      </x:c>
      <x:c r="D143" s="39" t="str">
        <x:f>'In_Monthly'!D143</x:f>
        <x:v>upper</x:v>
      </x:c>
      <x:c r="E143" s="39" t="str">
        <x:f>'In_Monthly'!E143</x:f>
        <x:v>2023-10</x:v>
      </x:c>
      <x:c r="F143" s="65" t="n">
        <x:f>'In_Monthly'!F143</x:f>
        <x:v>31</x:v>
      </x:c>
      <x:c r="G143" s="65" t="n">
        <x:f>F143*24</x:f>
        <x:v>744</x:v>
      </x:c>
      <x:c r="H143" s="65" t="n">
        <x:f>'In_Monthly'!G143</x:f>
        <x:v>13.926209677419354</x:v>
      </x:c>
      <x:c r="I143" s="65" t="n">
        <x:f>'In_Monthly'!K143</x:f>
        <x:v>0.5483870967741935</x:v>
      </x:c>
      <x:c r="J143" s="65" t="n">
        <x:f>'In_Monthly'!L143</x:f>
        <x:v>0</x:v>
      </x:c>
      <x:c r="K143" s="65" t="n">
        <x:f>'In_Monthly'!J143*G143/1000</x:f>
        <x:v>24765.474771586407</x:v>
      </x:c>
      <x:c r="L143" s="65" t="n">
        <x:f>'Calc_Case'!E13+'Calc_Case'!F13+'Calc_Case'!G13</x:f>
        <x:v>11006.342102879371</x:v>
      </x:c>
      <x:c r="M143" s="65" t="n">
        <x:f>'Calc_Case'!H13</x:f>
        <x:v>11362.419214453124</x:v>
      </x:c>
      <x:c r="N143" s="65" t="n">
        <x:f>(L143*('In_Cases'!O13-H143)+M143*('In_Cases'!O13-'In_Cases'!U13))*G143*I143/1000</x:f>
        <x:v>18003.153294810345</x:v>
      </x:c>
      <x:c r="O143" s="65" t="n">
        <x:f>IF(N143&lt;=0,"",K143/N143)</x:f>
        <x:v>1.3756187244556426</x:v>
      </x:c>
      <x:c r="P143" s="65" t="n">
        <x:f>IF(N143&lt;=0,0,IF(ABS(O143-1)&lt;1E-9,'Calc_Case'!N13/('Calc_Case'!N13+1),(1-POWER(O143,'Calc_Case'!N13))/(1-POWER(O143,'Calc_Case'!N13+1))))</x:f>
        <x:v>0.6346351487199634</x:v>
      </x:c>
      <x:c r="Q143" s="65" t="n">
        <x:f>IF(N143&lt;=0,0,MAX(0,N143-P143*K143))</x:f>
        <x:v>2286.1125300241038</x:v>
      </x:c>
      <x:c r="R143" s="65" t="n">
        <x:f>IF(J143&lt;=0,0,MAX(1E-12,(L143*('In_Cases'!P13-H143)+M143*('In_Cases'!P13-'In_Cases'!V13))*G143*J143/1000))</x:f>
        <x:v>0</x:v>
      </x:c>
      <x:c r="S143" s="65" t="str">
        <x:f>IF(J143&lt;=0,"",K143/R143)</x:f>
      </x:c>
      <x:c r="T143" s="65" t="n">
        <x:f>IF(J143&lt;=0,0,IF(ABS(S143-1)&lt;1E-9,'Calc_Case'!N13/('Calc_Case'!N13+1),(1-POWER(S143,-'Calc_Case'!N13))/(1-POWER(S143,-'Calc_Case'!N13-1))))</x:f>
        <x:v>0</x:v>
      </x:c>
      <x:c r="U143" s="65" t="n">
        <x:f>IF(J143&lt;=0,0,'In_Cases'!Q13*MAX(0,K143-T143*R143))</x:f>
        <x:v>0</x:v>
      </x:c>
      <x:c r="V143" s="65" t="n">
        <x:f>MAX(0,1-I143-J143)</x:f>
        <x:v>0.4516129032258065</x:v>
      </x:c>
      <x:c r="W143" s="65" t="n">
        <x:f>'In_Cases'!T13*(H143+'In_Cases'!S13*('In_Cases'!O13-H143))+(1-'In_Cases'!T13)*'In_Cases'!O13</x:f>
        <x:v>17.570483870967742</x:v>
      </x:c>
      <x:c r="X143" s="65" t="n">
        <x:f>'In_Cases'!T13*(H143+'In_Cases'!S13*('In_Cases'!P13-H143))+(1-'In_Cases'!T13)*'In_Cases'!P13</x:f>
        <x:v>21.170483870967743</x:v>
      </x:c>
      <x:c r="Y143" s="65" t="n">
        <x:f>'In_Cases'!T13*(H143+'In_Cases'!S13*((('In_Cases'!O13+'In_Cases'!P13)/2)-H143))+(1-'In_Cases'!T13)*(('In_Cases'!O13+'In_Cases'!P13)/2)</x:f>
        <x:v>19.370483870967742</x:v>
      </x:c>
      <x:c r="Z143" s="65" t="n">
        <x:f>'In_Cases'!R13*M143*('In_Cases'!U13-W143)*G143*I143/1000</x:f>
        <x:v>20534.647823500432</x:v>
      </x:c>
      <x:c r="AA143" s="65" t="n">
        <x:f>'In_Cases'!R13*M143*('In_Cases'!V13-X143)*G143*J143/1000</x:f>
        <x:v>0</x:v>
      </x:c>
      <x:c r="AB143" s="65" t="n">
        <x:f>'In_Cases'!R13*M143*('In_Cases'!V13-Y143)*G143*V143/1000</x:f>
        <x:v>13856.668158037708</x:v>
      </x:c>
      <x:c r="AC143" s="65" t="n">
        <x:f>MAX(0,Z143)+MAX(0,AA143)+MAX(0,AB143)</x:f>
        <x:v>34391.31598153814</x:v>
      </x:c>
      <x:c r="AD143" s="65" t="n">
        <x:f>MAX(0,-Z143)+MAX(0,-AA143)+MAX(0,-AB143)</x:f>
        <x:v>0</x:v>
      </x:c>
      <x:c r="AE143" s="65" t="n">
        <x:f>Q143+AC143</x:f>
        <x:v>36677.42851156224</x:v>
      </x:c>
      <x:c r="AF143" s="65" t="n">
        <x:f>U143+AD143</x:f>
        <x:v>0</x:v>
      </x:c>
    </x:row>
    <x:row r="144">
      <x:c r="A144" s="39" t="str">
        <x:f>'In_Monthly'!A144</x:f>
        <x:v>20|upper</x:v>
      </x:c>
      <x:c r="B144" s="39" t="str">
        <x:f>'In_Monthly'!B144</x:f>
        <x:v>20</x:v>
      </x:c>
      <x:c r="C144" s="39" t="str">
        <x:f>'In_Monthly'!C144</x:f>
        <x:v>Test building 4</x:v>
      </x:c>
      <x:c r="D144" s="39" t="str">
        <x:f>'In_Monthly'!D144</x:f>
        <x:v>upper</x:v>
      </x:c>
      <x:c r="E144" s="39" t="str">
        <x:f>'In_Monthly'!E144</x:f>
        <x:v>2023-11</x:v>
      </x:c>
      <x:c r="F144" s="65" t="n">
        <x:f>'In_Monthly'!F144</x:f>
        <x:v>30</x:v>
      </x:c>
      <x:c r="G144" s="65" t="n">
        <x:f>F144*24</x:f>
        <x:v>720</x:v>
      </x:c>
      <x:c r="H144" s="65" t="n">
        <x:f>'In_Monthly'!G144</x:f>
        <x:v>8.68388888888889</x:v>
      </x:c>
      <x:c r="I144" s="65" t="n">
        <x:f>'In_Monthly'!K144</x:f>
        <x:v>1</x:v>
      </x:c>
      <x:c r="J144" s="65" t="n">
        <x:f>'In_Monthly'!L144</x:f>
        <x:v>0</x:v>
      </x:c>
      <x:c r="K144" s="65" t="n">
        <x:f>'In_Monthly'!J144*G144/1000</x:f>
        <x:v>13104.147108498091</x:v>
      </x:c>
      <x:c r="L144" s="65" t="n">
        <x:f>'Calc_Case'!E13+'Calc_Case'!F13+'Calc_Case'!G13</x:f>
        <x:v>11006.342102879371</x:v>
      </x:c>
      <x:c r="M144" s="65" t="n">
        <x:f>'Calc_Case'!H13</x:f>
        <x:v>11362.419214453124</x:v>
      </x:c>
      <x:c r="N144" s="65" t="n">
        <x:f>(L144*('In_Cases'!O13-H144)+M144*('In_Cases'!O13-'In_Cases'!U13))*G144*I144/1000</x:f>
        <x:v>73313.38924860746</x:v>
      </x:c>
      <x:c r="O144" s="65" t="n">
        <x:f>IF(N144&lt;=0,"",K144/N144)</x:f>
        <x:v>0.17874152651791358</x:v>
      </x:c>
      <x:c r="P144" s="65" t="n">
        <x:f>IF(N144&lt;=0,0,IF(ABS(O144-1)&lt;1E-9,'Calc_Case'!N13/('Calc_Case'!N13+1),(1-POWER(O144,'Calc_Case'!N13))/(1-POWER(O144,'Calc_Case'!N13+1))))</x:f>
        <x:v>0.9972669995084951</x:v>
      </x:c>
      <x:c r="Q144" s="65" t="n">
        <x:f>IF(N144&lt;=0,0,MAX(0,N144-P144*K144))</x:f>
        <x:v>60245.05578059765</x:v>
      </x:c>
      <x:c r="R144" s="65" t="n">
        <x:f>IF(J144&lt;=0,0,MAX(1E-12,(L144*('In_Cases'!P13-H144)+M144*('In_Cases'!P13-'In_Cases'!V13))*G144*J144/1000))</x:f>
        <x:v>0</x:v>
      </x:c>
      <x:c r="S144" s="65" t="str">
        <x:f>IF(J144&lt;=0,"",K144/R144)</x:f>
      </x:c>
      <x:c r="T144" s="65" t="n">
        <x:f>IF(J144&lt;=0,0,IF(ABS(S144-1)&lt;1E-9,'Calc_Case'!N13/('Calc_Case'!N13+1),(1-POWER(S144,-'Calc_Case'!N13))/(1-POWER(S144,-'Calc_Case'!N13-1))))</x:f>
        <x:v>0</x:v>
      </x:c>
      <x:c r="U144" s="65" t="n">
        <x:f>IF(J144&lt;=0,0,'In_Cases'!Q13*MAX(0,K144-T144*R144))</x:f>
        <x:v>0</x:v>
      </x:c>
      <x:c r="V144" s="65" t="n">
        <x:f>MAX(0,1-I144-J144)</x:f>
        <x:v>0</x:v>
      </x:c>
      <x:c r="W144" s="65" t="n">
        <x:f>'In_Cases'!T13*(H144+'In_Cases'!S13*('In_Cases'!O13-H144))+(1-'In_Cases'!T13)*'In_Cases'!O13</x:f>
        <x:v>15.473555555555556</x:v>
      </x:c>
      <x:c r="X144" s="65" t="n">
        <x:f>'In_Cases'!T13*(H144+'In_Cases'!S13*('In_Cases'!P13-H144))+(1-'In_Cases'!T13)*'In_Cases'!P13</x:f>
        <x:v>19.073555555555558</x:v>
      </x:c>
      <x:c r="Y144" s="65" t="n">
        <x:f>'In_Cases'!T13*(H144+'In_Cases'!S13*((('In_Cases'!O13+'In_Cases'!P13)/2)-H144))+(1-'In_Cases'!T13)*(('In_Cases'!O13+'In_Cases'!P13)/2)</x:f>
        <x:v>17.273555555555554</x:v>
      </x:c>
      <x:c r="Z144" s="65" t="n">
        <x:f>'In_Cases'!R13*M144*('In_Cases'!U13-W144)*G144*I144/1000</x:f>
        <x:v>53392.4623854838</x:v>
      </x:c>
      <x:c r="AA144" s="65" t="n">
        <x:f>'In_Cases'!R13*M144*('In_Cases'!V13-X144)*G144*J144/1000</x:f>
        <x:v>0</x:v>
      </x:c>
      <x:c r="AB144" s="65" t="n">
        <x:f>'In_Cases'!R13*M144*('In_Cases'!V13-Y144)*G144*V144/1000</x:f>
        <x:v>0</x:v>
      </x:c>
      <x:c r="AC144" s="65" t="n">
        <x:f>MAX(0,Z144)+MAX(0,AA144)+MAX(0,AB144)</x:f>
        <x:v>53392.4623854838</x:v>
      </x:c>
      <x:c r="AD144" s="65" t="n">
        <x:f>MAX(0,-Z144)+MAX(0,-AA144)+MAX(0,-AB144)</x:f>
        <x:v>0</x:v>
      </x:c>
      <x:c r="AE144" s="65" t="n">
        <x:f>Q144+AC144</x:f>
        <x:v>113637.51816608146</x:v>
      </x:c>
      <x:c r="AF144" s="65" t="n">
        <x:f>U144+AD144</x:f>
        <x:v>0</x:v>
      </x:c>
    </x:row>
    <x:row r="145">
      <x:c r="A145" s="39" t="str">
        <x:f>'In_Monthly'!A145</x:f>
        <x:v>20|upper</x:v>
      </x:c>
      <x:c r="B145" s="39" t="str">
        <x:f>'In_Monthly'!B145</x:f>
        <x:v>20</x:v>
      </x:c>
      <x:c r="C145" s="39" t="str">
        <x:f>'In_Monthly'!C145</x:f>
        <x:v>Test building 4</x:v>
      </x:c>
      <x:c r="D145" s="39" t="str">
        <x:f>'In_Monthly'!D145</x:f>
        <x:v>upper</x:v>
      </x:c>
      <x:c r="E145" s="39" t="str">
        <x:f>'In_Monthly'!E145</x:f>
        <x:v>2023-12</x:v>
      </x:c>
      <x:c r="F145" s="65" t="n">
        <x:f>'In_Monthly'!F145</x:f>
        <x:v>31</x:v>
      </x:c>
      <x:c r="G145" s="65" t="n">
        <x:f>F145*24</x:f>
        <x:v>744</x:v>
      </x:c>
      <x:c r="H145" s="65" t="n">
        <x:f>'In_Monthly'!G145</x:f>
        <x:v>3.9963709677419357</x:v>
      </x:c>
      <x:c r="I145" s="65" t="n">
        <x:f>'In_Monthly'!K145</x:f>
        <x:v>1</x:v>
      </x:c>
      <x:c r="J145" s="65" t="n">
        <x:f>'In_Monthly'!L145</x:f>
        <x:v>0</x:v>
      </x:c>
      <x:c r="K145" s="65" t="n">
        <x:f>'In_Monthly'!J145*G145/1000</x:f>
        <x:v>11208.846528821097</x:v>
      </x:c>
      <x:c r="L145" s="65" t="n">
        <x:f>'Calc_Case'!E13+'Calc_Case'!F13+'Calc_Case'!G13</x:f>
        <x:v>11006.342102879371</x:v>
      </x:c>
      <x:c r="M145" s="65" t="n">
        <x:f>'Calc_Case'!H13</x:f>
        <x:v>11362.419214453124</x:v>
      </x:c>
      <x:c r="N145" s="65" t="n">
        <x:f>(L145*('In_Cases'!O13-H145)+M145*('In_Cases'!O13-'In_Cases'!U13))*G145*I145/1000</x:f>
        <x:v>114141.93372524755</x:v>
      </x:c>
      <x:c r="O145" s="65" t="n">
        <x:f>IF(N145&lt;=0,"",K145/N145)</x:f>
        <x:v>0.09820095177116982</x:v>
      </x:c>
      <x:c r="P145" s="65" t="n">
        <x:f>IF(N145&lt;=0,0,IF(ABS(O145-1)&lt;1E-9,'Calc_Case'!N13/('Calc_Case'!N13+1),(1-POWER(O145,'Calc_Case'!N13))/(1-POWER(O145,'Calc_Case'!N13+1))))</x:f>
        <x:v>0.9995878680505433</x:v>
      </x:c>
      <x:c r="Q145" s="65" t="n">
        <x:f>IF(N145&lt;=0,0,MAX(0,N145-P145*K145))</x:f>
        <x:v>102937.70672019754</x:v>
      </x:c>
      <x:c r="R145" s="65" t="n">
        <x:f>IF(J145&lt;=0,0,MAX(1E-12,(L145*('In_Cases'!P13-H145)+M145*('In_Cases'!P13-'In_Cases'!V13))*G145*J145/1000))</x:f>
        <x:v>0</x:v>
      </x:c>
      <x:c r="S145" s="65" t="str">
        <x:f>IF(J145&lt;=0,"",K145/R145)</x:f>
      </x:c>
      <x:c r="T145" s="65" t="n">
        <x:f>IF(J145&lt;=0,0,IF(ABS(S145-1)&lt;1E-9,'Calc_Case'!N13/('Calc_Case'!N13+1),(1-POWER(S145,-'Calc_Case'!N13))/(1-POWER(S145,-'Calc_Case'!N13-1))))</x:f>
        <x:v>0</x:v>
      </x:c>
      <x:c r="U145" s="65" t="n">
        <x:f>IF(J145&lt;=0,0,'In_Cases'!Q13*MAX(0,K145-T145*R145))</x:f>
        <x:v>0</x:v>
      </x:c>
      <x:c r="V145" s="65" t="n">
        <x:f>MAX(0,1-I145-J145)</x:f>
        <x:v>0</x:v>
      </x:c>
      <x:c r="W145" s="65" t="n">
        <x:f>'In_Cases'!T13*(H145+'In_Cases'!S13*('In_Cases'!O13-H145))+(1-'In_Cases'!T13)*'In_Cases'!O13</x:f>
        <x:v>13.598548387096773</x:v>
      </x:c>
      <x:c r="X145" s="65" t="n">
        <x:f>'In_Cases'!T13*(H145+'In_Cases'!S13*('In_Cases'!P13-H145))+(1-'In_Cases'!T13)*'In_Cases'!P13</x:f>
        <x:v>17.198548387096775</x:v>
      </x:c>
      <x:c r="Y145" s="65" t="n">
        <x:f>'In_Cases'!T13*(H145+'In_Cases'!S13*((('In_Cases'!O13+'In_Cases'!P13)/2)-H145))+(1-'In_Cases'!T13)*(('In_Cases'!O13+'In_Cases'!P13)/2)</x:f>
        <x:v>15.398548387096774</x:v>
      </x:c>
      <x:c r="Z145" s="65" t="n">
        <x:f>'In_Cases'!R13*M145*('In_Cases'!U13-W145)*G145*I145/1000</x:f>
        <x:v>71022.84653539785</x:v>
      </x:c>
      <x:c r="AA145" s="65" t="n">
        <x:f>'In_Cases'!R13*M145*('In_Cases'!V13-X145)*G145*J145/1000</x:f>
        <x:v>0</x:v>
      </x:c>
      <x:c r="AB145" s="65" t="n">
        <x:f>'In_Cases'!R13*M145*('In_Cases'!V13-Y145)*G145*V145/1000</x:f>
        <x:v>0</x:v>
      </x:c>
      <x:c r="AC145" s="65" t="n">
        <x:f>MAX(0,Z145)+MAX(0,AA145)+MAX(0,AB145)</x:f>
        <x:v>71022.84653539785</x:v>
      </x:c>
      <x:c r="AD145" s="65" t="n">
        <x:f>MAX(0,-Z145)+MAX(0,-AA145)+MAX(0,-AB145)</x:f>
        <x:v>0</x:v>
      </x:c>
      <x:c r="AE145" s="65" t="n">
        <x:f>Q145+AC145</x:f>
        <x:v>173960.55325559538</x:v>
      </x:c>
      <x:c r="AF145" s="65" t="n">
        <x:f>U145+AD145</x:f>
        <x:v>0</x:v>
      </x:c>
    </x:row>
    <x:row r="146">
      <x:c r="A146" s="39" t="str">
        <x:f>'In_Monthly'!A146</x:f>
        <x:v>21|aggregate</x:v>
      </x:c>
      <x:c r="B146" s="39" t="str">
        <x:f>'In_Monthly'!B146</x:f>
        <x:v>21</x:v>
      </x:c>
      <x:c r="C146" s="39" t="str">
        <x:f>'In_Monthly'!C146</x:f>
        <x:v>Test building 5</x:v>
      </x:c>
      <x:c r="D146" s="39" t="str">
        <x:f>'In_Monthly'!D146</x:f>
        <x:v>aggregate</x:v>
      </x:c>
      <x:c r="E146" s="39" t="str">
        <x:f>'In_Monthly'!E146</x:f>
        <x:v>2023-01</x:v>
      </x:c>
      <x:c r="F146" s="65" t="n">
        <x:f>'In_Monthly'!F146</x:f>
        <x:v>31</x:v>
      </x:c>
      <x:c r="G146" s="65" t="n">
        <x:f>F146*24</x:f>
        <x:v>744</x:v>
      </x:c>
      <x:c r="H146" s="65" t="n">
        <x:f>'In_Monthly'!G146</x:f>
        <x:v>2.638440860215054</x:v>
      </x:c>
      <x:c r="I146" s="65" t="n">
        <x:f>'In_Monthly'!K146</x:f>
        <x:v>1</x:v>
      </x:c>
      <x:c r="J146" s="65" t="n">
        <x:f>'In_Monthly'!L146</x:f>
        <x:v>0</x:v>
      </x:c>
      <x:c r="K146" s="65" t="n">
        <x:f>'In_Monthly'!J146*G146/1000</x:f>
        <x:v>48363.91442334903</x:v>
      </x:c>
      <x:c r="L146" s="65" t="n">
        <x:f>'Calc_Case'!E14+'Calc_Case'!F14+'Calc_Case'!G14</x:f>
        <x:v>36032.152010253776</x:v>
      </x:c>
      <x:c r="M146" s="65" t="n">
        <x:f>'Calc_Case'!H14</x:f>
        <x:v>42208.3992234375</x:v>
      </x:c>
      <x:c r="N146" s="65" t="n">
        <x:f>(L146*('In_Cases'!O14-H146)+M146*('In_Cases'!O14-'In_Cases'!U14))*G146*I146/1000</x:f>
        <x:v>402621.209471973</x:v>
      </x:c>
      <x:c r="O146" s="65" t="n">
        <x:f>IF(N146&lt;=0,"",K146/N146)</x:f>
        <x:v>0.1201226196870677</x:v>
      </x:c>
      <x:c r="P146" s="65" t="n">
        <x:f>IF(N146&lt;=0,0,IF(ABS(O146-1)&lt;1E-9,'Calc_Case'!N14/('Calc_Case'!N14+1),(1-POWER(O146,'Calc_Case'!N14))/(1-POWER(O146,'Calc_Case'!N14+1))))</x:f>
        <x:v>0.9994999433770813</x:v>
      </x:c>
      <x:c r="Q146" s="65" t="n">
        <x:f>IF(N146&lt;=0,0,MAX(0,N146-P146*K146))</x:f>
        <x:v>354281.47974434163</x:v>
      </x:c>
      <x:c r="R146" s="65" t="n">
        <x:f>IF(J146&lt;=0,0,MAX(1E-12,(L146*('In_Cases'!P14-H146)+M146*('In_Cases'!P14-'In_Cases'!V14))*G146*J146/1000))</x:f>
        <x:v>0</x:v>
      </x:c>
      <x:c r="S146" s="65" t="str">
        <x:f>IF(J146&lt;=0,"",K146/R146)</x:f>
      </x:c>
      <x:c r="T146" s="65" t="n">
        <x:f>IF(J146&lt;=0,0,IF(ABS(S146-1)&lt;1E-9,'Calc_Case'!N14/('Calc_Case'!N14+1),(1-POWER(S146,-'Calc_Case'!N14))/(1-POWER(S146,-'Calc_Case'!N14-1))))</x:f>
        <x:v>0</x:v>
      </x:c>
      <x:c r="U146" s="65" t="n">
        <x:f>IF(J146&lt;=0,0,'In_Cases'!Q14*MAX(0,K146-T146*R146))</x:f>
        <x:v>0</x:v>
      </x:c>
      <x:c r="V146" s="65" t="n">
        <x:f>MAX(0,1-I146-J146)</x:f>
        <x:v>0</x:v>
      </x:c>
      <x:c r="W146" s="65" t="n">
        <x:f>'In_Cases'!T14*(H146+'In_Cases'!S14*('In_Cases'!O14-H146))+(1-'In_Cases'!T14)*'In_Cases'!O14</x:f>
        <x:v>13.05537634408602</x:v>
      </x:c>
      <x:c r="X146" s="65" t="n">
        <x:f>'In_Cases'!T14*(H146+'In_Cases'!S14*('In_Cases'!P14-H146))+(1-'In_Cases'!T14)*'In_Cases'!P14</x:f>
        <x:v>16.655376344086022</x:v>
      </x:c>
      <x:c r="Y146" s="65" t="n">
        <x:f>'In_Cases'!T14*(H146+'In_Cases'!S14*((('In_Cases'!O14+'In_Cases'!P14)/2)-H146))+(1-'In_Cases'!T14)*(('In_Cases'!O14+'In_Cases'!P14)/2)</x:f>
        <x:v>14.85537634408602</x:v>
      </x:c>
      <x:c r="Z146" s="65" t="n">
        <x:f>'In_Cases'!R14*M146*('In_Cases'!U14-W146)*G146*I146/1000</x:f>
        <x:v>280888.45515213185</x:v>
      </x:c>
      <x:c r="AA146" s="65" t="n">
        <x:f>'In_Cases'!R14*M146*('In_Cases'!V14-X146)*G146*J146/1000</x:f>
        <x:v>0</x:v>
      </x:c>
      <x:c r="AB146" s="65" t="n">
        <x:f>'In_Cases'!R14*M146*('In_Cases'!V14-Y146)*G146*V146/1000</x:f>
        <x:v>0</x:v>
      </x:c>
      <x:c r="AC146" s="65" t="n">
        <x:f>MAX(0,Z146)+MAX(0,AA146)+MAX(0,AB146)</x:f>
        <x:v>280888.45515213185</x:v>
      </x:c>
      <x:c r="AD146" s="65" t="n">
        <x:f>MAX(0,-Z146)+MAX(0,-AA146)+MAX(0,-AB146)</x:f>
        <x:v>0</x:v>
      </x:c>
      <x:c r="AE146" s="65" t="n">
        <x:f>Q146+AC146</x:f>
        <x:v>635169.9348964735</x:v>
      </x:c>
      <x:c r="AF146" s="65" t="n">
        <x:f>U146+AD146</x:f>
        <x:v>0</x:v>
      </x:c>
    </x:row>
    <x:row r="147">
      <x:c r="A147" s="39" t="str">
        <x:f>'In_Monthly'!A147</x:f>
        <x:v>21|aggregate</x:v>
      </x:c>
      <x:c r="B147" s="39" t="str">
        <x:f>'In_Monthly'!B147</x:f>
        <x:v>21</x:v>
      </x:c>
      <x:c r="C147" s="39" t="str">
        <x:f>'In_Monthly'!C147</x:f>
        <x:v>Test building 5</x:v>
      </x:c>
      <x:c r="D147" s="39" t="str">
        <x:f>'In_Monthly'!D147</x:f>
        <x:v>aggregate</x:v>
      </x:c>
      <x:c r="E147" s="39" t="str">
        <x:f>'In_Monthly'!E147</x:f>
        <x:v>2023-02</x:v>
      </x:c>
      <x:c r="F147" s="65" t="n">
        <x:f>'In_Monthly'!F147</x:f>
        <x:v>28</x:v>
      </x:c>
      <x:c r="G147" s="65" t="n">
        <x:f>F147*24</x:f>
        <x:v>672</x:v>
      </x:c>
      <x:c r="H147" s="65" t="n">
        <x:f>'In_Monthly'!G147</x:f>
        <x:v>3.8903273809523813</x:v>
      </x:c>
      <x:c r="I147" s="65" t="n">
        <x:f>'In_Monthly'!K147</x:f>
        <x:v>1</x:v>
      </x:c>
      <x:c r="J147" s="65" t="n">
        <x:f>'In_Monthly'!L147</x:f>
        <x:v>0</x:v>
      </x:c>
      <x:c r="K147" s="65" t="n">
        <x:f>'In_Monthly'!J147*G147/1000</x:f>
        <x:v>54967.315738508376</x:v>
      </x:c>
      <x:c r="L147" s="65" t="n">
        <x:f>'Calc_Case'!E14+'Calc_Case'!F14+'Calc_Case'!G14</x:f>
        <x:v>36032.152010253776</x:v>
      </x:c>
      <x:c r="M147" s="65" t="n">
        <x:f>'Calc_Case'!H14</x:f>
        <x:v>42208.3992234375</x:v>
      </x:c>
      <x:c r="N147" s="65" t="n">
        <x:f>(L147*('In_Cases'!O14-H147)+M147*('In_Cases'!O14-'In_Cases'!U14))*G147*I147/1000</x:f>
        <x:v>333345.1794611043</x:v>
      </x:c>
      <x:c r="O147" s="65" t="n">
        <x:f>IF(N147&lt;=0,"",K147/N147)</x:f>
        <x:v>0.16489608707517586</x:v>
      </x:c>
      <x:c r="P147" s="65" t="n">
        <x:f>IF(N147&lt;=0,0,IF(ABS(O147-1)&lt;1E-9,'Calc_Case'!N14/('Calc_Case'!N14+1),(1-POWER(O147,'Calc_Case'!N14))/(1-POWER(O147,'Calc_Case'!N14+1))))</x:f>
        <x:v>0.9985492676121819</x:v>
      </x:c>
      <x:c r="Q147" s="65" t="n">
        <x:f>IF(N147&lt;=0,0,MAX(0,N147-P147*K147))</x:f>
        <x:v>278457.60658780916</x:v>
      </x:c>
      <x:c r="R147" s="65" t="n">
        <x:f>IF(J147&lt;=0,0,MAX(1E-12,(L147*('In_Cases'!P14-H147)+M147*('In_Cases'!P14-'In_Cases'!V14))*G147*J147/1000))</x:f>
        <x:v>0</x:v>
      </x:c>
      <x:c r="S147" s="65" t="str">
        <x:f>IF(J147&lt;=0,"",K147/R147)</x:f>
      </x:c>
      <x:c r="T147" s="65" t="n">
        <x:f>IF(J147&lt;=0,0,IF(ABS(S147-1)&lt;1E-9,'Calc_Case'!N14/('Calc_Case'!N14+1),(1-POWER(S147,-'Calc_Case'!N14))/(1-POWER(S147,-'Calc_Case'!N14-1))))</x:f>
        <x:v>0</x:v>
      </x:c>
      <x:c r="U147" s="65" t="n">
        <x:f>IF(J147&lt;=0,0,'In_Cases'!Q14*MAX(0,K147-T147*R147))</x:f>
        <x:v>0</x:v>
      </x:c>
      <x:c r="V147" s="65" t="n">
        <x:f>MAX(0,1-I147-J147)</x:f>
        <x:v>0</x:v>
      </x:c>
      <x:c r="W147" s="65" t="n">
        <x:f>'In_Cases'!T14*(H147+'In_Cases'!S14*('In_Cases'!O14-H147))+(1-'In_Cases'!T14)*'In_Cases'!O14</x:f>
        <x:v>13.556130952380952</x:v>
      </x:c>
      <x:c r="X147" s="65" t="n">
        <x:f>'In_Cases'!T14*(H147+'In_Cases'!S14*('In_Cases'!P14-H147))+(1-'In_Cases'!T14)*'In_Cases'!P14</x:f>
        <x:v>17.156130952380952</x:v>
      </x:c>
      <x:c r="Y147" s="65" t="n">
        <x:f>'In_Cases'!T14*(H147+'In_Cases'!S14*((('In_Cases'!O14+'In_Cases'!P14)/2)-H147))+(1-'In_Cases'!T14)*(('In_Cases'!O14+'In_Cases'!P14)/2)</x:f>
        <x:v>15.356130952380953</x:v>
      </x:c>
      <x:c r="Z147" s="65" t="n">
        <x:f>'In_Cases'!R14*M147*('In_Cases'!U14-W147)*G147*I147/1000</x:f>
        <x:v>239502.2755455669</x:v>
      </x:c>
      <x:c r="AA147" s="65" t="n">
        <x:f>'In_Cases'!R14*M147*('In_Cases'!V14-X147)*G147*J147/1000</x:f>
        <x:v>0</x:v>
      </x:c>
      <x:c r="AB147" s="65" t="n">
        <x:f>'In_Cases'!R14*M147*('In_Cases'!V14-Y147)*G147*V147/1000</x:f>
        <x:v>0</x:v>
      </x:c>
      <x:c r="AC147" s="65" t="n">
        <x:f>MAX(0,Z147)+MAX(0,AA147)+MAX(0,AB147)</x:f>
        <x:v>239502.2755455669</x:v>
      </x:c>
      <x:c r="AD147" s="65" t="n">
        <x:f>MAX(0,-Z147)+MAX(0,-AA147)+MAX(0,-AB147)</x:f>
        <x:v>0</x:v>
      </x:c>
      <x:c r="AE147" s="65" t="n">
        <x:f>Q147+AC147</x:f>
        <x:v>517959.8821333761</x:v>
      </x:c>
      <x:c r="AF147" s="65" t="n">
        <x:f>U147+AD147</x:f>
        <x:v>0</x:v>
      </x:c>
    </x:row>
    <x:row r="148">
      <x:c r="A148" s="39" t="str">
        <x:f>'In_Monthly'!A148</x:f>
        <x:v>21|aggregate</x:v>
      </x:c>
      <x:c r="B148" s="39" t="str">
        <x:f>'In_Monthly'!B148</x:f>
        <x:v>21</x:v>
      </x:c>
      <x:c r="C148" s="39" t="str">
        <x:f>'In_Monthly'!C148</x:f>
        <x:v>Test building 5</x:v>
      </x:c>
      <x:c r="D148" s="39" t="str">
        <x:f>'In_Monthly'!D148</x:f>
        <x:v>aggregate</x:v>
      </x:c>
      <x:c r="E148" s="39" t="str">
        <x:f>'In_Monthly'!E148</x:f>
        <x:v>2023-03</x:v>
      </x:c>
      <x:c r="F148" s="65" t="n">
        <x:f>'In_Monthly'!F148</x:f>
        <x:v>31</x:v>
      </x:c>
      <x:c r="G148" s="65" t="n">
        <x:f>F148*24</x:f>
        <x:v>744</x:v>
      </x:c>
      <x:c r="H148" s="65" t="n">
        <x:f>'In_Monthly'!G148</x:f>
        <x:v>7.746908602150539</x:v>
      </x:c>
      <x:c r="I148" s="65" t="n">
        <x:f>'In_Monthly'!K148</x:f>
        <x:v>1</x:v>
      </x:c>
      <x:c r="J148" s="65" t="n">
        <x:f>'In_Monthly'!L148</x:f>
        <x:v>0</x:v>
      </x:c>
      <x:c r="K148" s="65" t="n">
        <x:f>'In_Monthly'!J148*G148/1000</x:f>
        <x:v>103316.3812407131</x:v>
      </x:c>
      <x:c r="L148" s="65" t="n">
        <x:f>'Calc_Case'!E14+'Calc_Case'!F14+'Calc_Case'!G14</x:f>
        <x:v>36032.152010253776</x:v>
      </x:c>
      <x:c r="M148" s="65" t="n">
        <x:f>'Calc_Case'!H14</x:f>
        <x:v>42208.3992234375</x:v>
      </x:c>
      <x:c r="N148" s="65" t="n">
        <x:f>(L148*('In_Cases'!O14-H148)+M148*('In_Cases'!O14-'In_Cases'!U14))*G148*I148/1000</x:f>
        <x:v>265673.80932660145</x:v>
      </x:c>
      <x:c r="O148" s="65" t="n">
        <x:f>IF(N148&lt;=0,"",K148/N148)</x:f>
        <x:v>0.38888432963184155</x:v>
      </x:c>
      <x:c r="P148" s="65" t="n">
        <x:f>IF(N148&lt;=0,0,IF(ABS(O148-1)&lt;1E-9,'Calc_Case'!N14/('Calc_Case'!N14+1),(1-POWER(O148,'Calc_Case'!N14))/(1-POWER(O148,'Calc_Case'!N14+1))))</x:f>
        <x:v>0.9778266729505088</x:v>
      </x:c>
      <x:c r="Q148" s="65" t="n">
        <x:f>IF(N148&lt;=0,0,MAX(0,N148-P148*K148))</x:f>
        <x:v>164648.2959967086</x:v>
      </x:c>
      <x:c r="R148" s="65" t="n">
        <x:f>IF(J148&lt;=0,0,MAX(1E-12,(L148*('In_Cases'!P14-H148)+M148*('In_Cases'!P14-'In_Cases'!V14))*G148*J148/1000))</x:f>
        <x:v>0</x:v>
      </x:c>
      <x:c r="S148" s="65" t="str">
        <x:f>IF(J148&lt;=0,"",K148/R148)</x:f>
      </x:c>
      <x:c r="T148" s="65" t="n">
        <x:f>IF(J148&lt;=0,0,IF(ABS(S148-1)&lt;1E-9,'Calc_Case'!N14/('Calc_Case'!N14+1),(1-POWER(S148,-'Calc_Case'!N14))/(1-POWER(S148,-'Calc_Case'!N14-1))))</x:f>
        <x:v>0</x:v>
      </x:c>
      <x:c r="U148" s="65" t="n">
        <x:f>IF(J148&lt;=0,0,'In_Cases'!Q14*MAX(0,K148-T148*R148))</x:f>
        <x:v>0</x:v>
      </x:c>
      <x:c r="V148" s="65" t="n">
        <x:f>MAX(0,1-I148-J148)</x:f>
        <x:v>0</x:v>
      </x:c>
      <x:c r="W148" s="65" t="n">
        <x:f>'In_Cases'!T14*(H148+'In_Cases'!S14*('In_Cases'!O14-H148))+(1-'In_Cases'!T14)*'In_Cases'!O14</x:f>
        <x:v>15.098763440860214</x:v>
      </x:c>
      <x:c r="X148" s="65" t="n">
        <x:f>'In_Cases'!T14*(H148+'In_Cases'!S14*('In_Cases'!P14-H148))+(1-'In_Cases'!T14)*'In_Cases'!P14</x:f>
        <x:v>18.698763440860212</x:v>
      </x:c>
      <x:c r="Y148" s="65" t="n">
        <x:f>'In_Cases'!T14*(H148+'In_Cases'!S14*((('In_Cases'!O14+'In_Cases'!P14)/2)-H148))+(1-'In_Cases'!T14)*(('In_Cases'!O14+'In_Cases'!P14)/2)</x:f>
        <x:v>16.898763440860215</x:v>
      </x:c>
      <x:c r="Z148" s="65" t="n">
        <x:f>'In_Cases'!R14*M148*('In_Cases'!U14-W148)*G148*I148/1000</x:f>
        <x:v>216719.8699807243</x:v>
      </x:c>
      <x:c r="AA148" s="65" t="n">
        <x:f>'In_Cases'!R14*M148*('In_Cases'!V14-X148)*G148*J148/1000</x:f>
        <x:v>0</x:v>
      </x:c>
      <x:c r="AB148" s="65" t="n">
        <x:f>'In_Cases'!R14*M148*('In_Cases'!V14-Y148)*G148*V148/1000</x:f>
        <x:v>0</x:v>
      </x:c>
      <x:c r="AC148" s="65" t="n">
        <x:f>MAX(0,Z148)+MAX(0,AA148)+MAX(0,AB148)</x:f>
        <x:v>216719.8699807243</x:v>
      </x:c>
      <x:c r="AD148" s="65" t="n">
        <x:f>MAX(0,-Z148)+MAX(0,-AA148)+MAX(0,-AB148)</x:f>
        <x:v>0</x:v>
      </x:c>
      <x:c r="AE148" s="65" t="n">
        <x:f>Q148+AC148</x:f>
        <x:v>381368.16597743286</x:v>
      </x:c>
      <x:c r="AF148" s="65" t="n">
        <x:f>U148+AD148</x:f>
        <x:v>0</x:v>
      </x:c>
    </x:row>
    <x:row r="149">
      <x:c r="A149" s="39" t="str">
        <x:f>'In_Monthly'!A149</x:f>
        <x:v>21|aggregate</x:v>
      </x:c>
      <x:c r="B149" s="39" t="str">
        <x:f>'In_Monthly'!B149</x:f>
        <x:v>21</x:v>
      </x:c>
      <x:c r="C149" s="39" t="str">
        <x:f>'In_Monthly'!C149</x:f>
        <x:v>Test building 5</x:v>
      </x:c>
      <x:c r="D149" s="39" t="str">
        <x:f>'In_Monthly'!D149</x:f>
        <x:v>aggregate</x:v>
      </x:c>
      <x:c r="E149" s="39" t="str">
        <x:f>'In_Monthly'!E149</x:f>
        <x:v>2023-04</x:v>
      </x:c>
      <x:c r="F149" s="65" t="n">
        <x:f>'In_Monthly'!F149</x:f>
        <x:v>30</x:v>
      </x:c>
      <x:c r="G149" s="65" t="n">
        <x:f>F149*24</x:f>
        <x:v>720</x:v>
      </x:c>
      <x:c r="H149" s="65" t="n">
        <x:f>'In_Monthly'!G149</x:f>
        <x:v>12.03041666666667</x:v>
      </x:c>
      <x:c r="I149" s="65" t="n">
        <x:f>'In_Monthly'!K149</x:f>
        <x:v>1</x:v>
      </x:c>
      <x:c r="J149" s="65" t="n">
        <x:f>'In_Monthly'!L149</x:f>
        <x:v>0</x:v>
      </x:c>
      <x:c r="K149" s="65" t="n">
        <x:f>'In_Monthly'!J149*G149/1000</x:f>
        <x:v>124895.86978706224</x:v>
      </x:c>
      <x:c r="L149" s="65" t="n">
        <x:f>'Calc_Case'!E14+'Calc_Case'!F14+'Calc_Case'!G14</x:f>
        <x:v>36032.152010253776</x:v>
      </x:c>
      <x:c r="M149" s="65" t="n">
        <x:f>'Calc_Case'!H14</x:f>
        <x:v>42208.3992234375</x:v>
      </x:c>
      <x:c r="N149" s="65" t="n">
        <x:f>(L149*('In_Cases'!O14-H149)+M149*('In_Cases'!O14-'In_Cases'!U14))*G149*I149/1000</x:f>
        <x:v>145975.9965682871</x:v>
      </x:c>
      <x:c r="O149" s="65" t="n">
        <x:f>IF(N149&lt;=0,"",K149/N149)</x:f>
        <x:v>0.8555918282677135</x:v>
      </x:c>
      <x:c r="P149" s="65" t="n">
        <x:f>IF(N149&lt;=0,0,IF(ABS(O149-1)&lt;1E-9,'Calc_Case'!N14/('Calc_Case'!N14+1),(1-POWER(O149,'Calc_Case'!N14))/(1-POWER(O149,'Calc_Case'!N14+1))))</x:f>
        <x:v>0.8354474383106743</x:v>
      </x:c>
      <x:c r="Q149" s="65" t="n">
        <x:f>IF(N149&lt;=0,0,MAX(0,N149-P149*K149))</x:f>
        <x:v>41632.06209910242</x:v>
      </x:c>
      <x:c r="R149" s="65" t="n">
        <x:f>IF(J149&lt;=0,0,MAX(1E-12,(L149*('In_Cases'!P14-H149)+M149*('In_Cases'!P14-'In_Cases'!V14))*G149*J149/1000))</x:f>
        <x:v>0</x:v>
      </x:c>
      <x:c r="S149" s="65" t="str">
        <x:f>IF(J149&lt;=0,"",K149/R149)</x:f>
      </x:c>
      <x:c r="T149" s="65" t="n">
        <x:f>IF(J149&lt;=0,0,IF(ABS(S149-1)&lt;1E-9,'Calc_Case'!N14/('Calc_Case'!N14+1),(1-POWER(S149,-'Calc_Case'!N14))/(1-POWER(S149,-'Calc_Case'!N14-1))))</x:f>
        <x:v>0</x:v>
      </x:c>
      <x:c r="U149" s="65" t="n">
        <x:f>IF(J149&lt;=0,0,'In_Cases'!Q14*MAX(0,K149-T149*R149))</x:f>
        <x:v>0</x:v>
      </x:c>
      <x:c r="V149" s="65" t="n">
        <x:f>MAX(0,1-I149-J149)</x:f>
        <x:v>0</x:v>
      </x:c>
      <x:c r="W149" s="65" t="n">
        <x:f>'In_Cases'!T14*(H149+'In_Cases'!S14*('In_Cases'!O14-H149))+(1-'In_Cases'!T14)*'In_Cases'!O14</x:f>
        <x:v>16.812166666666666</x:v>
      </x:c>
      <x:c r="X149" s="65" t="n">
        <x:f>'In_Cases'!T14*(H149+'In_Cases'!S14*('In_Cases'!P14-H149))+(1-'In_Cases'!T14)*'In_Cases'!P14</x:f>
        <x:v>20.412166666666668</x:v>
      </x:c>
      <x:c r="Y149" s="65" t="n">
        <x:f>'In_Cases'!T14*(H149+'In_Cases'!S14*((('In_Cases'!O14+'In_Cases'!P14)/2)-H149))+(1-'In_Cases'!T14)*(('In_Cases'!O14+'In_Cases'!P14)/2)</x:f>
        <x:v>18.612166666666667</x:v>
      </x:c>
      <x:c r="Z149" s="65" t="n">
        <x:f>'In_Cases'!R14*M149*('In_Cases'!U14-W149)*G149*I149/1000</x:f>
        <x:v>157658.5011153527</x:v>
      </x:c>
      <x:c r="AA149" s="65" t="n">
        <x:f>'In_Cases'!R14*M149*('In_Cases'!V14-X149)*G149*J149/1000</x:f>
        <x:v>0</x:v>
      </x:c>
      <x:c r="AB149" s="65" t="n">
        <x:f>'In_Cases'!R14*M149*('In_Cases'!V14-Y149)*G149*V149/1000</x:f>
        <x:v>0</x:v>
      </x:c>
      <x:c r="AC149" s="65" t="n">
        <x:f>MAX(0,Z149)+MAX(0,AA149)+MAX(0,AB149)</x:f>
        <x:v>157658.5011153527</x:v>
      </x:c>
      <x:c r="AD149" s="65" t="n">
        <x:f>MAX(0,-Z149)+MAX(0,-AA149)+MAX(0,-AB149)</x:f>
        <x:v>0</x:v>
      </x:c>
      <x:c r="AE149" s="65" t="n">
        <x:f>Q149+AC149</x:f>
        <x:v>199290.56321445512</x:v>
      </x:c>
      <x:c r="AF149" s="65" t="n">
        <x:f>U149+AD149</x:f>
        <x:v>0</x:v>
      </x:c>
    </x:row>
    <x:row r="150">
      <x:c r="A150" s="39" t="str">
        <x:f>'In_Monthly'!A150</x:f>
        <x:v>21|aggregate</x:v>
      </x:c>
      <x:c r="B150" s="39" t="str">
        <x:f>'In_Monthly'!B150</x:f>
        <x:v>21</x:v>
      </x:c>
      <x:c r="C150" s="39" t="str">
        <x:f>'In_Monthly'!C150</x:f>
        <x:v>Test building 5</x:v>
      </x:c>
      <x:c r="D150" s="39" t="str">
        <x:f>'In_Monthly'!D150</x:f>
        <x:v>aggregate</x:v>
      </x:c>
      <x:c r="E150" s="39" t="str">
        <x:f>'In_Monthly'!E150</x:f>
        <x:v>2023-05</x:v>
      </x:c>
      <x:c r="F150" s="65" t="n">
        <x:f>'In_Monthly'!F150</x:f>
        <x:v>31</x:v>
      </x:c>
      <x:c r="G150" s="65" t="n">
        <x:f>F150*24</x:f>
        <x:v>744</x:v>
      </x:c>
      <x:c r="H150" s="65" t="n">
        <x:f>'In_Monthly'!G150</x:f>
        <x:v>17.244086021505375</x:v>
      </x:c>
      <x:c r="I150" s="65" t="n">
        <x:f>'In_Monthly'!K150</x:f>
        <x:v>0</x:v>
      </x:c>
      <x:c r="J150" s="65" t="n">
        <x:f>'In_Monthly'!L150</x:f>
        <x:v>0</x:v>
      </x:c>
      <x:c r="K150" s="65" t="n">
        <x:f>'In_Monthly'!J150*G150/1000</x:f>
        <x:v>158834.33455291393</x:v>
      </x:c>
      <x:c r="L150" s="65" t="n">
        <x:f>'Calc_Case'!E14+'Calc_Case'!F14+'Calc_Case'!G14</x:f>
        <x:v>36032.152010253776</x:v>
      </x:c>
      <x:c r="M150" s="65" t="n">
        <x:f>'Calc_Case'!H14</x:f>
        <x:v>42208.3992234375</x:v>
      </x:c>
      <x:c r="N150" s="65" t="n">
        <x:f>(L150*('In_Cases'!O14-H150)+M150*('In_Cases'!O14-'In_Cases'!U14))*G150*I150/1000</x:f>
        <x:v>0</x:v>
      </x:c>
      <x:c r="O150" s="65" t="str">
        <x:f>IF(N150&lt;=0,"",K150/N150)</x:f>
      </x:c>
      <x:c r="P150" s="65" t="n">
        <x:f>IF(N150&lt;=0,0,IF(ABS(O150-1)&lt;1E-9,'Calc_Case'!N14/('Calc_Case'!N14+1),(1-POWER(O150,'Calc_Case'!N14))/(1-POWER(O150,'Calc_Case'!N14+1))))</x:f>
        <x:v>0</x:v>
      </x:c>
      <x:c r="Q150" s="65" t="n">
        <x:f>IF(N150&lt;=0,0,MAX(0,N150-P150*K150))</x:f>
        <x:v>0</x:v>
      </x:c>
      <x:c r="R150" s="65" t="n">
        <x:f>IF(J150&lt;=0,0,MAX(1E-12,(L150*('In_Cases'!P14-H150)+M150*('In_Cases'!P14-'In_Cases'!V14))*G150*J150/1000))</x:f>
        <x:v>0</x:v>
      </x:c>
      <x:c r="S150" s="65" t="str">
        <x:f>IF(J150&lt;=0,"",K150/R150)</x:f>
      </x:c>
      <x:c r="T150" s="65" t="n">
        <x:f>IF(J150&lt;=0,0,IF(ABS(S150-1)&lt;1E-9,'Calc_Case'!N14/('Calc_Case'!N14+1),(1-POWER(S150,-'Calc_Case'!N14))/(1-POWER(S150,-'Calc_Case'!N14-1))))</x:f>
        <x:v>0</x:v>
      </x:c>
      <x:c r="U150" s="65" t="n">
        <x:f>IF(J150&lt;=0,0,'In_Cases'!Q14*MAX(0,K150-T150*R150))</x:f>
        <x:v>0</x:v>
      </x:c>
      <x:c r="V150" s="65" t="n">
        <x:f>MAX(0,1-I150-J150)</x:f>
        <x:v>1</x:v>
      </x:c>
      <x:c r="W150" s="65" t="n">
        <x:f>'In_Cases'!T14*(H150+'In_Cases'!S14*('In_Cases'!O14-H150))+(1-'In_Cases'!T14)*'In_Cases'!O14</x:f>
        <x:v>18.89763440860215</x:v>
      </x:c>
      <x:c r="X150" s="65" t="n">
        <x:f>'In_Cases'!T14*(H150+'In_Cases'!S14*('In_Cases'!P14-H150))+(1-'In_Cases'!T14)*'In_Cases'!P14</x:f>
        <x:v>22.49763440860215</x:v>
      </x:c>
      <x:c r="Y150" s="65" t="n">
        <x:f>'In_Cases'!T14*(H150+'In_Cases'!S14*((('In_Cases'!O14+'In_Cases'!P14)/2)-H150))+(1-'In_Cases'!T14)*(('In_Cases'!O14+'In_Cases'!P14)/2)</x:f>
        <x:v>20.69763440860215</x:v>
      </x:c>
      <x:c r="Z150" s="65" t="n">
        <x:f>'In_Cases'!R14*M150*('In_Cases'!U14-W150)*G150*I150/1000</x:f>
        <x:v>0</x:v>
      </x:c>
      <x:c r="AA150" s="65" t="n">
        <x:f>'In_Cases'!R14*M150*('In_Cases'!V14-X150)*G150*J150/1000</x:f>
        <x:v>0</x:v>
      </x:c>
      <x:c r="AB150" s="65" t="n">
        <x:f>'In_Cases'!R14*M150*('In_Cases'!V14-Y150)*G150*V150/1000</x:f>
        <x:v>72301.29953377956</x:v>
      </x:c>
      <x:c r="AC150" s="65" t="n">
        <x:f>MAX(0,Z150)+MAX(0,AA150)+MAX(0,AB150)</x:f>
        <x:v>72301.29953377956</x:v>
      </x:c>
      <x:c r="AD150" s="65" t="n">
        <x:f>MAX(0,-Z150)+MAX(0,-AA150)+MAX(0,-AB150)</x:f>
        <x:v>0</x:v>
      </x:c>
      <x:c r="AE150" s="65" t="n">
        <x:f>Q150+AC150</x:f>
        <x:v>72301.29953377956</x:v>
      </x:c>
      <x:c r="AF150" s="65" t="n">
        <x:f>U150+AD150</x:f>
        <x:v>0</x:v>
      </x:c>
    </x:row>
    <x:row r="151">
      <x:c r="A151" s="39" t="str">
        <x:f>'In_Monthly'!A151</x:f>
        <x:v>21|aggregate</x:v>
      </x:c>
      <x:c r="B151" s="39" t="str">
        <x:f>'In_Monthly'!B151</x:f>
        <x:v>21</x:v>
      </x:c>
      <x:c r="C151" s="39" t="str">
        <x:f>'In_Monthly'!C151</x:f>
        <x:v>Test building 5</x:v>
      </x:c>
      <x:c r="D151" s="39" t="str">
        <x:f>'In_Monthly'!D151</x:f>
        <x:v>aggregate</x:v>
      </x:c>
      <x:c r="E151" s="39" t="str">
        <x:f>'In_Monthly'!E151</x:f>
        <x:v>2023-06</x:v>
      </x:c>
      <x:c r="F151" s="65" t="n">
        <x:f>'In_Monthly'!F151</x:f>
        <x:v>30</x:v>
      </x:c>
      <x:c r="G151" s="65" t="n">
        <x:f>F151*24</x:f>
        <x:v>720</x:v>
      </x:c>
      <x:c r="H151" s="65" t="n">
        <x:f>'In_Monthly'!G151</x:f>
        <x:v>20.758194444444445</x:v>
      </x:c>
      <x:c r="I151" s="65" t="n">
        <x:f>'In_Monthly'!K151</x:f>
        <x:v>0</x:v>
      </x:c>
      <x:c r="J151" s="65" t="n">
        <x:f>'In_Monthly'!L151</x:f>
        <x:v>1</x:v>
      </x:c>
      <x:c r="K151" s="65" t="n">
        <x:f>'In_Monthly'!J151*G151/1000</x:f>
        <x:v>160373.47755496294</x:v>
      </x:c>
      <x:c r="L151" s="65" t="n">
        <x:f>'Calc_Case'!E14+'Calc_Case'!F14+'Calc_Case'!G14</x:f>
        <x:v>36032.152010253776</x:v>
      </x:c>
      <x:c r="M151" s="65" t="n">
        <x:f>'Calc_Case'!H14</x:f>
        <x:v>42208.3992234375</x:v>
      </x:c>
      <x:c r="N151" s="65" t="n">
        <x:f>(L151*('In_Cases'!O14-H151)+M151*('In_Cases'!O14-'In_Cases'!U14))*G151*I151/1000</x:f>
        <x:v>0</x:v>
      </x:c>
      <x:c r="O151" s="65" t="str">
        <x:f>IF(N151&lt;=0,"",K151/N151)</x:f>
      </x:c>
      <x:c r="P151" s="65" t="n">
        <x:f>IF(N151&lt;=0,0,IF(ABS(O151-1)&lt;1E-9,'Calc_Case'!N14/('Calc_Case'!N14+1),(1-POWER(O151,'Calc_Case'!N14))/(1-POWER(O151,'Calc_Case'!N14+1))))</x:f>
        <x:v>0</x:v>
      </x:c>
      <x:c r="Q151" s="65" t="n">
        <x:f>IF(N151&lt;=0,0,MAX(0,N151-P151*K151))</x:f>
        <x:v>0</x:v>
      </x:c>
      <x:c r="R151" s="65" t="n">
        <x:f>IF(J151&lt;=0,0,MAX(1E-12,(L151*('In_Cases'!P14-H151)+M151*('In_Cases'!P14-'In_Cases'!V14))*G151*J151/1000))</x:f>
        <x:v>227159.0872245237</x:v>
      </x:c>
      <x:c r="S151" s="65" t="n">
        <x:f>IF(J151&lt;=0,"",K151/R151)</x:f>
        <x:v>0.7059963108429381</x:v>
      </x:c>
      <x:c r="T151" s="65" t="n">
        <x:f>IF(J151&lt;=0,0,IF(ABS(S151-1)&lt;1E-9,'Calc_Case'!N14/('Calc_Case'!N14+1),(1-POWER(S151,-'Calc_Case'!N14))/(1-POWER(S151,-'Calc_Case'!N14-1))))</x:f>
        <x:v>0.6293229835669579</x:v>
      </x:c>
      <x:c r="U151" s="65" t="n">
        <x:f>IF(J151&lt;=0,0,'In_Cases'!Q14*MAX(0,K151-T151*R151))</x:f>
        <x:v>17417.04303847885</x:v>
      </x:c>
      <x:c r="V151" s="65" t="n">
        <x:f>MAX(0,1-I151-J151)</x:f>
        <x:v>0</x:v>
      </x:c>
      <x:c r="W151" s="65" t="n">
        <x:f>'In_Cases'!T14*(H151+'In_Cases'!S14*('In_Cases'!O14-H151))+(1-'In_Cases'!T14)*'In_Cases'!O14</x:f>
        <x:v>20.30327777777778</x:v>
      </x:c>
      <x:c r="X151" s="65" t="n">
        <x:f>'In_Cases'!T14*(H151+'In_Cases'!S14*('In_Cases'!P14-H151))+(1-'In_Cases'!T14)*'In_Cases'!P14</x:f>
        <x:v>23.903277777777777</x:v>
      </x:c>
      <x:c r="Y151" s="65" t="n">
        <x:f>'In_Cases'!T14*(H151+'In_Cases'!S14*((('In_Cases'!O14+'In_Cases'!P14)/2)-H151))+(1-'In_Cases'!T14)*(('In_Cases'!O14+'In_Cases'!P14)/2)</x:f>
        <x:v>22.103277777777777</x:v>
      </x:c>
      <x:c r="Z151" s="65" t="n">
        <x:f>'In_Cases'!R14*M151*('In_Cases'!U14-W151)*G151*I151/1000</x:f>
        <x:v>0</x:v>
      </x:c>
      <x:c r="AA151" s="65" t="n">
        <x:f>'In_Cases'!R14*M151*('In_Cases'!V14-X151)*G151*J151/1000</x:f>
        <x:v>-27450.654518954798</x:v>
      </x:c>
      <x:c r="AB151" s="65" t="n">
        <x:f>'In_Cases'!R14*M151*('In_Cases'!V14-Y151)*G151*V151/1000</x:f>
        <x:v>0</x:v>
      </x:c>
      <x:c r="AC151" s="65" t="n">
        <x:f>MAX(0,Z151)+MAX(0,AA151)+MAX(0,AB151)</x:f>
        <x:v>0</x:v>
      </x:c>
      <x:c r="AD151" s="65" t="n">
        <x:f>MAX(0,-Z151)+MAX(0,-AA151)+MAX(0,-AB151)</x:f>
        <x:v>27450.654518954798</x:v>
      </x:c>
      <x:c r="AE151" s="65" t="n">
        <x:f>Q151+AC151</x:f>
        <x:v>0</x:v>
      </x:c>
      <x:c r="AF151" s="65" t="n">
        <x:f>U151+AD151</x:f>
        <x:v>44867.69755743365</x:v>
      </x:c>
    </x:row>
    <x:row r="152">
      <x:c r="A152" s="39" t="str">
        <x:f>'In_Monthly'!A152</x:f>
        <x:v>21|aggregate</x:v>
      </x:c>
      <x:c r="B152" s="39" t="str">
        <x:f>'In_Monthly'!B152</x:f>
        <x:v>21</x:v>
      </x:c>
      <x:c r="C152" s="39" t="str">
        <x:f>'In_Monthly'!C152</x:f>
        <x:v>Test building 5</x:v>
      </x:c>
      <x:c r="D152" s="39" t="str">
        <x:f>'In_Monthly'!D152</x:f>
        <x:v>aggregate</x:v>
      </x:c>
      <x:c r="E152" s="39" t="str">
        <x:f>'In_Monthly'!E152</x:f>
        <x:v>2023-07</x:v>
      </x:c>
      <x:c r="F152" s="65" t="n">
        <x:f>'In_Monthly'!F152</x:f>
        <x:v>31</x:v>
      </x:c>
      <x:c r="G152" s="65" t="n">
        <x:f>F152*24</x:f>
        <x:v>744</x:v>
      </x:c>
      <x:c r="H152" s="65" t="n">
        <x:f>'In_Monthly'!G152</x:f>
        <x:v>23.824193548387097</x:v>
      </x:c>
      <x:c r="I152" s="65" t="n">
        <x:f>'In_Monthly'!K152</x:f>
        <x:v>0</x:v>
      </x:c>
      <x:c r="J152" s="65" t="n">
        <x:f>'In_Monthly'!L152</x:f>
        <x:v>1</x:v>
      </x:c>
      <x:c r="K152" s="65" t="n">
        <x:f>'In_Monthly'!J152*G152/1000</x:f>
        <x:v>170765.2163717491</x:v>
      </x:c>
      <x:c r="L152" s="65" t="n">
        <x:f>'Calc_Case'!E14+'Calc_Case'!F14+'Calc_Case'!G14</x:f>
        <x:v>36032.152010253776</x:v>
      </x:c>
      <x:c r="M152" s="65" t="n">
        <x:f>'Calc_Case'!H14</x:f>
        <x:v>42208.3992234375</x:v>
      </x:c>
      <x:c r="N152" s="65" t="n">
        <x:f>(L152*('In_Cases'!O14-H152)+M152*('In_Cases'!O14-'In_Cases'!U14))*G152*I152/1000</x:f>
        <x:v>0</x:v>
      </x:c>
      <x:c r="O152" s="65" t="str">
        <x:f>IF(N152&lt;=0,"",K152/N152)</x:f>
      </x:c>
      <x:c r="P152" s="65" t="n">
        <x:f>IF(N152&lt;=0,0,IF(ABS(O152-1)&lt;1E-9,'Calc_Case'!N14/('Calc_Case'!N14+1),(1-POWER(O152,'Calc_Case'!N14))/(1-POWER(O152,'Calc_Case'!N14+1))))</x:f>
        <x:v>0</x:v>
      </x:c>
      <x:c r="Q152" s="65" t="n">
        <x:f>IF(N152&lt;=0,0,MAX(0,N152-P152*K152))</x:f>
        <x:v>0</x:v>
      </x:c>
      <x:c r="R152" s="65" t="n">
        <x:f>IF(J152&lt;=0,0,MAX(1E-12,(L152*('In_Cases'!P14-H152)+M152*('In_Cases'!P14-'In_Cases'!V14))*G152*J152/1000))</x:f>
        <x:v>152537.99474091126</x:v>
      </x:c>
      <x:c r="S152" s="65" t="n">
        <x:f>IF(J152&lt;=0,"",K152/R152)</x:f>
        <x:v>1.1194929936098683</x:v>
      </x:c>
      <x:c r="T152" s="65" t="n">
        <x:f>IF(J152&lt;=0,0,IF(ABS(S152-1)&lt;1E-9,'Calc_Case'!N14/('Calc_Case'!N14+1),(1-POWER(S152,-'Calc_Case'!N14))/(1-POWER(S152,-'Calc_Case'!N14-1))))</x:f>
        <x:v>0.8207936421193216</x:v>
      </x:c>
      <x:c r="U152" s="65" t="n">
        <x:f>IF(J152&lt;=0,0,'In_Cases'!Q14*MAX(0,K152-T152*R152))</x:f>
        <x:v>45563.00010677861</x:v>
      </x:c>
      <x:c r="V152" s="65" t="n">
        <x:f>MAX(0,1-I152-J152)</x:f>
        <x:v>0</x:v>
      </x:c>
      <x:c r="W152" s="65" t="n">
        <x:f>'In_Cases'!T14*(H152+'In_Cases'!S14*('In_Cases'!O14-H152))+(1-'In_Cases'!T14)*'In_Cases'!O14</x:f>
        <x:v>21.52967741935484</x:v>
      </x:c>
      <x:c r="X152" s="65" t="n">
        <x:f>'In_Cases'!T14*(H152+'In_Cases'!S14*('In_Cases'!P14-H152))+(1-'In_Cases'!T14)*'In_Cases'!P14</x:f>
        <x:v>25.129677419354838</x:v>
      </x:c>
      <x:c r="Y152" s="65" t="n">
        <x:f>'In_Cases'!T14*(H152+'In_Cases'!S14*((('In_Cases'!O14+'In_Cases'!P14)/2)-H152))+(1-'In_Cases'!T14)*(('In_Cases'!O14+'In_Cases'!P14)/2)</x:f>
        <x:v>23.329677419354837</x:v>
      </x:c>
      <x:c r="Z152" s="65" t="n">
        <x:f>'In_Cases'!R14*M152*('In_Cases'!U14-W152)*G152*I152/1000</x:f>
        <x:v>0</x:v>
      </x:c>
      <x:c r="AA152" s="65" t="n">
        <x:f>'In_Cases'!R14*M152*('In_Cases'!V14-X152)*G152*J152/1000</x:f>
        <x:v>-66878.36440155223</x:v>
      </x:c>
      <x:c r="AB152" s="65" t="n">
        <x:f>'In_Cases'!R14*M152*('In_Cases'!V14-Y152)*G152*V152/1000</x:f>
        <x:v>0</x:v>
      </x:c>
      <x:c r="AC152" s="65" t="n">
        <x:f>MAX(0,Z152)+MAX(0,AA152)+MAX(0,AB152)</x:f>
        <x:v>0</x:v>
      </x:c>
      <x:c r="AD152" s="65" t="n">
        <x:f>MAX(0,-Z152)+MAX(0,-AA152)+MAX(0,-AB152)</x:f>
        <x:v>66878.36440155223</x:v>
      </x:c>
      <x:c r="AE152" s="65" t="n">
        <x:f>Q152+AC152</x:f>
        <x:v>0</x:v>
      </x:c>
      <x:c r="AF152" s="65" t="n">
        <x:f>U152+AD152</x:f>
        <x:v>112441.36450833084</x:v>
      </x:c>
    </x:row>
    <x:row r="153">
      <x:c r="A153" s="39" t="str">
        <x:f>'In_Monthly'!A153</x:f>
        <x:v>21|aggregate</x:v>
      </x:c>
      <x:c r="B153" s="39" t="str">
        <x:f>'In_Monthly'!B153</x:f>
        <x:v>21</x:v>
      </x:c>
      <x:c r="C153" s="39" t="str">
        <x:f>'In_Monthly'!C153</x:f>
        <x:v>Test building 5</x:v>
      </x:c>
      <x:c r="D153" s="39" t="str">
        <x:f>'In_Monthly'!D153</x:f>
        <x:v>aggregate</x:v>
      </x:c>
      <x:c r="E153" s="39" t="str">
        <x:f>'In_Monthly'!E153</x:f>
        <x:v>2023-08</x:v>
      </x:c>
      <x:c r="F153" s="65" t="n">
        <x:f>'In_Monthly'!F153</x:f>
        <x:v>31</x:v>
      </x:c>
      <x:c r="G153" s="65" t="n">
        <x:f>F153*24</x:f>
        <x:v>744</x:v>
      </x:c>
      <x:c r="H153" s="65" t="n">
        <x:f>'In_Monthly'!G153</x:f>
        <x:v>22.74717741935484</x:v>
      </x:c>
      <x:c r="I153" s="65" t="n">
        <x:f>'In_Monthly'!K153</x:f>
        <x:v>0</x:v>
      </x:c>
      <x:c r="J153" s="65" t="n">
        <x:f>'In_Monthly'!L153</x:f>
        <x:v>1</x:v>
      </x:c>
      <x:c r="K153" s="65" t="n">
        <x:f>'In_Monthly'!J153*G153/1000</x:f>
        <x:v>154903.10010374655</x:v>
      </x:c>
      <x:c r="L153" s="65" t="n">
        <x:f>'Calc_Case'!E14+'Calc_Case'!F14+'Calc_Case'!G14</x:f>
        <x:v>36032.152010253776</x:v>
      </x:c>
      <x:c r="M153" s="65" t="n">
        <x:f>'Calc_Case'!H14</x:f>
        <x:v>42208.3992234375</x:v>
      </x:c>
      <x:c r="N153" s="65" t="n">
        <x:f>(L153*('In_Cases'!O14-H153)+M153*('In_Cases'!O14-'In_Cases'!U14))*G153*I153/1000</x:f>
        <x:v>0</x:v>
      </x:c>
      <x:c r="O153" s="65" t="str">
        <x:f>IF(N153&lt;=0,"",K153/N153)</x:f>
      </x:c>
      <x:c r="P153" s="65" t="n">
        <x:f>IF(N153&lt;=0,0,IF(ABS(O153-1)&lt;1E-9,'Calc_Case'!N14/('Calc_Case'!N14+1),(1-POWER(O153,'Calc_Case'!N14))/(1-POWER(O153,'Calc_Case'!N14+1))))</x:f>
        <x:v>0</x:v>
      </x:c>
      <x:c r="Q153" s="65" t="n">
        <x:f>IF(N153&lt;=0,0,MAX(0,N153-P153*K153))</x:f>
        <x:v>0</x:v>
      </x:c>
      <x:c r="R153" s="65" t="n">
        <x:f>IF(J153&lt;=0,0,MAX(1E-12,(L153*('In_Cases'!P14-H153)+M153*('In_Cases'!P14-'In_Cases'!V14))*G153*J153/1000))</x:f>
        <x:v>181410.5581467276</x:v>
      </x:c>
      <x:c r="S153" s="65" t="n">
        <x:f>IF(J153&lt;=0,"",K153/R153)</x:f>
        <x:v>0.8538813930469173</x:v>
      </x:c>
      <x:c r="T153" s="65" t="n">
        <x:f>IF(J153&lt;=0,0,IF(ABS(S153-1)&lt;1E-9,'Calc_Case'!N14/('Calc_Case'!N14+1),(1-POWER(S153,-'Calc_Case'!N14))/(1-POWER(S153,-'Calc_Case'!N14-1))))</x:f>
        <x:v>0.713938664557641</x:v>
      </x:c>
      <x:c r="U153" s="65" t="n">
        <x:f>IF(J153&lt;=0,0,'In_Cases'!Q14*MAX(0,K153-T153*R153))</x:f>
        <x:v>25387.088483815576</x:v>
      </x:c>
      <x:c r="V153" s="65" t="n">
        <x:f>MAX(0,1-I153-J153)</x:f>
        <x:v>0</x:v>
      </x:c>
      <x:c r="W153" s="65" t="n">
        <x:f>'In_Cases'!T14*(H153+'In_Cases'!S14*('In_Cases'!O14-H153))+(1-'In_Cases'!T14)*'In_Cases'!O14</x:f>
        <x:v>21.098870967741938</x:v>
      </x:c>
      <x:c r="X153" s="65" t="n">
        <x:f>'In_Cases'!T14*(H153+'In_Cases'!S14*('In_Cases'!P14-H153))+(1-'In_Cases'!T14)*'In_Cases'!P14</x:f>
        <x:v>24.698870967741936</x:v>
      </x:c>
      <x:c r="Y153" s="65" t="n">
        <x:f>'In_Cases'!T14*(H153+'In_Cases'!S14*((('In_Cases'!O14+'In_Cases'!P14)/2)-H153))+(1-'In_Cases'!T14)*(('In_Cases'!O14+'In_Cases'!P14)/2)</x:f>
        <x:v>22.898870967741935</x:v>
      </x:c>
      <x:c r="Z153" s="65" t="n">
        <x:f>'In_Cases'!R14*M153*('In_Cases'!U14-W153)*G153*I153/1000</x:f>
        <x:v>0</x:v>
      </x:c>
      <x:c r="AA153" s="65" t="n">
        <x:f>'In_Cases'!R14*M153*('In_Cases'!V14-X153)*G153*J153/1000</x:f>
        <x:v>-53349.72828245607</x:v>
      </x:c>
      <x:c r="AB153" s="65" t="n">
        <x:f>'In_Cases'!R14*M153*('In_Cases'!V14-Y153)*G153*V153/1000</x:f>
        <x:v>0</x:v>
      </x:c>
      <x:c r="AC153" s="65" t="n">
        <x:f>MAX(0,Z153)+MAX(0,AA153)+MAX(0,AB153)</x:f>
        <x:v>0</x:v>
      </x:c>
      <x:c r="AD153" s="65" t="n">
        <x:f>MAX(0,-Z153)+MAX(0,-AA153)+MAX(0,-AB153)</x:f>
        <x:v>53349.72828245607</x:v>
      </x:c>
      <x:c r="AE153" s="65" t="n">
        <x:f>Q153+AC153</x:f>
        <x:v>0</x:v>
      </x:c>
      <x:c r="AF153" s="65" t="n">
        <x:f>U153+AD153</x:f>
        <x:v>78736.81676627164</x:v>
      </x:c>
    </x:row>
    <x:row r="154">
      <x:c r="A154" s="39" t="str">
        <x:f>'In_Monthly'!A154</x:f>
        <x:v>21|aggregate</x:v>
      </x:c>
      <x:c r="B154" s="39" t="str">
        <x:f>'In_Monthly'!B154</x:f>
        <x:v>21</x:v>
      </x:c>
      <x:c r="C154" s="39" t="str">
        <x:f>'In_Monthly'!C154</x:f>
        <x:v>Test building 5</x:v>
      </x:c>
      <x:c r="D154" s="39" t="str">
        <x:f>'In_Monthly'!D154</x:f>
        <x:v>aggregate</x:v>
      </x:c>
      <x:c r="E154" s="39" t="str">
        <x:f>'In_Monthly'!E154</x:f>
        <x:v>2023-09</x:v>
      </x:c>
      <x:c r="F154" s="65" t="n">
        <x:f>'In_Monthly'!F154</x:f>
        <x:v>30</x:v>
      </x:c>
      <x:c r="G154" s="65" t="n">
        <x:f>F154*24</x:f>
        <x:v>720</x:v>
      </x:c>
      <x:c r="H154" s="65" t="n">
        <x:f>'In_Monthly'!G154</x:f>
        <x:v>19.61638888888889</x:v>
      </x:c>
      <x:c r="I154" s="65" t="n">
        <x:f>'In_Monthly'!K154</x:f>
        <x:v>0</x:v>
      </x:c>
      <x:c r="J154" s="65" t="n">
        <x:f>'In_Monthly'!L154</x:f>
        <x:v>1</x:v>
      </x:c>
      <x:c r="K154" s="65" t="n">
        <x:f>'In_Monthly'!J154*G154/1000</x:f>
        <x:v>121258.16247712521</x:v>
      </x:c>
      <x:c r="L154" s="65" t="n">
        <x:f>'Calc_Case'!E14+'Calc_Case'!F14+'Calc_Case'!G14</x:f>
        <x:v>36032.152010253776</x:v>
      </x:c>
      <x:c r="M154" s="65" t="n">
        <x:f>'Calc_Case'!H14</x:f>
        <x:v>42208.3992234375</x:v>
      </x:c>
      <x:c r="N154" s="65" t="n">
        <x:f>(L154*('In_Cases'!O14-H154)+M154*('In_Cases'!O14-'In_Cases'!U14))*G154*I154/1000</x:f>
        <x:v>0</x:v>
      </x:c>
      <x:c r="O154" s="65" t="str">
        <x:f>IF(N154&lt;=0,"",K154/N154)</x:f>
      </x:c>
      <x:c r="P154" s="65" t="n">
        <x:f>IF(N154&lt;=0,0,IF(ABS(O154-1)&lt;1E-9,'Calc_Case'!N14/('Calc_Case'!N14+1),(1-POWER(O154,'Calc_Case'!N14))/(1-POWER(O154,'Calc_Case'!N14+1))))</x:f>
        <x:v>0</x:v>
      </x:c>
      <x:c r="Q154" s="65" t="n">
        <x:f>IF(N154&lt;=0,0,MAX(0,N154-P154*K154))</x:f>
        <x:v>0</x:v>
      </x:c>
      <x:c r="R154" s="65" t="n">
        <x:f>IF(J154&lt;=0,0,MAX(1E-12,(L154*('In_Cases'!P14-H154)+M154*('In_Cases'!P14-'In_Cases'!V14))*G154*J154/1000))</x:f>
        <x:v>256781.11939215337</x:v>
      </x:c>
      <x:c r="S154" s="65" t="n">
        <x:f>IF(J154&lt;=0,"",K154/R154)</x:f>
        <x:v>0.47222382535041857</x:v>
      </x:c>
      <x:c r="T154" s="65" t="n">
        <x:f>IF(J154&lt;=0,0,IF(ABS(S154-1)&lt;1E-9,'Calc_Case'!N14/('Calc_Case'!N14+1),(1-POWER(S154,-'Calc_Case'!N14))/(1-POWER(S154,-'Calc_Case'!N14-1))))</x:f>
        <x:v>0.4539269480489945</x:v>
      </x:c>
      <x:c r="U154" s="65" t="n">
        <x:f>IF(J154&lt;=0,0,'In_Cases'!Q14*MAX(0,K154-T154*R154))</x:f>
        <x:v>4698.292634840545</x:v>
      </x:c>
      <x:c r="V154" s="65" t="n">
        <x:f>MAX(0,1-I154-J154)</x:f>
        <x:v>0</x:v>
      </x:c>
      <x:c r="W154" s="65" t="n">
        <x:f>'In_Cases'!T14*(H154+'In_Cases'!S14*('In_Cases'!O14-H154))+(1-'In_Cases'!T14)*'In_Cases'!O14</x:f>
        <x:v>19.846555555555554</x:v>
      </x:c>
      <x:c r="X154" s="65" t="n">
        <x:f>'In_Cases'!T14*(H154+'In_Cases'!S14*('In_Cases'!P14-H154))+(1-'In_Cases'!T14)*'In_Cases'!P14</x:f>
        <x:v>23.446555555555555</x:v>
      </x:c>
      <x:c r="Y154" s="65" t="n">
        <x:f>'In_Cases'!T14*(H154+'In_Cases'!S14*((('In_Cases'!O14+'In_Cases'!P14)/2)-H154))+(1-'In_Cases'!T14)*(('In_Cases'!O14+'In_Cases'!P14)/2)</x:f>
        <x:v>21.646555555555555</x:v>
      </x:c>
      <x:c r="Z154" s="65" t="n">
        <x:f>'In_Cases'!R14*M154*('In_Cases'!U14-W154)*G154*I154/1000</x:f>
        <x:v>0</x:v>
      </x:c>
      <x:c r="AA154" s="65" t="n">
        <x:f>'In_Cases'!R14*M154*('In_Cases'!V14-X154)*G154*J154/1000</x:f>
        <x:v>-13570.844518319618</x:v>
      </x:c>
      <x:c r="AB154" s="65" t="n">
        <x:f>'In_Cases'!R14*M154*('In_Cases'!V14-Y154)*G154*V154/1000</x:f>
        <x:v>0</x:v>
      </x:c>
      <x:c r="AC154" s="65" t="n">
        <x:f>MAX(0,Z154)+MAX(0,AA154)+MAX(0,AB154)</x:f>
        <x:v>0</x:v>
      </x:c>
      <x:c r="AD154" s="65" t="n">
        <x:f>MAX(0,-Z154)+MAX(0,-AA154)+MAX(0,-AB154)</x:f>
        <x:v>13570.844518319618</x:v>
      </x:c>
      <x:c r="AE154" s="65" t="n">
        <x:f>Q154+AC154</x:f>
        <x:v>0</x:v>
      </x:c>
      <x:c r="AF154" s="65" t="n">
        <x:f>U154+AD154</x:f>
        <x:v>18269.13715316016</x:v>
      </x:c>
    </x:row>
    <x:row r="155">
      <x:c r="A155" s="39" t="str">
        <x:f>'In_Monthly'!A155</x:f>
        <x:v>21|aggregate</x:v>
      </x:c>
      <x:c r="B155" s="39" t="str">
        <x:f>'In_Monthly'!B155</x:f>
        <x:v>21</x:v>
      </x:c>
      <x:c r="C155" s="39" t="str">
        <x:f>'In_Monthly'!C155</x:f>
        <x:v>Test building 5</x:v>
      </x:c>
      <x:c r="D155" s="39" t="str">
        <x:f>'In_Monthly'!D155</x:f>
        <x:v>aggregate</x:v>
      </x:c>
      <x:c r="E155" s="39" t="str">
        <x:f>'In_Monthly'!E155</x:f>
        <x:v>2023-10</x:v>
      </x:c>
      <x:c r="F155" s="65" t="n">
        <x:f>'In_Monthly'!F155</x:f>
        <x:v>31</x:v>
      </x:c>
      <x:c r="G155" s="65" t="n">
        <x:f>F155*24</x:f>
        <x:v>744</x:v>
      </x:c>
      <x:c r="H155" s="65" t="n">
        <x:f>'In_Monthly'!G155</x:f>
        <x:v>13.926209677419354</x:v>
      </x:c>
      <x:c r="I155" s="65" t="n">
        <x:f>'In_Monthly'!K155</x:f>
        <x:v>0.5483870967741935</x:v>
      </x:c>
      <x:c r="J155" s="65" t="n">
        <x:f>'In_Monthly'!L155</x:f>
        <x:v>0</x:v>
      </x:c>
      <x:c r="K155" s="65" t="n">
        <x:f>'In_Monthly'!J155*G155/1000</x:f>
        <x:v>87255.53138382138</x:v>
      </x:c>
      <x:c r="L155" s="65" t="n">
        <x:f>'Calc_Case'!E14+'Calc_Case'!F14+'Calc_Case'!G14</x:f>
        <x:v>36032.152010253776</x:v>
      </x:c>
      <x:c r="M155" s="65" t="n">
        <x:f>'Calc_Case'!H14</x:f>
        <x:v>42208.3992234375</x:v>
      </x:c>
      <x:c r="N155" s="65" t="n">
        <x:f>(L155*('In_Cases'!O14-H155)+M155*('In_Cases'!O14-'In_Cases'!U14))*G155*I155/1000</x:f>
        <x:v>54849.454595781724</x:v>
      </x:c>
      <x:c r="O155" s="65" t="n">
        <x:f>IF(N155&lt;=0,"",K155/N155)</x:f>
        <x:v>1.5908185783588793</x:v>
      </x:c>
      <x:c r="P155" s="65" t="n">
        <x:f>IF(N155&lt;=0,0,IF(ABS(O155-1)&lt;1E-9,'Calc_Case'!N14/('Calc_Case'!N14+1),(1-POWER(O155,'Calc_Case'!N14))/(1-POWER(O155,'Calc_Case'!N14+1))))</x:f>
        <x:v>0.5768571944629123</x:v>
      </x:c>
      <x:c r="Q155" s="65" t="n">
        <x:f>IF(N155&lt;=0,0,MAX(0,N155-P155*K155))</x:f>
        <x:v>4515.473560339931</x:v>
      </x:c>
      <x:c r="R155" s="65" t="n">
        <x:f>IF(J155&lt;=0,0,MAX(1E-12,(L155*('In_Cases'!P14-H155)+M155*('In_Cases'!P14-'In_Cases'!V14))*G155*J155/1000))</x:f>
        <x:v>0</x:v>
      </x:c>
      <x:c r="S155" s="65" t="str">
        <x:f>IF(J155&lt;=0,"",K155/R155)</x:f>
      </x:c>
      <x:c r="T155" s="65" t="n">
        <x:f>IF(J155&lt;=0,0,IF(ABS(S155-1)&lt;1E-9,'Calc_Case'!N14/('Calc_Case'!N14+1),(1-POWER(S155,-'Calc_Case'!N14))/(1-POWER(S155,-'Calc_Case'!N14-1))))</x:f>
        <x:v>0</x:v>
      </x:c>
      <x:c r="U155" s="65" t="n">
        <x:f>IF(J155&lt;=0,0,'In_Cases'!Q14*MAX(0,K155-T155*R155))</x:f>
        <x:v>0</x:v>
      </x:c>
      <x:c r="V155" s="65" t="n">
        <x:f>MAX(0,1-I155-J155)</x:f>
        <x:v>0.4516129032258065</x:v>
      </x:c>
      <x:c r="W155" s="65" t="n">
        <x:f>'In_Cases'!T14*(H155+'In_Cases'!S14*('In_Cases'!O14-H155))+(1-'In_Cases'!T14)*'In_Cases'!O14</x:f>
        <x:v>17.570483870967742</x:v>
      </x:c>
      <x:c r="X155" s="65" t="n">
        <x:f>'In_Cases'!T14*(H155+'In_Cases'!S14*('In_Cases'!P14-H155))+(1-'In_Cases'!T14)*'In_Cases'!P14</x:f>
        <x:v>21.170483870967743</x:v>
      </x:c>
      <x:c r="Y155" s="65" t="n">
        <x:f>'In_Cases'!T14*(H155+'In_Cases'!S14*((('In_Cases'!O14+'In_Cases'!P14)/2)-H155))+(1-'In_Cases'!T14)*(('In_Cases'!O14+'In_Cases'!P14)/2)</x:f>
        <x:v>19.370483870967742</x:v>
      </x:c>
      <x:c r="Z155" s="65" t="n">
        <x:f>'In_Cases'!R14*M155*('In_Cases'!U14-W155)*G155*I155/1000</x:f>
        <x:v>76280.8163374664</x:v>
      </x:c>
      <x:c r="AA155" s="65" t="n">
        <x:f>'In_Cases'!R14*M155*('In_Cases'!V14-X155)*G155*J155/1000</x:f>
        <x:v>0</x:v>
      </x:c>
      <x:c r="AB155" s="65" t="n">
        <x:f>'In_Cases'!R14*M155*('In_Cases'!V14-Y155)*G155*V155/1000</x:f>
        <x:v>51473.878096065266</x:v>
      </x:c>
      <x:c r="AC155" s="65" t="n">
        <x:f>MAX(0,Z155)+MAX(0,AA155)+MAX(0,AB155)</x:f>
        <x:v>127754.69443353167</x:v>
      </x:c>
      <x:c r="AD155" s="65" t="n">
        <x:f>MAX(0,-Z155)+MAX(0,-AA155)+MAX(0,-AB155)</x:f>
        <x:v>0</x:v>
      </x:c>
      <x:c r="AE155" s="65" t="n">
        <x:f>Q155+AC155</x:f>
        <x:v>132270.1679938716</x:v>
      </x:c>
      <x:c r="AF155" s="65" t="n">
        <x:f>U155+AD155</x:f>
        <x:v>0</x:v>
      </x:c>
    </x:row>
    <x:row r="156">
      <x:c r="A156" s="39" t="str">
        <x:f>'In_Monthly'!A156</x:f>
        <x:v>21|aggregate</x:v>
      </x:c>
      <x:c r="B156" s="39" t="str">
        <x:f>'In_Monthly'!B156</x:f>
        <x:v>21</x:v>
      </x:c>
      <x:c r="C156" s="39" t="str">
        <x:f>'In_Monthly'!C156</x:f>
        <x:v>Test building 5</x:v>
      </x:c>
      <x:c r="D156" s="39" t="str">
        <x:f>'In_Monthly'!D156</x:f>
        <x:v>aggregate</x:v>
      </x:c>
      <x:c r="E156" s="39" t="str">
        <x:f>'In_Monthly'!E156</x:f>
        <x:v>2023-11</x:v>
      </x:c>
      <x:c r="F156" s="65" t="n">
        <x:f>'In_Monthly'!F156</x:f>
        <x:v>30</x:v>
      </x:c>
      <x:c r="G156" s="65" t="n">
        <x:f>F156*24</x:f>
        <x:v>720</x:v>
      </x:c>
      <x:c r="H156" s="65" t="n">
        <x:f>'In_Monthly'!G156</x:f>
        <x:v>8.68388888888889</x:v>
      </x:c>
      <x:c r="I156" s="65" t="n">
        <x:f>'In_Monthly'!K156</x:f>
        <x:v>1</x:v>
      </x:c>
      <x:c r="J156" s="65" t="n">
        <x:f>'In_Monthly'!L156</x:f>
        <x:v>0</x:v>
      </x:c>
      <x:c r="K156" s="65" t="n">
        <x:f>'In_Monthly'!J156*G156/1000</x:f>
        <x:v>48719.19824401003</x:v>
      </x:c>
      <x:c r="L156" s="65" t="n">
        <x:f>'Calc_Case'!E14+'Calc_Case'!F14+'Calc_Case'!G14</x:f>
        <x:v>36032.152010253776</x:v>
      </x:c>
      <x:c r="M156" s="65" t="n">
        <x:f>'Calc_Case'!H14</x:f>
        <x:v>42208.3992234375</x:v>
      </x:c>
      <x:c r="N156" s="65" t="n">
        <x:f>(L156*('In_Cases'!O14-H156)+M156*('In_Cases'!O14-'In_Cases'!U14))*G156*I156/1000</x:f>
        <x:v>232795.46683699364</x:v>
      </x:c>
      <x:c r="O156" s="65" t="n">
        <x:f>IF(N156&lt;=0,"",K156/N156)</x:f>
        <x:v>0.20927898169994796</x:v>
      </x:c>
      <x:c r="P156" s="65" t="n">
        <x:f>IF(N156&lt;=0,0,IF(ABS(O156-1)&lt;1E-9,'Calc_Case'!N14/('Calc_Case'!N14+1),(1-POWER(O156,'Calc_Case'!N14))/(1-POWER(O156,'Calc_Case'!N14+1))))</x:f>
        <x:v>0.9968148654043621</x:v>
      </x:c>
      <x:c r="Q156" s="65" t="n">
        <x:f>IF(N156&lt;=0,0,MAX(0,N156-P156*K156))</x:f>
        <x:v>184231.44579678233</x:v>
      </x:c>
      <x:c r="R156" s="65" t="n">
        <x:f>IF(J156&lt;=0,0,MAX(1E-12,(L156*('In_Cases'!P14-H156)+M156*('In_Cases'!P14-'In_Cases'!V14))*G156*J156/1000))</x:f>
        <x:v>0</x:v>
      </x:c>
      <x:c r="S156" s="65" t="str">
        <x:f>IF(J156&lt;=0,"",K156/R156)</x:f>
      </x:c>
      <x:c r="T156" s="65" t="n">
        <x:f>IF(J156&lt;=0,0,IF(ABS(S156-1)&lt;1E-9,'Calc_Case'!N14/('Calc_Case'!N14+1),(1-POWER(S156,-'Calc_Case'!N14))/(1-POWER(S156,-'Calc_Case'!N14-1))))</x:f>
        <x:v>0</x:v>
      </x:c>
      <x:c r="U156" s="65" t="n">
        <x:f>IF(J156&lt;=0,0,'In_Cases'!Q14*MAX(0,K156-T156*R156))</x:f>
        <x:v>0</x:v>
      </x:c>
      <x:c r="V156" s="65" t="n">
        <x:f>MAX(0,1-I156-J156)</x:f>
        <x:v>0</x:v>
      </x:c>
      <x:c r="W156" s="65" t="n">
        <x:f>'In_Cases'!T14*(H156+'In_Cases'!S14*('In_Cases'!O14-H156))+(1-'In_Cases'!T14)*'In_Cases'!O14</x:f>
        <x:v>15.473555555555556</x:v>
      </x:c>
      <x:c r="X156" s="65" t="n">
        <x:f>'In_Cases'!T14*(H156+'In_Cases'!S14*('In_Cases'!P14-H156))+(1-'In_Cases'!T14)*'In_Cases'!P14</x:f>
        <x:v>19.073555555555558</x:v>
      </x:c>
      <x:c r="Y156" s="65" t="n">
        <x:f>'In_Cases'!T14*(H156+'In_Cases'!S14*((('In_Cases'!O14+'In_Cases'!P14)/2)-H156))+(1-'In_Cases'!T14)*(('In_Cases'!O14+'In_Cases'!P14)/2)</x:f>
        <x:v>17.273555555555554</x:v>
      </x:c>
      <x:c r="Z156" s="65" t="n">
        <x:f>'In_Cases'!R14*M156*('In_Cases'!U14-W156)*G156*I156/1000</x:f>
        <x:v>198338.95628690172</x:v>
      </x:c>
      <x:c r="AA156" s="65" t="n">
        <x:f>'In_Cases'!R14*M156*('In_Cases'!V14-X156)*G156*J156/1000</x:f>
        <x:v>0</x:v>
      </x:c>
      <x:c r="AB156" s="65" t="n">
        <x:f>'In_Cases'!R14*M156*('In_Cases'!V14-Y156)*G156*V156/1000</x:f>
        <x:v>0</x:v>
      </x:c>
      <x:c r="AC156" s="65" t="n">
        <x:f>MAX(0,Z156)+MAX(0,AA156)+MAX(0,AB156)</x:f>
        <x:v>198338.95628690172</x:v>
      </x:c>
      <x:c r="AD156" s="65" t="n">
        <x:f>MAX(0,-Z156)+MAX(0,-AA156)+MAX(0,-AB156)</x:f>
        <x:v>0</x:v>
      </x:c>
      <x:c r="AE156" s="65" t="n">
        <x:f>Q156+AC156</x:f>
        <x:v>382570.40208368405</x:v>
      </x:c>
      <x:c r="AF156" s="65" t="n">
        <x:f>U156+AD156</x:f>
        <x:v>0</x:v>
      </x:c>
    </x:row>
    <x:row r="157">
      <x:c r="A157" s="39" t="str">
        <x:f>'In_Monthly'!A157</x:f>
        <x:v>21|aggregate</x:v>
      </x:c>
      <x:c r="B157" s="39" t="str">
        <x:f>'In_Monthly'!B157</x:f>
        <x:v>21</x:v>
      </x:c>
      <x:c r="C157" s="39" t="str">
        <x:f>'In_Monthly'!C157</x:f>
        <x:v>Test building 5</x:v>
      </x:c>
      <x:c r="D157" s="39" t="str">
        <x:f>'In_Monthly'!D157</x:f>
        <x:v>aggregate</x:v>
      </x:c>
      <x:c r="E157" s="39" t="str">
        <x:f>'In_Monthly'!E157</x:f>
        <x:v>2023-12</x:v>
      </x:c>
      <x:c r="F157" s="65" t="n">
        <x:f>'In_Monthly'!F157</x:f>
        <x:v>31</x:v>
      </x:c>
      <x:c r="G157" s="65" t="n">
        <x:f>F157*24</x:f>
        <x:v>744</x:v>
      </x:c>
      <x:c r="H157" s="65" t="n">
        <x:f>'In_Monthly'!G157</x:f>
        <x:v>3.9963709677419357</x:v>
      </x:c>
      <x:c r="I157" s="65" t="n">
        <x:f>'In_Monthly'!K157</x:f>
        <x:v>1</x:v>
      </x:c>
      <x:c r="J157" s="65" t="n">
        <x:f>'In_Monthly'!L157</x:f>
        <x:v>0</x:v>
      </x:c>
      <x:c r="K157" s="65" t="n">
        <x:f>'In_Monthly'!J157*G157/1000</x:f>
        <x:v>42520.582400289415</x:v>
      </x:c>
      <x:c r="L157" s="65" t="n">
        <x:f>'Calc_Case'!E14+'Calc_Case'!F14+'Calc_Case'!G14</x:f>
        <x:v>36032.152010253776</x:v>
      </x:c>
      <x:c r="M157" s="65" t="n">
        <x:f>'Calc_Case'!H14</x:f>
        <x:v>42208.3992234375</x:v>
      </x:c>
      <x:c r="N157" s="65" t="n">
        <x:f>(L157*('In_Cases'!O14-H157)+M157*('In_Cases'!O14-'In_Cases'!U14))*G157*I157/1000</x:f>
        <x:v>366217.92629601364</x:v>
      </x:c>
      <x:c r="O157" s="65" t="n">
        <x:f>IF(N157&lt;=0,"",K157/N157)</x:f>
        <x:v>0.11610732120720946</x:v>
      </x:c>
      <x:c r="P157" s="65" t="n">
        <x:f>IF(N157&lt;=0,0,IF(ABS(O157-1)&lt;1E-9,'Calc_Case'!N14/('Calc_Case'!N14+1),(1-POWER(O157,'Calc_Case'!N14))/(1-POWER(O157,'Calc_Case'!N14+1))))</x:f>
        <x:v>0.9995544184115212</x:v>
      </x:c>
      <x:c r="Q157" s="65" t="n">
        <x:f>IF(N157&lt;=0,0,MAX(0,N157-P157*K157))</x:f>
        <x:v>323716.2902843732</x:v>
      </x:c>
      <x:c r="R157" s="65" t="n">
        <x:f>IF(J157&lt;=0,0,MAX(1E-12,(L157*('In_Cases'!P14-H157)+M157*('In_Cases'!P14-'In_Cases'!V14))*G157*J157/1000))</x:f>
        <x:v>0</x:v>
      </x:c>
      <x:c r="S157" s="65" t="str">
        <x:f>IF(J157&lt;=0,"",K157/R157)</x:f>
      </x:c>
      <x:c r="T157" s="65" t="n">
        <x:f>IF(J157&lt;=0,0,IF(ABS(S157-1)&lt;1E-9,'Calc_Case'!N14/('Calc_Case'!N14+1),(1-POWER(S157,-'Calc_Case'!N14))/(1-POWER(S157,-'Calc_Case'!N14-1))))</x:f>
        <x:v>0</x:v>
      </x:c>
      <x:c r="U157" s="65" t="n">
        <x:f>IF(J157&lt;=0,0,'In_Cases'!Q14*MAX(0,K157-T157*R157))</x:f>
        <x:v>0</x:v>
      </x:c>
      <x:c r="V157" s="65" t="n">
        <x:f>MAX(0,1-I157-J157)</x:f>
        <x:v>0</x:v>
      </x:c>
      <x:c r="W157" s="65" t="n">
        <x:f>'In_Cases'!T14*(H157+'In_Cases'!S14*('In_Cases'!O14-H157))+(1-'In_Cases'!T14)*'In_Cases'!O14</x:f>
        <x:v>13.598548387096773</x:v>
      </x:c>
      <x:c r="X157" s="65" t="n">
        <x:f>'In_Cases'!T14*(H157+'In_Cases'!S14*('In_Cases'!P14-H157))+(1-'In_Cases'!T14)*'In_Cases'!P14</x:f>
        <x:v>17.198548387096775</x:v>
      </x:c>
      <x:c r="Y157" s="65" t="n">
        <x:f>'In_Cases'!T14*(H157+'In_Cases'!S14*((('In_Cases'!O14+'In_Cases'!P14)/2)-H157))+(1-'In_Cases'!T14)*(('In_Cases'!O14+'In_Cases'!P14)/2)</x:f>
        <x:v>15.398548387096774</x:v>
      </x:c>
      <x:c r="Z157" s="65" t="n">
        <x:f>'In_Cases'!R14*M157*('In_Cases'!U14-W157)*G157*I157/1000</x:f>
        <x:v>263831.1968579563</x:v>
      </x:c>
      <x:c r="AA157" s="65" t="n">
        <x:f>'In_Cases'!R14*M157*('In_Cases'!V14-X157)*G157*J157/1000</x:f>
        <x:v>0</x:v>
      </x:c>
      <x:c r="AB157" s="65" t="n">
        <x:f>'In_Cases'!R14*M157*('In_Cases'!V14-Y157)*G157*V157/1000</x:f>
        <x:v>0</x:v>
      </x:c>
      <x:c r="AC157" s="65" t="n">
        <x:f>MAX(0,Z157)+MAX(0,AA157)+MAX(0,AB157)</x:f>
        <x:v>263831.1968579563</x:v>
      </x:c>
      <x:c r="AD157" s="65" t="n">
        <x:f>MAX(0,-Z157)+MAX(0,-AA157)+MAX(0,-AB157)</x:f>
        <x:v>0</x:v>
      </x:c>
      <x:c r="AE157" s="65" t="n">
        <x:f>Q157+AC157</x:f>
        <x:v>587547.4871423296</x:v>
      </x:c>
      <x:c r="AF157" s="65" t="n">
        <x:f>U157+AD157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613879ae2d4e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period_id</x:v>
      </x:c>
      <x:c r="F1" s="33" t="str">
        <x:v>python_zone_heating_kWh</x:v>
      </x:c>
      <x:c r="G1" s="33" t="str">
        <x:v>python_ahu_heating_kWh</x:v>
      </x:c>
      <x:c r="H1" s="33" t="str">
        <x:v>python_useful_heating_kWh</x:v>
      </x:c>
      <x:c r="I1" s="33" t="str">
        <x:v>python_zone_cooling_kWh</x:v>
      </x:c>
      <x:c r="J1" s="33" t="str">
        <x:v>python_ahu_cooling_kWh</x:v>
      </x:c>
      <x:c r="K1" s="33" t="str">
        <x:v>python_useful_cooling_kWh</x:v>
      </x:c>
      <x:c r="L1" s="33" t="str">
        <x:v>reference_zone_heating_kWh</x:v>
      </x:c>
      <x:c r="M1" s="33" t="str">
        <x:v>reference_ahu_heating_kWh</x:v>
      </x:c>
      <x:c r="N1" s="33" t="str">
        <x:v>reference_useful_heating_kWh</x:v>
      </x:c>
      <x:c r="O1" s="33" t="str">
        <x:v>reference_zone_cooling_kWh</x:v>
      </x:c>
      <x:c r="P1" s="33" t="str">
        <x:v>reference_ahu_cooling_kWh</x:v>
      </x:c>
      <x:c r="Q1" s="33" t="str">
        <x:v>reference_useful_cooling_kWh</x:v>
      </x:c>
      <x:c r="R1" s="33" t="str">
        <x:v>reference_solar_gain_kWh</x:v>
      </x:c>
      <x:c r="S1" s="33" t="str">
        <x:v>reference_internal_gain_kWh</x:v>
      </x:c>
      <x:c r="T1" s="33" t="str">
        <x:v>reference_total_gain_kWh</x:v>
      </x:c>
    </x:row>
    <x:row r="2">
      <x:c r="A2" s="58" t="str">
        <x:v>1|aggregate</x:v>
      </x:c>
      <x:c r="B2" s="58" t="str">
        <x:v>1</x:v>
      </x:c>
      <x:c r="C2" s="58" t="str">
        <x:v>Test building 1</x:v>
      </x:c>
      <x:c r="D2" s="58" t="str">
        <x:v>aggregate</x:v>
      </x:c>
      <x:c r="E2" s="58" t="str">
        <x:v>2023-01</x:v>
      </x:c>
      <x:c r="F2" s="60" t="n">
        <x:v>35456.65042161728</x:v>
      </x:c>
      <x:c r="G2" s="60" t="n">
        <x:v>29924.854219695168</x:v>
      </x:c>
      <x:c r="H2" s="60" t="n">
        <x:v>65381.50464131245</x:v>
      </x:c>
      <x:c r="I2" s="60" t="n">
        <x:v>0</x:v>
      </x:c>
      <x:c r="J2" s="60" t="n">
        <x:v>0</x:v>
      </x:c>
      <x:c r="K2" s="60" t="n">
        <x:v>0</x:v>
      </x:c>
      <x:c r="L2" s="60" t="n">
        <x:v>40729.529083669564</x:v>
      </x:c>
      <x:c r="M2" s="60" t="n">
        <x:v>28763.320647606448</x:v>
      </x:c>
      <x:c r="N2" s="60" t="n">
        <x:v>69492.84973127602</x:v>
      </x:c>
      <x:c r="O2" s="60" t="n">
        <x:v>0</x:v>
      </x:c>
      <x:c r="P2" s="60" t="n">
        <x:v>0</x:v>
      </x:c>
      <x:c r="Q2" s="60" t="n">
        <x:v>0</x:v>
      </x:c>
      <x:c r="R2" s="60" t="n">
        <x:v>1744.9269716351127</x:v>
      </x:c>
      <x:c r="S2" s="60" t="n">
        <x:v>18186.234327438375</x:v>
      </x:c>
      <x:c r="T2" s="60" t="n">
        <x:v>19931.161299073494</x:v>
      </x:c>
    </x:row>
    <x:row r="3">
      <x:c r="A3" s="59" t="str">
        <x:v>1|aggregate</x:v>
      </x:c>
      <x:c r="B3" s="59" t="str">
        <x:v>1</x:v>
      </x:c>
      <x:c r="C3" s="59" t="str">
        <x:v>Test building 1</x:v>
      </x:c>
      <x:c r="D3" s="59" t="str">
        <x:v>aggregate</x:v>
      </x:c>
      <x:c r="E3" s="59" t="str">
        <x:v>2023-02</x:v>
      </x:c>
      <x:c r="F3" s="61" t="n">
        <x:v>27627.28468477694</x:v>
      </x:c>
      <x:c r="G3" s="61" t="n">
        <x:v>25463.20529744407</x:v>
      </x:c>
      <x:c r="H3" s="61" t="n">
        <x:v>53090.48998222101</x:v>
      </x:c>
      <x:c r="I3" s="61" t="n">
        <x:v>0</x:v>
      </x:c>
      <x:c r="J3" s="61" t="n">
        <x:v>0</x:v>
      </x:c>
      <x:c r="K3" s="61" t="n">
        <x:v>0</x:v>
      </x:c>
      <x:c r="L3" s="61" t="n">
        <x:v>32407.62284917631</x:v>
      </x:c>
      <x:c r="M3" s="61" t="n">
        <x:v>24412.52029431433</x:v>
      </x:c>
      <x:c r="N3" s="61" t="n">
        <x:v>56820.14314349064</x:v>
      </x:c>
      <x:c r="O3" s="61" t="n">
        <x:v>0</x:v>
      </x:c>
      <x:c r="P3" s="61" t="n">
        <x:v>0</x:v>
      </x:c>
      <x:c r="Q3" s="61" t="n">
        <x:v>0</x:v>
      </x:c>
      <x:c r="R3" s="61" t="n">
        <x:v>2575.0207944375175</x:v>
      </x:c>
      <x:c r="S3" s="61" t="n">
        <x:v>16442.094079255472</x:v>
      </x:c>
      <x:c r="T3" s="61" t="n">
        <x:v>19017.114873692986</x:v>
      </x:c>
    </x:row>
    <x:row r="4">
      <x:c r="A4" s="59" t="str">
        <x:v>1|aggregate</x:v>
      </x:c>
      <x:c r="B4" s="59" t="str">
        <x:v>1</x:v>
      </x:c>
      <x:c r="C4" s="59" t="str">
        <x:v>Test building 1</x:v>
      </x:c>
      <x:c r="D4" s="59" t="str">
        <x:v>aggregate</x:v>
      </x:c>
      <x:c r="E4" s="59" t="str">
        <x:v>2023-03</x:v>
      </x:c>
      <x:c r="F4" s="61" t="n">
        <x:v>16183.673543306453</x:v>
      </x:c>
      <x:c r="G4" s="61" t="n">
        <x:v>22851.317716629335</x:v>
      </x:c>
      <x:c r="H4" s="61" t="n">
        <x:v>39034.99125993579</x:v>
      </x:c>
      <x:c r="I4" s="61" t="n">
        <x:v>0</x:v>
      </x:c>
      <x:c r="J4" s="61" t="n">
        <x:v>0</x:v>
      </x:c>
      <x:c r="K4" s="61" t="n">
        <x:v>0</x:v>
      </x:c>
      <x:c r="L4" s="61" t="n">
        <x:v>20687.418364065452</x:v>
      </x:c>
      <x:c r="M4" s="61" t="n">
        <x:v>21682.745799761455</x:v>
      </x:c>
      <x:c r="N4" s="61" t="n">
        <x:v>42370.16416382691</x:v>
      </x:c>
      <x:c r="O4" s="61" t="n">
        <x:v>0</x:v>
      </x:c>
      <x:c r="P4" s="61" t="n">
        <x:v>0</x:v>
      </x:c>
      <x:c r="Q4" s="61" t="n">
        <x:v>0</x:v>
      </x:c>
      <x:c r="R4" s="61" t="n">
        <x:v>7191.128421270204</x:v>
      </x:c>
      <x:c r="S4" s="61" t="n">
        <x:v>18225.309967139165</x:v>
      </x:c>
      <x:c r="T4" s="61" t="n">
        <x:v>25416.438388409362</x:v>
      </x:c>
    </x:row>
    <x:row r="5">
      <x:c r="A5" s="59" t="str">
        <x:v>1|aggregate</x:v>
      </x:c>
      <x:c r="B5" s="59" t="str">
        <x:v>1</x:v>
      </x:c>
      <x:c r="C5" s="59" t="str">
        <x:v>Test building 1</x:v>
      </x:c>
      <x:c r="D5" s="59" t="str">
        <x:v>aggregate</x:v>
      </x:c>
      <x:c r="E5" s="59" t="str">
        <x:v>2023-04</x:v>
      </x:c>
      <x:c r="F5" s="61" t="n">
        <x:v>4890.894605166355</x:v>
      </x:c>
      <x:c r="G5" s="61" t="n">
        <x:v>16374.268294688714</x:v>
      </x:c>
      <x:c r="H5" s="61" t="n">
        <x:v>21265.16289985507</x:v>
      </x:c>
      <x:c r="I5" s="61" t="n">
        <x:v>0</x:v>
      </x:c>
      <x:c r="J5" s="61" t="n">
        <x:v>0</x:v>
      </x:c>
      <x:c r="K5" s="61" t="n">
        <x:v>0</x:v>
      </x:c>
      <x:c r="L5" s="61" t="n">
        <x:v>7224.430227217323</x:v>
      </x:c>
      <x:c r="M5" s="61" t="n">
        <x:v>15239.080168001103</x:v>
      </x:c>
      <x:c r="N5" s="61" t="n">
        <x:v>22463.51039521842</x:v>
      </x:c>
      <x:c r="O5" s="61" t="n">
        <x:v>0</x:v>
      </x:c>
      <x:c r="P5" s="61" t="n">
        <x:v>1.3992752680928318</x:v>
      </x:c>
      <x:c r="Q5" s="61" t="n">
        <x:v>1.3992752680928318</x:v>
      </x:c>
      <x:c r="R5" s="61" t="n">
        <x:v>9963.785634913944</x:v>
      </x:c>
      <x:c r="S5" s="61" t="n">
        <x:v>17580.591119263183</x:v>
      </x:c>
      <x:c r="T5" s="61" t="n">
        <x:v>27544.376754177127</x:v>
      </x:c>
    </x:row>
    <x:row r="6">
      <x:c r="A6" s="59" t="str">
        <x:v>1|aggregate</x:v>
      </x:c>
      <x:c r="B6" s="59" t="str">
        <x:v>1</x:v>
      </x:c>
      <x:c r="C6" s="59" t="str">
        <x:v>Test building 1</x:v>
      </x:c>
      <x:c r="D6" s="59" t="str">
        <x:v>aggregate</x:v>
      </x:c>
      <x:c r="E6" s="59" t="str">
        <x:v>2023-05</x:v>
      </x:c>
      <x:c r="F6" s="61" t="n">
        <x:v>0</x:v>
      </x:c>
      <x:c r="G6" s="61" t="n">
        <x:v>7450.7843387727735</x:v>
      </x:c>
      <x:c r="H6" s="61" t="n">
        <x:v>7450.7843387727735</x:v>
      </x:c>
      <x:c r="I6" s="61" t="n">
        <x:v>0</x:v>
      </x:c>
      <x:c r="J6" s="61" t="n">
        <x:v>0</x:v>
      </x:c>
      <x:c r="K6" s="61" t="n">
        <x:v>0</x:v>
      </x:c>
      <x:c r="L6" s="61" t="n">
        <x:v>0</x:v>
      </x:c>
      <x:c r="M6" s="61" t="n">
        <x:v>6951.828139183754</x:v>
      </x:c>
      <x:c r="N6" s="61" t="n">
        <x:v>6951.828139183754</x:v>
      </x:c>
      <x:c r="O6" s="61" t="n">
        <x:v>0</x:v>
      </x:c>
      <x:c r="P6" s="61" t="n">
        <x:v>89.28485786933113</x:v>
      </x:c>
      <x:c r="Q6" s="61" t="n">
        <x:v>89.28485786933113</x:v>
      </x:c>
      <x:c r="R6" s="61" t="n">
        <x:v>13619.76054674131</x:v>
      </x:c>
      <x:c r="S6" s="61" t="n">
        <x:v>18225.309967139165</x:v>
      </x:c>
      <x:c r="T6" s="61" t="n">
        <x:v>31845.070513880466</x:v>
      </x:c>
    </x:row>
    <x:row r="7">
      <x:c r="A7" s="59" t="str">
        <x:v>1|aggregate</x:v>
      </x:c>
      <x:c r="B7" s="59" t="str">
        <x:v>1</x:v>
      </x:c>
      <x:c r="C7" s="59" t="str">
        <x:v>Test building 1</x:v>
      </x:c>
      <x:c r="D7" s="59" t="str">
        <x:v>aggregate</x:v>
      </x:c>
      <x:c r="E7" s="59" t="str">
        <x:v>2023-06</x:v>
      </x:c>
      <x:c r="F7" s="61" t="n">
        <x:v>0</x:v>
      </x:c>
      <x:c r="G7" s="61" t="n">
        <x:v>0</x:v>
      </x:c>
      <x:c r="H7" s="61" t="n">
        <x:v>0</x:v>
      </x:c>
      <x:c r="I7" s="61" t="n">
        <x:v>11157.198674991945</x:v>
      </x:c>
      <x:c r="J7" s="61" t="n">
        <x:v>3025.985476447698</x:v>
      </x:c>
      <x:c r="K7" s="61" t="n">
        <x:v>14183.184151439644</x:v>
      </x:c>
      <x:c r="L7" s="61" t="n">
        <x:v>0</x:v>
      </x:c>
      <x:c r="M7" s="61" t="n">
        <x:v>886.0266260518013</x:v>
      </x:c>
      <x:c r="N7" s="61" t="n">
        <x:v>886.0266260518013</x:v>
      </x:c>
      <x:c r="O7" s="61" t="n">
        <x:v>11666.191235173716</x:v>
      </x:c>
      <x:c r="P7" s="61" t="n">
        <x:v>3915.023033321824</x:v>
      </x:c>
      <x:c r="Q7" s="61" t="n">
        <x:v>15581.214268495538</x:v>
      </x:c>
      <x:c r="R7" s="61" t="n">
        <x:v>14128.127595969814</x:v>
      </x:c>
      <x:c r="S7" s="61" t="n">
        <x:v>17630.90467117793</x:v>
      </x:c>
      <x:c r="T7" s="61" t="n">
        <x:v>31759.032267147744</x:v>
      </x:c>
    </x:row>
    <x:row r="8">
      <x:c r="A8" s="59" t="str">
        <x:v>1|aggregate</x:v>
      </x:c>
      <x:c r="B8" s="59" t="str">
        <x:v>1</x:v>
      </x:c>
      <x:c r="C8" s="59" t="str">
        <x:v>Test building 1</x:v>
      </x:c>
      <x:c r="D8" s="59" t="str">
        <x:v>aggregate</x:v>
      </x:c>
      <x:c r="E8" s="59" t="str">
        <x:v>2023-07</x:v>
      </x:c>
      <x:c r="F8" s="61" t="n">
        <x:v>0</x:v>
      </x:c>
      <x:c r="G8" s="61" t="n">
        <x:v>0</x:v>
      </x:c>
      <x:c r="H8" s="61" t="n">
        <x:v>0</x:v>
      </x:c>
      <x:c r="I8" s="61" t="n">
        <x:v>17786.80805816674</x:v>
      </x:c>
      <x:c r="J8" s="61" t="n">
        <x:v>7372.245322162863</x:v>
      </x:c>
      <x:c r="K8" s="61" t="n">
        <x:v>25159.053380329602</x:v>
      </x:c>
      <x:c r="L8" s="61" t="n">
        <x:v>0</x:v>
      </x:c>
      <x:c r="M8" s="61" t="n">
        <x:v>193.74846322411125</x:v>
      </x:c>
      <x:c r="N8" s="61" t="n">
        <x:v>193.74846322411125</x:v>
      </x:c>
      <x:c r="O8" s="61" t="n">
        <x:v>17818.09249037402</x:v>
      </x:c>
      <x:c r="P8" s="61" t="n">
        <x:v>7573.329352871702</x:v>
      </x:c>
      <x:c r="Q8" s="61" t="n">
        <x:v>25391.42184324572</x:v>
      </x:c>
      <x:c r="R8" s="61" t="n">
        <x:v>15271.22422044602</x:v>
      </x:c>
      <x:c r="S8" s="61" t="n">
        <x:v>18174.996415224414</x:v>
      </x:c>
      <x:c r="T8" s="61" t="n">
        <x:v>33446.220635670434</x:v>
      </x:c>
    </x:row>
    <x:row r="9">
      <x:c r="A9" s="59" t="str">
        <x:v>1|aggregate</x:v>
      </x:c>
      <x:c r="B9" s="59" t="str">
        <x:v>1</x:v>
      </x:c>
      <x:c r="C9" s="59" t="str">
        <x:v>Test building 1</x:v>
      </x:c>
      <x:c r="D9" s="59" t="str">
        <x:v>aggregate</x:v>
      </x:c>
      <x:c r="E9" s="59" t="str">
        <x:v>2023-08</x:v>
      </x:c>
      <x:c r="F9" s="61" t="n">
        <x:v>0</x:v>
      </x:c>
      <x:c r="G9" s="61" t="n">
        <x:v>0</x:v>
      </x:c>
      <x:c r="H9" s="61" t="n">
        <x:v>0</x:v>
      </x:c>
      <x:c r="I9" s="61" t="n">
        <x:v>13594.240829444996</x:v>
      </x:c>
      <x:c r="J9" s="61" t="n">
        <x:v>5880.934563642949</x:v>
      </x:c>
      <x:c r="K9" s="61" t="n">
        <x:v>19475.175393087946</x:v>
      </x:c>
      <x:c r="L9" s="61" t="n">
        <x:v>0</x:v>
      </x:c>
      <x:c r="M9" s="61" t="n">
        <x:v>146.24283041435325</x:v>
      </x:c>
      <x:c r="N9" s="61" t="n">
        <x:v>146.24283041435325</x:v>
      </x:c>
      <x:c r="O9" s="61" t="n">
        <x:v>13979.665074248427</x:v>
      </x:c>
      <x:c r="P9" s="61" t="n">
        <x:v>6033.029070240018</x:v>
      </x:c>
      <x:c r="Q9" s="61" t="n">
        <x:v>20012.694144488447</x:v>
      </x:c>
      <x:c r="R9" s="61" t="n">
        <x:v>12970.540393591704</x:v>
      </x:c>
      <x:c r="S9" s="61" t="n">
        <x:v>18225.309967139165</x:v>
      </x:c>
      <x:c r="T9" s="61" t="n">
        <x:v>31195.85036073086</x:v>
      </x:c>
    </x:row>
    <x:row r="10">
      <x:c r="A10" s="59" t="str">
        <x:v>1|aggregate</x:v>
      </x:c>
      <x:c r="B10" s="59" t="str">
        <x:v>1</x:v>
      </x:c>
      <x:c r="C10" s="59" t="str">
        <x:v>Test building 1</x:v>
      </x:c>
      <x:c r="D10" s="59" t="str">
        <x:v>aggregate</x:v>
      </x:c>
      <x:c r="E10" s="59" t="str">
        <x:v>2023-09</x:v>
      </x:c>
      <x:c r="F10" s="61" t="n">
        <x:v>0</x:v>
      </x:c>
      <x:c r="G10" s="61" t="n">
        <x:v>0</x:v>
      </x:c>
      <x:c r="H10" s="61" t="n">
        <x:v>0</x:v>
      </x:c>
      <x:c r="I10" s="61" t="n">
        <x:v>6618.603415105998</x:v>
      </x:c>
      <x:c r="J10" s="61" t="n">
        <x:v>1495.9635438641185</x:v>
      </x:c>
      <x:c r="K10" s="61" t="n">
        <x:v>8114.566958970116</x:v>
      </x:c>
      <x:c r="L10" s="61" t="n">
        <x:v>0</x:v>
      </x:c>
      <x:c r="M10" s="61" t="n">
        <x:v>1178.3259902812536</x:v>
      </x:c>
      <x:c r="N10" s="61" t="n">
        <x:v>1178.3259902812536</x:v>
      </x:c>
      <x:c r="O10" s="61" t="n">
        <x:v>8348.676597377862</x:v>
      </x:c>
      <x:c r="P10" s="61" t="n">
        <x:v>2675.778055084528</x:v>
      </x:c>
      <x:c r="Q10" s="61" t="n">
        <x:v>11024.45465246239</x:v>
      </x:c>
      <x:c r="R10" s="61" t="n">
        <x:v>9251.9558844884</x:v>
      </x:c>
      <x:c r="S10" s="61" t="n">
        <x:v>17619.666758963966</x:v>
      </x:c>
      <x:c r="T10" s="61" t="n">
        <x:v>26871.622643452363</x:v>
      </x:c>
    </x:row>
    <x:row r="11">
      <x:c r="A11" s="59" t="str">
        <x:v>1|aggregate</x:v>
      </x:c>
      <x:c r="B11" s="59" t="str">
        <x:v>1</x:v>
      </x:c>
      <x:c r="C11" s="59" t="str">
        <x:v>Test building 1</x:v>
      </x:c>
      <x:c r="D11" s="59" t="str">
        <x:v>aggregate</x:v>
      </x:c>
      <x:c r="E11" s="59" t="str">
        <x:v>2023-10</x:v>
      </x:c>
      <x:c r="F11" s="61" t="n">
        <x:v>572.8553461543215</x:v>
      </x:c>
      <x:c r="G11" s="61" t="n">
        <x:v>13278.863260905713</x:v>
      </x:c>
      <x:c r="H11" s="61" t="n">
        <x:v>13851.718607060035</x:v>
      </x:c>
      <x:c r="I11" s="61" t="n">
        <x:v>0</x:v>
      </x:c>
      <x:c r="J11" s="61" t="n">
        <x:v>0</x:v>
      </x:c>
      <x:c r="K11" s="61" t="n">
        <x:v>0</x:v>
      </x:c>
      <x:c r="L11" s="61" t="n">
        <x:v>1779.0767155739954</x:v>
      </x:c>
      <x:c r="M11" s="61" t="n">
        <x:v>12373.46997982417</x:v>
      </x:c>
      <x:c r="N11" s="61" t="n">
        <x:v>14152.546695398167</x:v>
      </x:c>
      <x:c r="O11" s="61" t="n">
        <x:v>0</x:v>
      </x:c>
      <x:c r="P11" s="61" t="n">
        <x:v>3.6980846371025167</x:v>
      </x:c>
      <x:c r="Q11" s="61" t="n">
        <x:v>3.6980846371025167</x:v>
      </x:c>
      <x:c r="R11" s="61" t="n">
        <x:v>5536.703879422611</x:v>
      </x:c>
      <x:c r="S11" s="61" t="n">
        <x:v>18186.234327438375</x:v>
      </x:c>
      <x:c r="T11" s="61" t="n">
        <x:v>23722.938206860992</x:v>
      </x:c>
    </x:row>
    <x:row r="12">
      <x:c r="A12" s="59" t="str">
        <x:v>1|aggregate</x:v>
      </x:c>
      <x:c r="B12" s="59" t="str">
        <x:v>1</x:v>
      </x:c>
      <x:c r="C12" s="59" t="str">
        <x:v>Test building 1</x:v>
      </x:c>
      <x:c r="D12" s="59" t="str">
        <x:v>aggregate</x:v>
      </x:c>
      <x:c r="E12" s="59" t="str">
        <x:v>2023-11</x:v>
      </x:c>
      <x:c r="F12" s="61" t="n">
        <x:v>16227.701090912044</x:v>
      </x:c>
      <x:c r="G12" s="61" t="n">
        <x:v>20858.62280941946</x:v>
      </x:c>
      <x:c r="H12" s="61" t="n">
        <x:v>37086.3239003315</x:v>
      </x:c>
      <x:c r="I12" s="61" t="n">
        <x:v>0</x:v>
      </x:c>
      <x:c r="J12" s="61" t="n">
        <x:v>0</x:v>
      </x:c>
      <x:c r="K12" s="61" t="n">
        <x:v>0</x:v>
      </x:c>
      <x:c r="L12" s="61" t="n">
        <x:v>21765.302420285632</x:v>
      </x:c>
      <x:c r="M12" s="61" t="n">
        <x:v>19726.497451757008</x:v>
      </x:c>
      <x:c r="N12" s="61" t="n">
        <x:v>41491.79987204264</x:v>
      </x:c>
      <x:c r="O12" s="61" t="n">
        <x:v>0</x:v>
      </x:c>
      <x:c r="P12" s="61" t="n">
        <x:v>0</x:v>
      </x:c>
      <x:c r="Q12" s="61" t="n">
        <x:v>0</x:v>
      </x:c>
      <x:c r="R12" s="61" t="n">
        <x:v>1785.7032650621218</x:v>
      </x:c>
      <x:c r="S12" s="61" t="n">
        <x:v>17630.90467117793</x:v>
      </x:c>
      <x:c r="T12" s="61" t="n">
        <x:v>19416.60793624005</x:v>
      </x:c>
    </x:row>
    <x:row r="13">
      <x:c r="A13" s="59" t="str">
        <x:v>1|aggregate</x:v>
      </x:c>
      <x:c r="B13" s="59" t="str">
        <x:v>1</x:v>
      </x:c>
      <x:c r="C13" s="59" t="str">
        <x:v>Test building 1</x:v>
      </x:c>
      <x:c r="D13" s="59" t="str">
        <x:v>aggregate</x:v>
      </x:c>
      <x:c r="E13" s="59" t="str">
        <x:v>2023-12</x:v>
      </x:c>
      <x:c r="F13" s="61" t="n">
        <x:v>31579.920999992883</x:v>
      </x:c>
      <x:c r="G13" s="61" t="n">
        <x:v>28044.57060640093</x:v>
      </x:c>
      <x:c r="H13" s="61" t="n">
        <x:v>59624.491606393814</x:v>
      </x:c>
      <x:c r="I13" s="61" t="n">
        <x:v>0</x:v>
      </x:c>
      <x:c r="J13" s="61" t="n">
        <x:v>0</x:v>
      </x:c>
      <x:c r="K13" s="61" t="n">
        <x:v>0</x:v>
      </x:c>
      <x:c r="L13" s="61" t="n">
        <x:v>37052.59020888411</x:v>
      </x:c>
      <x:c r="M13" s="61" t="n">
        <x:v>26881.16610534376</x:v>
      </x:c>
      <x:c r="N13" s="61" t="n">
        <x:v>63933.75631422787</x:v>
      </x:c>
      <x:c r="O13" s="61" t="n">
        <x:v>0</x:v>
      </x:c>
      <x:c r="P13" s="61" t="n">
        <x:v>0</x:v>
      </x:c>
      <x:c r="Q13" s="61" t="n">
        <x:v>0</x:v>
      </x:c>
      <x:c r="R13" s="61" t="n">
        <x:v>1219.52697783776</x:v>
      </x:c>
      <x:c r="S13" s="61" t="n">
        <x:v>18174.996415224414</x:v>
      </x:c>
      <x:c r="T13" s="61" t="n">
        <x:v>19394.523393062173</x:v>
      </x:c>
    </x:row>
    <x:row r="14">
      <x:c r="A14" s="59" t="str">
        <x:v>1|lower</x:v>
      </x:c>
      <x:c r="B14" s="59" t="str">
        <x:v>1</x:v>
      </x:c>
      <x:c r="C14" s="59" t="str">
        <x:v>Test building 1</x:v>
      </x:c>
      <x:c r="D14" s="59" t="str">
        <x:v>lower</x:v>
      </x:c>
      <x:c r="E14" s="59" t="str">
        <x:v>2023-01</x:v>
      </x:c>
      <x:c r="F14" s="61" t="n">
        <x:v>11219.880831165583</x:v>
      </x:c>
      <x:c r="G14" s="61" t="n">
        <x:v>14383.231353352603</x:v>
      </x:c>
      <x:c r="H14" s="61" t="n">
        <x:v>25603.112184518184</x:v>
      </x:c>
      <x:c r="I14" s="61" t="n">
        <x:v>0</x:v>
      </x:c>
      <x:c r="J14" s="61" t="n">
        <x:v>0</x:v>
      </x:c>
      <x:c r="K14" s="61" t="n">
        <x:v>0</x:v>
      </x:c>
      <x:c r="L14" s="61" t="n">
        <x:v>11461.312539873727</x:v>
      </x:c>
      <x:c r="M14" s="61" t="n">
        <x:v>14397.543026341013</x:v>
      </x:c>
      <x:c r="N14" s="61" t="n">
        <x:v>25858.85556621474</x:v>
      </x:c>
      <x:c r="O14" s="61" t="n">
        <x:v>0</x:v>
      </x:c>
      <x:c r="P14" s="61" t="n">
        <x:v>0</x:v>
      </x:c>
      <x:c r="Q14" s="61" t="n">
        <x:v>0</x:v>
      </x:c>
      <x:c r="R14" s="61" t="n">
        <x:v>530.9668385784647</x:v>
      </x:c>
      <x:c r="S14" s="61" t="n">
        <x:v>16850.02340807119</x:v>
      </x:c>
      <x:c r="T14" s="61" t="n">
        <x:v>17380.990246649657</x:v>
      </x:c>
    </x:row>
    <x:row r="15">
      <x:c r="A15" s="59" t="str">
        <x:v>1|lower</x:v>
      </x:c>
      <x:c r="B15" s="59" t="str">
        <x:v>1</x:v>
      </x:c>
      <x:c r="C15" s="59" t="str">
        <x:v>Test building 1</x:v>
      </x:c>
      <x:c r="D15" s="59" t="str">
        <x:v>lower</x:v>
      </x:c>
      <x:c r="E15" s="59" t="str">
        <x:v>2023-02</x:v>
      </x:c>
      <x:c r="F15" s="61" t="n">
        <x:v>8838.457416362939</x:v>
      </x:c>
      <x:c r="G15" s="61" t="n">
        <x:v>12151.309309329756</x:v>
      </x:c>
      <x:c r="H15" s="61" t="n">
        <x:v>20989.766725692694</x:v>
      </x:c>
      <x:c r="I15" s="61" t="n">
        <x:v>0</x:v>
      </x:c>
      <x:c r="J15" s="61" t="n">
        <x:v>0</x:v>
      </x:c>
      <x:c r="K15" s="61" t="n">
        <x:v>0</x:v>
      </x:c>
      <x:c r="L15" s="61" t="n">
        <x:v>9059.912927240382</x:v>
      </x:c>
      <x:c r="M15" s="61" t="n">
        <x:v>12163.400164363915</x:v>
      </x:c>
      <x:c r="N15" s="61" t="n">
        <x:v>21223.313091604297</x:v>
      </x:c>
      <x:c r="O15" s="61" t="n">
        <x:v>0</x:v>
      </x:c>
      <x:c r="P15" s="61" t="n">
        <x:v>0</x:v>
      </x:c>
      <x:c r="Q15" s="61" t="n">
        <x:v>0</x:v>
      </x:c>
      <x:c r="R15" s="61" t="n">
        <x:v>686.1869092095203</x:v>
      </x:c>
      <x:c r="S15" s="61" t="n">
        <x:v>15217.23406983555</x:v>
      </x:c>
      <x:c r="T15" s="61" t="n">
        <x:v>15903.420979045068</x:v>
      </x:c>
    </x:row>
    <x:row r="16">
      <x:c r="A16" s="59" t="str">
        <x:v>1|lower</x:v>
      </x:c>
      <x:c r="B16" s="59" t="str">
        <x:v>1</x:v>
      </x:c>
      <x:c r="C16" s="59" t="str">
        <x:v>Test building 1</x:v>
      </x:c>
      <x:c r="D16" s="59" t="str">
        <x:v>lower</x:v>
      </x:c>
      <x:c r="E16" s="59" t="str">
        <x:v>2023-03</x:v>
      </x:c>
      <x:c r="F16" s="61" t="n">
        <x:v>5754.388471327085</x:v>
      </x:c>
      <x:c r="G16" s="61" t="n">
        <x:v>10588.274921232698</x:v>
      </x:c>
      <x:c r="H16" s="61" t="n">
        <x:v>16342.663392559783</x:v>
      </x:c>
      <x:c r="I16" s="61" t="n">
        <x:v>0</x:v>
      </x:c>
      <x:c r="J16" s="61" t="n">
        <x:v>0</x:v>
      </x:c>
      <x:c r="K16" s="61" t="n">
        <x:v>0</x:v>
      </x:c>
      <x:c r="L16" s="61" t="n">
        <x:v>5992.952459765312</x:v>
      </x:c>
      <x:c r="M16" s="61" t="n">
        <x:v>10598.810518169246</x:v>
      </x:c>
      <x:c r="N16" s="61" t="n">
        <x:v>16591.76297793456</x:v>
      </x:c>
      <x:c r="O16" s="61" t="n">
        <x:v>0</x:v>
      </x:c>
      <x:c r="P16" s="61" t="n">
        <x:v>0</x:v>
      </x:c>
      <x:c r="Q16" s="61" t="n">
        <x:v>0</x:v>
      </x:c>
      <x:c r="R16" s="61" t="n">
        <x:v>1597.7286371156479</x:v>
      </x:c>
      <x:c r="S16" s="61" t="n">
        <x:v>16833.423592798343</x:v>
      </x:c>
      <x:c r="T16" s="61" t="n">
        <x:v>18431.152229913987</x:v>
      </x:c>
    </x:row>
    <x:row r="17">
      <x:c r="A17" s="59" t="str">
        <x:v>1|lower</x:v>
      </x:c>
      <x:c r="B17" s="59" t="str">
        <x:v>1</x:v>
      </x:c>
      <x:c r="C17" s="59" t="str">
        <x:v>Test building 1</x:v>
      </x:c>
      <x:c r="D17" s="59" t="str">
        <x:v>lower</x:v>
      </x:c>
      <x:c r="E17" s="59" t="str">
        <x:v>2023-04</x:v>
      </x:c>
      <x:c r="F17" s="61" t="n">
        <x:v>2348.240094206836</x:v>
      </x:c>
      <x:c r="G17" s="61" t="n">
        <x:v>7167.252549635565</x:v>
      </x:c>
      <x:c r="H17" s="61" t="n">
        <x:v>9515.4926438424</x:v>
      </x:c>
      <x:c r="I17" s="61" t="n">
        <x:v>0</x:v>
      </x:c>
      <x:c r="J17" s="61" t="n">
        <x:v>0</x:v>
      </x:c>
      <x:c r="K17" s="61" t="n">
        <x:v>0</x:v>
      </x:c>
      <x:c r="L17" s="61" t="n">
        <x:v>2522.5584312525707</x:v>
      </x:c>
      <x:c r="M17" s="61" t="n">
        <x:v>7175.783419480408</x:v>
      </x:c>
      <x:c r="N17" s="61" t="n">
        <x:v>9698.341850732979</x:v>
      </x:c>
      <x:c r="O17" s="61" t="n">
        <x:v>0</x:v>
      </x:c>
      <x:c r="P17" s="61" t="n">
        <x:v>1.3992752680928318</x:v>
      </x:c>
      <x:c r="Q17" s="61" t="n">
        <x:v>1.3992752680928318</x:v>
      </x:c>
      <x:c r="R17" s="61" t="n">
        <x:v>2102.597843380142</x:v>
      </x:c>
      <x:c r="S17" s="61" t="n">
        <x:v>16327.893382356446</x:v>
      </x:c>
      <x:c r="T17" s="61" t="n">
        <x:v>18430.491225736587</x:v>
      </x:c>
    </x:row>
    <x:row r="18">
      <x:c r="A18" s="59" t="str">
        <x:v>1|lower</x:v>
      </x:c>
      <x:c r="B18" s="59" t="str">
        <x:v>1</x:v>
      </x:c>
      <x:c r="C18" s="59" t="str">
        <x:v>Test building 1</x:v>
      </x:c>
      <x:c r="D18" s="59" t="str">
        <x:v>lower</x:v>
      </x:c>
      <x:c r="E18" s="59" t="str">
        <x:v>2023-05</x:v>
      </x:c>
      <x:c r="F18" s="61" t="n">
        <x:v>0</x:v>
      </x:c>
      <x:c r="G18" s="61" t="n">
        <x:v>3161.614977942082</x:v>
      </x:c>
      <x:c r="H18" s="61" t="n">
        <x:v>3161.614977942082</x:v>
      </x:c>
      <x:c r="I18" s="61" t="n">
        <x:v>0</x:v>
      </x:c>
      <x:c r="J18" s="61" t="n">
        <x:v>0</x:v>
      </x:c>
      <x:c r="K18" s="61" t="n">
        <x:v>0</x:v>
      </x:c>
      <x:c r="L18" s="61" t="n">
        <x:v>0</x:v>
      </x:c>
      <x:c r="M18" s="61" t="n">
        <x:v>3242.820433805166</x:v>
      </x:c>
      <x:c r="N18" s="61" t="n">
        <x:v>3242.820433805166</x:v>
      </x:c>
      <x:c r="O18" s="61" t="n">
        <x:v>0</x:v>
      </x:c>
      <x:c r="P18" s="61" t="n">
        <x:v>78.05957031289365</x:v>
      </x:c>
      <x:c r="Q18" s="61" t="n">
        <x:v>78.05957031289365</x:v>
      </x:c>
      <x:c r="R18" s="61" t="n">
        <x:v>2774.249540434594</x:v>
      </x:c>
      <x:c r="S18" s="61" t="n">
        <x:v>16833.423592798343</x:v>
      </x:c>
      <x:c r="T18" s="61" t="n">
        <x:v>19607.67313323293</x:v>
      </x:c>
    </x:row>
    <x:row r="19">
      <x:c r="A19" s="59" t="str">
        <x:v>1|lower</x:v>
      </x:c>
      <x:c r="B19" s="59" t="str">
        <x:v>1</x:v>
      </x:c>
      <x:c r="C19" s="59" t="str">
        <x:v>Test building 1</x:v>
      </x:c>
      <x:c r="D19" s="59" t="str">
        <x:v>lower</x:v>
      </x:c>
      <x:c r="E19" s="59" t="str">
        <x:v>2023-06</x:v>
      </x:c>
      <x:c r="F19" s="61" t="n">
        <x:v>0</x:v>
      </x:c>
      <x:c r="G19" s="61" t="n">
        <x:v>0</x:v>
      </x:c>
      <x:c r="H19" s="61" t="n">
        <x:v>0</x:v>
      </x:c>
      <x:c r="I19" s="61" t="n">
        <x:v>9061.636614763574</x:v>
      </x:c>
      <x:c r="J19" s="61" t="n">
        <x:v>1623.442961292328</x:v>
      </x:c>
      <x:c r="K19" s="61" t="n">
        <x:v>10685.079576055903</x:v>
      </x:c>
      <x:c r="L19" s="61" t="n">
        <x:v>0</x:v>
      </x:c>
      <x:c r="M19" s="61" t="n">
        <x:v>475.3537982178262</x:v>
      </x:c>
      <x:c r="N19" s="61" t="n">
        <x:v>475.3537982178262</x:v>
      </x:c>
      <x:c r="O19" s="61" t="n">
        <x:v>9220.5341928771</x:v>
      </x:c>
      <x:c r="P19" s="61" t="n">
        <x:v>2100.4121256407934</x:v>
      </x:c>
      <x:c r="Q19" s="61" t="n">
        <x:v>11320.946318517892</x:v>
      </x:c>
      <x:c r="R19" s="61" t="n">
        <x:v>2844.8736524662304</x:v>
      </x:c>
      <x:c r="S19" s="61" t="n">
        <x:v>16294.693751810744</x:v>
      </x:c>
      <x:c r="T19" s="61" t="n">
        <x:v>19139.567404276975</x:v>
      </x:c>
    </x:row>
    <x:row r="20">
      <x:c r="A20" s="59" t="str">
        <x:v>1|lower</x:v>
      </x:c>
      <x:c r="B20" s="59" t="str">
        <x:v>1</x:v>
      </x:c>
      <x:c r="C20" s="59" t="str">
        <x:v>Test building 1</x:v>
      </x:c>
      <x:c r="D20" s="59" t="str">
        <x:v>lower</x:v>
      </x:c>
      <x:c r="E20" s="59" t="str">
        <x:v>2023-07</x:v>
      </x:c>
      <x:c r="F20" s="61" t="n">
        <x:v>0</x:v>
      </x:c>
      <x:c r="G20" s="61" t="n">
        <x:v>0</x:v>
      </x:c>
      <x:c r="H20" s="61" t="n">
        <x:v>0</x:v>
      </x:c>
      <x:c r="I20" s="61" t="n">
        <x:v>12225.584531357339</x:v>
      </x:c>
      <x:c r="J20" s="61" t="n">
        <x:v>3955.213886629663</x:v>
      </x:c>
      <x:c r="K20" s="61" t="n">
        <x:v>16180.798417987002</x:v>
      </x:c>
      <x:c r="L20" s="61" t="n">
        <x:v>0</x:v>
      </x:c>
      <x:c r="M20" s="61" t="n">
        <x:v>103.94616277261126</x:v>
      </x:c>
      <x:c r="N20" s="61" t="n">
        <x:v>103.94616277261126</x:v>
      </x:c>
      <x:c r="O20" s="61" t="n">
        <x:v>12313.818439204259</x:v>
      </x:c>
      <x:c r="P20" s="61" t="n">
        <x:v>4063.095585607877</x:v>
      </x:c>
      <x:c r="Q20" s="61" t="n">
        <x:v>16376.914024812135</x:v>
      </x:c>
      <x:c r="R20" s="61" t="n">
        <x:v>3070.718841944723</x:v>
      </x:c>
      <x:c r="S20" s="61" t="n">
        <x:v>16866.623223344042</x:v>
      </x:c>
      <x:c r="T20" s="61" t="n">
        <x:v>19937.34206528877</x:v>
      </x:c>
    </x:row>
    <x:row r="21">
      <x:c r="A21" s="59" t="str">
        <x:v>1|lower</x:v>
      </x:c>
      <x:c r="B21" s="59" t="str">
        <x:v>1</x:v>
      </x:c>
      <x:c r="C21" s="59" t="str">
        <x:v>Test building 1</x:v>
      </x:c>
      <x:c r="D21" s="59" t="str">
        <x:v>lower</x:v>
      </x:c>
      <x:c r="E21" s="59" t="str">
        <x:v>2023-08</x:v>
      </x:c>
      <x:c r="F21" s="61" t="n">
        <x:v>0</x:v>
      </x:c>
      <x:c r="G21" s="61" t="n">
        <x:v>0</x:v>
      </x:c>
      <x:c r="H21" s="61" t="n">
        <x:v>0</x:v>
      </x:c>
      <x:c r="I21" s="61" t="n">
        <x:v>10796.44459684753</x:v>
      </x:c>
      <x:c r="J21" s="61" t="n">
        <x:v>3155.124800656639</x:v>
      </x:c>
      <x:c r="K21" s="61" t="n">
        <x:v>13951.569397504169</x:v>
      </x:c>
      <x:c r="L21" s="61" t="n">
        <x:v>0</x:v>
      </x:c>
      <x:c r="M21" s="61" t="n">
        <x:v>78.45936324663448</x:v>
      </x:c>
      <x:c r="N21" s="61" t="n">
        <x:v>78.45936324663448</x:v>
      </x:c>
      <x:c r="O21" s="61" t="n">
        <x:v>10913.869490125957</x:v>
      </x:c>
      <x:c r="P21" s="61" t="n">
        <x:v>3236.7235915656183</x:v>
      </x:c>
      <x:c r="Q21" s="61" t="n">
        <x:v>14150.593081691577</x:v>
      </x:c>
      <x:c r="R21" s="61" t="n">
        <x:v>2671.400925836357</x:v>
      </x:c>
      <x:c r="S21" s="61" t="n">
        <x:v>16833.423592798343</x:v>
      </x:c>
      <x:c r="T21" s="61" t="n">
        <x:v>19504.824518634694</x:v>
      </x:c>
    </x:row>
    <x:row r="22">
      <x:c r="A22" s="59" t="str">
        <x:v>1|lower</x:v>
      </x:c>
      <x:c r="B22" s="59" t="str">
        <x:v>1</x:v>
      </x:c>
      <x:c r="C22" s="59" t="str">
        <x:v>Test building 1</x:v>
      </x:c>
      <x:c r="D22" s="59" t="str">
        <x:v>lower</x:v>
      </x:c>
      <x:c r="E22" s="59" t="str">
        <x:v>2023-09</x:v>
      </x:c>
      <x:c r="F22" s="61" t="n">
        <x:v>0</x:v>
      </x:c>
      <x:c r="G22" s="61" t="n">
        <x:v>0</x:v>
      </x:c>
      <x:c r="H22" s="61" t="n">
        <x:v>0</x:v>
      </x:c>
      <x:c r="I22" s="61" t="n">
        <x:v>7578.605899687909</x:v>
      </x:c>
      <x:c r="J22" s="61" t="n">
        <x:v>802.585308005888</x:v>
      </x:c>
      <x:c r="K22" s="61" t="n">
        <x:v>8381.191207693797</x:v>
      </x:c>
      <x:c r="L22" s="61" t="n">
        <x:v>0</x:v>
      </x:c>
      <x:c r="M22" s="61" t="n">
        <x:v>632.1725764776598</x:v>
      </x:c>
      <x:c r="N22" s="61" t="n">
        <x:v>632.1725764776598</x:v>
      </x:c>
      <x:c r="O22" s="61" t="n">
        <x:v>7760.936733620773</x:v>
      </x:c>
      <x:c r="P22" s="61" t="n">
        <x:v>1435.5564768298223</x:v>
      </x:c>
      <x:c r="Q22" s="61" t="n">
        <x:v>9196.493210450595</x:v>
      </x:c>
      <x:c r="R22" s="61" t="n">
        <x:v>1985.2818958140585</x:v>
      </x:c>
      <x:c r="S22" s="61" t="n">
        <x:v>16311.293567083594</x:v>
      </x:c>
      <x:c r="T22" s="61" t="n">
        <x:v>18296.57546289765</x:v>
      </x:c>
    </x:row>
    <x:row r="23">
      <x:c r="A23" s="59" t="str">
        <x:v>1|lower</x:v>
      </x:c>
      <x:c r="B23" s="59" t="str">
        <x:v>1</x:v>
      </x:c>
      <x:c r="C23" s="59" t="str">
        <x:v>Test building 1</x:v>
      </x:c>
      <x:c r="D23" s="59" t="str">
        <x:v>lower</x:v>
      </x:c>
      <x:c r="E23" s="59" t="str">
        <x:v>2023-10</x:v>
      </x:c>
      <x:c r="F23" s="61" t="n">
        <x:v>294.2772021305518</x:v>
      </x:c>
      <x:c r="G23" s="61" t="n">
        <x:v>5830.076331071887</x:v>
      </x:c>
      <x:c r="H23" s="61" t="n">
        <x:v>6124.3535332024385</x:v>
      </x:c>
      <x:c r="I23" s="61" t="n">
        <x:v>0</x:v>
      </x:c>
      <x:c r="J23" s="61" t="n">
        <x:v>0</x:v>
      </x:c>
      <x:c r="K23" s="61" t="n">
        <x:v>0</x:v>
      </x:c>
      <x:c r="L23" s="61" t="n">
        <x:v>378.6680569669406</x:v>
      </x:c>
      <x:c r="M23" s="61" t="n">
        <x:v>5839.5754866851785</x:v>
      </x:c>
      <x:c r="N23" s="61" t="n">
        <x:v>6218.243543652119</x:v>
      </x:c>
      <x:c r="O23" s="61" t="n">
        <x:v>0</x:v>
      </x:c>
      <x:c r="P23" s="61" t="n">
        <x:v>3.6980846371025167</x:v>
      </x:c>
      <x:c r="Q23" s="61" t="n">
        <x:v>3.6980846371025167</x:v>
      </x:c>
      <x:c r="R23" s="61" t="n">
        <x:v>1289.8934914186575</x:v>
      </x:c>
      <x:c r="S23" s="61" t="n">
        <x:v>16850.02340807119</x:v>
      </x:c>
      <x:c r="T23" s="61" t="n">
        <x:v>18139.91689948985</x:v>
      </x:c>
    </x:row>
    <x:row r="24">
      <x:c r="A24" s="59" t="str">
        <x:v>1|lower</x:v>
      </x:c>
      <x:c r="B24" s="59" t="str">
        <x:v>1</x:v>
      </x:c>
      <x:c r="C24" s="59" t="str">
        <x:v>Test building 1</x:v>
      </x:c>
      <x:c r="D24" s="59" t="str">
        <x:v>lower</x:v>
      </x:c>
      <x:c r="E24" s="59" t="str">
        <x:v>2023-11</x:v>
      </x:c>
      <x:c r="F24" s="61" t="n">
        <x:v>5145.0405251755765</x:v>
      </x:c>
      <x:c r="G24" s="61" t="n">
        <x:v>9573.111344908253</x:v>
      </x:c>
      <x:c r="H24" s="61" t="n">
        <x:v>14718.15187008383</x:v>
      </x:c>
      <x:c r="I24" s="61" t="n">
        <x:v>0</x:v>
      </x:c>
      <x:c r="J24" s="61" t="n">
        <x:v>0</x:v>
      </x:c>
      <x:c r="K24" s="61" t="n">
        <x:v>0</x:v>
      </x:c>
      <x:c r="L24" s="61" t="n">
        <x:v>5361.796326658211</x:v>
      </x:c>
      <x:c r="M24" s="61" t="n">
        <x:v>9582.636828833536</x:v>
      </x:c>
      <x:c r="N24" s="61" t="n">
        <x:v>14944.433155491746</x:v>
      </x:c>
      <x:c r="O24" s="61" t="n">
        <x:v>0</x:v>
      </x:c>
      <x:c r="P24" s="61" t="n">
        <x:v>0</x:v>
      </x:c>
      <x:c r="Q24" s="61" t="n">
        <x:v>0</x:v>
      </x:c>
      <x:c r="R24" s="61" t="n">
        <x:v>532.6606465324193</x:v>
      </x:c>
      <x:c r="S24" s="61" t="n">
        <x:v>16294.693751810744</x:v>
      </x:c>
      <x:c r="T24" s="61" t="n">
        <x:v>16827.35439834316</x:v>
      </x:c>
    </x:row>
    <x:row r="25">
      <x:c r="A25" s="59" t="str">
        <x:v>1|lower</x:v>
      </x:c>
      <x:c r="B25" s="59" t="str">
        <x:v>1</x:v>
      </x:c>
      <x:c r="C25" s="59" t="str">
        <x:v>Test building 1</x:v>
      </x:c>
      <x:c r="D25" s="59" t="str">
        <x:v>lower</x:v>
      </x:c>
      <x:c r="E25" s="59" t="str">
        <x:v>2023-12</x:v>
      </x:c>
      <x:c r="F25" s="61" t="n">
        <x:v>9835.572267444339</x:v>
      </x:c>
      <x:c r="G25" s="61" t="n">
        <x:v>13374.458105432284</x:v>
      </x:c>
      <x:c r="H25" s="61" t="n">
        <x:v>23210.030372876623</x:v>
      </x:c>
      <x:c r="I25" s="61" t="n">
        <x:v>0</x:v>
      </x:c>
      <x:c r="J25" s="61" t="n">
        <x:v>0</x:v>
      </x:c>
      <x:c r="K25" s="61" t="n">
        <x:v>0</x:v>
      </x:c>
      <x:c r="L25" s="61" t="n">
        <x:v>10076.4322614173</x:v>
      </x:c>
      <x:c r="M25" s="61" t="n">
        <x:v>13387.766023945156</x:v>
      </x:c>
      <x:c r="N25" s="61" t="n">
        <x:v>23464.198285362454</x:v>
      </x:c>
      <x:c r="O25" s="61" t="n">
        <x:v>0</x:v>
      </x:c>
      <x:c r="P25" s="61" t="n">
        <x:v>0</x:v>
      </x:c>
      <x:c r="Q25" s="61" t="n">
        <x:v>0</x:v>
      </x:c>
      <x:c r="R25" s="61" t="n">
        <x:v>425.9834046364264</x:v>
      </x:c>
      <x:c r="S25" s="61" t="n">
        <x:v>16866.623223344042</x:v>
      </x:c>
      <x:c r="T25" s="61" t="n">
        <x:v>17292.60662798047</x:v>
      </x:c>
    </x:row>
    <x:row r="26">
      <x:c r="A26" s="59" t="str">
        <x:v>1|upper</x:v>
      </x:c>
      <x:c r="B26" s="59" t="str">
        <x:v>1</x:v>
      </x:c>
      <x:c r="C26" s="59" t="str">
        <x:v>Test building 1</x:v>
      </x:c>
      <x:c r="D26" s="59" t="str">
        <x:v>upper</x:v>
      </x:c>
      <x:c r="E26" s="59" t="str">
        <x:v>2023-01</x:v>
      </x:c>
      <x:c r="F26" s="61" t="n">
        <x:v>29260.780573859716</x:v>
      </x:c>
      <x:c r="G26" s="61" t="n">
        <x:v>14351.497524226408</x:v>
      </x:c>
      <x:c r="H26" s="61" t="n">
        <x:v>43612.27809808613</x:v>
      </x:c>
      <x:c r="I26" s="61" t="n">
        <x:v>0</x:v>
      </x:c>
      <x:c r="J26" s="61" t="n">
        <x:v>0</x:v>
      </x:c>
      <x:c r="K26" s="61" t="n">
        <x:v>0</x:v>
      </x:c>
      <x:c r="L26" s="61" t="n">
        <x:v>29268.216543795836</x:v>
      </x:c>
      <x:c r="M26" s="61" t="n">
        <x:v>14365.777621265435</x:v>
      </x:c>
      <x:c r="N26" s="61" t="n">
        <x:v>43633.994165061275</x:v>
      </x:c>
      <x:c r="O26" s="61" t="n">
        <x:v>0</x:v>
      </x:c>
      <x:c r="P26" s="61" t="n">
        <x:v>0</x:v>
      </x:c>
      <x:c r="Q26" s="61" t="n">
        <x:v>0</x:v>
      </x:c>
      <x:c r="R26" s="61" t="n">
        <x:v>1213.9601330566481</x:v>
      </x:c>
      <x:c r="S26" s="61" t="n">
        <x:v>1336.2109193671874</x:v>
      </x:c>
      <x:c r="T26" s="61" t="n">
        <x:v>2550.171052423836</x:v>
      </x:c>
    </x:row>
    <x:row r="27">
      <x:c r="A27" s="59" t="str">
        <x:v>1|upper</x:v>
      </x:c>
      <x:c r="B27" s="59" t="str">
        <x:v>1</x:v>
      </x:c>
      <x:c r="C27" s="59" t="str">
        <x:v>Test building 1</x:v>
      </x:c>
      <x:c r="D27" s="59" t="str">
        <x:v>upper</x:v>
      </x:c>
      <x:c r="E27" s="59" t="str">
        <x:v>2023-02</x:v>
      </x:c>
      <x:c r="F27" s="61" t="n">
        <x:v>23342.128871231456</x:v>
      </x:c>
      <x:c r="G27" s="61" t="n">
        <x:v>12236.944066202954</x:v>
      </x:c>
      <x:c r="H27" s="61" t="n">
        <x:v>35579.07293743441</x:v>
      </x:c>
      <x:c r="I27" s="61" t="n">
        <x:v>0</x:v>
      </x:c>
      <x:c r="J27" s="61" t="n">
        <x:v>0</x:v>
      </x:c>
      <x:c r="K27" s="61" t="n">
        <x:v>0</x:v>
      </x:c>
      <x:c r="L27" s="61" t="n">
        <x:v>23347.709921935926</x:v>
      </x:c>
      <x:c r="M27" s="61" t="n">
        <x:v>12249.120129950417</x:v>
      </x:c>
      <x:c r="N27" s="61" t="n">
        <x:v>35596.83005188634</x:v>
      </x:c>
      <x:c r="O27" s="61" t="n">
        <x:v>0</x:v>
      </x:c>
      <x:c r="P27" s="61" t="n">
        <x:v>0</x:v>
      </x:c>
      <x:c r="Q27" s="61" t="n">
        <x:v>0</x:v>
      </x:c>
      <x:c r="R27" s="61" t="n">
        <x:v>1888.8338852279971</x:v>
      </x:c>
      <x:c r="S27" s="61" t="n">
        <x:v>1224.8600094199219</x:v>
      </x:c>
      <x:c r="T27" s="61" t="n">
        <x:v>3113.6938946479195</x:v>
      </x:c>
    </x:row>
    <x:row r="28">
      <x:c r="A28" s="59" t="str">
        <x:v>1|upper</x:v>
      </x:c>
      <x:c r="B28" s="59" t="str">
        <x:v>1</x:v>
      </x:c>
      <x:c r="C28" s="59" t="str">
        <x:v>Test building 1</x:v>
      </x:c>
      <x:c r="D28" s="59" t="str">
        <x:v>upper</x:v>
      </x:c>
      <x:c r="E28" s="59" t="str">
        <x:v>2023-03</x:v>
      </x:c>
      <x:c r="F28" s="61" t="n">
        <x:v>14701.156258879073</x:v>
      </x:c>
      <x:c r="G28" s="61" t="n">
        <x:v>11072.917453280486</x:v>
      </x:c>
      <x:c r="H28" s="61" t="n">
        <x:v>25774.07371215956</x:v>
      </x:c>
      <x:c r="I28" s="61" t="n">
        <x:v>0</x:v>
      </x:c>
      <x:c r="J28" s="61" t="n">
        <x:v>0</x:v>
      </x:c>
      <x:c r="K28" s="61" t="n">
        <x:v>0</x:v>
      </x:c>
      <x:c r="L28" s="61" t="n">
        <x:v>14694.46590430014</x:v>
      </x:c>
      <x:c r="M28" s="61" t="n">
        <x:v>11083.935281592207</x:v>
      </x:c>
      <x:c r="N28" s="61" t="n">
        <x:v>25778.401185892344</x:v>
      </x:c>
      <x:c r="O28" s="61" t="n">
        <x:v>0</x:v>
      </x:c>
      <x:c r="P28" s="61" t="n">
        <x:v>0</x:v>
      </x:c>
      <x:c r="Q28" s="61" t="n">
        <x:v>0</x:v>
      </x:c>
      <x:c r="R28" s="61" t="n">
        <x:v>5593.399784154556</x:v>
      </x:c>
      <x:c r="S28" s="61" t="n">
        <x:v>1391.8863743408203</x:v>
      </x:c>
      <x:c r="T28" s="61" t="n">
        <x:v>6985.286158495376</x:v>
      </x:c>
    </x:row>
    <x:row r="29">
      <x:c r="A29" s="59" t="str">
        <x:v>1|upper</x:v>
      </x:c>
      <x:c r="B29" s="59" t="str">
        <x:v>1</x:v>
      </x:c>
      <x:c r="C29" s="59" t="str">
        <x:v>Test building 1</x:v>
      </x:c>
      <x:c r="D29" s="59" t="str">
        <x:v>upper</x:v>
      </x:c>
      <x:c r="E29" s="59" t="str">
        <x:v>2023-04</x:v>
      </x:c>
      <x:c r="F29" s="61" t="n">
        <x:v>4734.234774191594</x:v>
      </x:c>
      <x:c r="G29" s="61" t="n">
        <x:v>8055.281543005267</x:v>
      </x:c>
      <x:c r="H29" s="61" t="n">
        <x:v>12789.51631719686</x:v>
      </x:c>
      <x:c r="I29" s="61" t="n">
        <x:v>0</x:v>
      </x:c>
      <x:c r="J29" s="61" t="n">
        <x:v>0</x:v>
      </x:c>
      <x:c r="K29" s="61" t="n">
        <x:v>0</x:v>
      </x:c>
      <x:c r="L29" s="61" t="n">
        <x:v>4701.871795964752</x:v>
      </x:c>
      <x:c r="M29" s="61" t="n">
        <x:v>8063.296748520694</x:v>
      </x:c>
      <x:c r="N29" s="61" t="n">
        <x:v>12765.168544485445</x:v>
      </x:c>
      <x:c r="O29" s="61" t="n">
        <x:v>0</x:v>
      </x:c>
      <x:c r="P29" s="61" t="n">
        <x:v>0</x:v>
      </x:c>
      <x:c r="Q29" s="61" t="n">
        <x:v>0</x:v>
      </x:c>
      <x:c r="R29" s="61" t="n">
        <x:v>7861.187791533801</x:v>
      </x:c>
      <x:c r="S29" s="61" t="n">
        <x:v>1252.6977369067383</x:v>
      </x:c>
      <x:c r="T29" s="61" t="n">
        <x:v>9113.88552844054</x:v>
      </x:c>
    </x:row>
    <x:row r="30">
      <x:c r="A30" s="59" t="str">
        <x:v>1|upper</x:v>
      </x:c>
      <x:c r="B30" s="59" t="str">
        <x:v>1</x:v>
      </x:c>
      <x:c r="C30" s="59" t="str">
        <x:v>Test building 1</x:v>
      </x:c>
      <x:c r="D30" s="59" t="str">
        <x:v>upper</x:v>
      </x:c>
      <x:c r="E30" s="59" t="str">
        <x:v>2023-05</x:v>
      </x:c>
      <x:c r="F30" s="61" t="n">
        <x:v>0</x:v>
      </x:c>
      <x:c r="G30" s="61" t="n">
        <x:v>3694.106689772628</x:v>
      </x:c>
      <x:c r="H30" s="61" t="n">
        <x:v>3694.106689772628</x:v>
      </x:c>
      <x:c r="I30" s="61" t="n">
        <x:v>0</x:v>
      </x:c>
      <x:c r="J30" s="61" t="n">
        <x:v>0</x:v>
      </x:c>
      <x:c r="K30" s="61" t="n">
        <x:v>0</x:v>
      </x:c>
      <x:c r="L30" s="61" t="n">
        <x:v>0</x:v>
      </x:c>
      <x:c r="M30" s="61" t="n">
        <x:v>3709.0077053785876</x:v>
      </x:c>
      <x:c r="N30" s="61" t="n">
        <x:v>3709.0077053785876</x:v>
      </x:c>
      <x:c r="O30" s="61" t="n">
        <x:v>0</x:v>
      </x:c>
      <x:c r="P30" s="61" t="n">
        <x:v>11.22528755643748</x:v>
      </x:c>
      <x:c r="Q30" s="61" t="n">
        <x:v>11.22528755643748</x:v>
      </x:c>
      <x:c r="R30" s="61" t="n">
        <x:v>10845.511006306717</x:v>
      </x:c>
      <x:c r="S30" s="61" t="n">
        <x:v>1391.8863743408203</x:v>
      </x:c>
      <x:c r="T30" s="61" t="n">
        <x:v>12237.397380647537</x:v>
      </x:c>
    </x:row>
    <x:row r="31">
      <x:c r="A31" s="59" t="str">
        <x:v>1|upper</x:v>
      </x:c>
      <x:c r="B31" s="59" t="str">
        <x:v>1</x:v>
      </x:c>
      <x:c r="C31" s="59" t="str">
        <x:v>Test building 1</x:v>
      </x:c>
      <x:c r="D31" s="59" t="str">
        <x:v>upper</x:v>
      </x:c>
      <x:c r="E31" s="59" t="str">
        <x:v>2023-06</x:v>
      </x:c>
      <x:c r="F31" s="61" t="n">
        <x:v>0</x:v>
      </x:c>
      <x:c r="G31" s="61" t="n">
        <x:v>0</x:v>
      </x:c>
      <x:c r="H31" s="61" t="n">
        <x:v>0</x:v>
      </x:c>
      <x:c r="I31" s="61" t="n">
        <x:v>2495.1281129339477</x:v>
      </x:c>
      <x:c r="J31" s="61" t="n">
        <x:v>1402.5425151553588</x:v>
      </x:c>
      <x:c r="K31" s="61" t="n">
        <x:v>3897.670628089307</x:v>
      </x:c>
      <x:c r="L31" s="61" t="n">
        <x:v>0</x:v>
      </x:c>
      <x:c r="M31" s="61" t="n">
        <x:v>410.672827833975</x:v>
      </x:c>
      <x:c r="N31" s="61" t="n">
        <x:v>410.672827833975</x:v>
      </x:c>
      <x:c r="O31" s="61" t="n">
        <x:v>2445.657042296615</x:v>
      </x:c>
      <x:c r="P31" s="61" t="n">
        <x:v>1814.610907681031</x:v>
      </x:c>
      <x:c r="Q31" s="61" t="n">
        <x:v>4260.267949977646</x:v>
      </x:c>
      <x:c r="R31" s="61" t="n">
        <x:v>11283.253943503583</x:v>
      </x:c>
      <x:c r="S31" s="61" t="n">
        <x:v>1336.2109193671874</x:v>
      </x:c>
      <x:c r="T31" s="61" t="n">
        <x:v>12619.46486287077</x:v>
      </x:c>
    </x:row>
    <x:row r="32">
      <x:c r="A32" s="59" t="str">
        <x:v>1|upper</x:v>
      </x:c>
      <x:c r="B32" s="59" t="str">
        <x:v>1</x:v>
      </x:c>
      <x:c r="C32" s="59" t="str">
        <x:v>Test building 1</x:v>
      </x:c>
      <x:c r="D32" s="59" t="str">
        <x:v>upper</x:v>
      </x:c>
      <x:c r="E32" s="59" t="str">
        <x:v>2023-07</x:v>
      </x:c>
      <x:c r="F32" s="61" t="n">
        <x:v>0</x:v>
      </x:c>
      <x:c r="G32" s="61" t="n">
        <x:v>0</x:v>
      </x:c>
      <x:c r="H32" s="61" t="n">
        <x:v>0</x:v>
      </x:c>
      <x:c r="I32" s="61" t="n">
        <x:v>5541.2914083372725</x:v>
      </x:c>
      <x:c r="J32" s="61" t="n">
        <x:v>3417.0314355331866</x:v>
      </x:c>
      <x:c r="K32" s="61" t="n">
        <x:v>8958.32284387046</x:v>
      </x:c>
      <x:c r="L32" s="61" t="n">
        <x:v>0</x:v>
      </x:c>
      <x:c r="M32" s="61" t="n">
        <x:v>89.80230045149999</x:v>
      </x:c>
      <x:c r="N32" s="61" t="n">
        <x:v>89.80230045149999</x:v>
      </x:c>
      <x:c r="O32" s="61" t="n">
        <x:v>5504.27405116976</x:v>
      </x:c>
      <x:c r="P32" s="61" t="n">
        <x:v>3510.2337672638246</x:v>
      </x:c>
      <x:c r="Q32" s="61" t="n">
        <x:v>9014.507818433585</x:v>
      </x:c>
      <x:c r="R32" s="61" t="n">
        <x:v>12200.505378501297</x:v>
      </x:c>
      <x:c r="S32" s="61" t="n">
        <x:v>1308.3731918803712</x:v>
      </x:c>
      <x:c r="T32" s="61" t="n">
        <x:v>13508.878570381665</x:v>
      </x:c>
    </x:row>
    <x:row r="33">
      <x:c r="A33" s="59" t="str">
        <x:v>1|upper</x:v>
      </x:c>
      <x:c r="B33" s="59" t="str">
        <x:v>1</x:v>
      </x:c>
      <x:c r="C33" s="59" t="str">
        <x:v>Test building 1</x:v>
      </x:c>
      <x:c r="D33" s="59" t="str">
        <x:v>upper</x:v>
      </x:c>
      <x:c r="E33" s="59" t="str">
        <x:v>2023-08</x:v>
      </x:c>
      <x:c r="F33" s="61" t="n">
        <x:v>0</x:v>
      </x:c>
      <x:c r="G33" s="61" t="n">
        <x:v>0</x:v>
      </x:c>
      <x:c r="H33" s="61" t="n">
        <x:v>0</x:v>
      </x:c>
      <x:c r="I33" s="61" t="n">
        <x:v>3109.6045152053885</x:v>
      </x:c>
      <x:c r="J33" s="61" t="n">
        <x:v>2725.8097629862978</x:v>
      </x:c>
      <x:c r="K33" s="61" t="n">
        <x:v>5835.414278191686</x:v>
      </x:c>
      <x:c r="L33" s="61" t="n">
        <x:v>0</x:v>
      </x:c>
      <x:c r="M33" s="61" t="n">
        <x:v>67.78346716771877</x:v>
      </x:c>
      <x:c r="N33" s="61" t="n">
        <x:v>67.78346716771877</x:v>
      </x:c>
      <x:c r="O33" s="61" t="n">
        <x:v>3065.795584122471</x:v>
      </x:c>
      <x:c r="P33" s="61" t="n">
        <x:v>2796.3054786743996</x:v>
      </x:c>
      <x:c r="Q33" s="61" t="n">
        <x:v>5862.101062796871</x:v>
      </x:c>
      <x:c r="R33" s="61" t="n">
        <x:v>10299.139467755347</x:v>
      </x:c>
      <x:c r="S33" s="61" t="n">
        <x:v>1391.8863743408203</x:v>
      </x:c>
      <x:c r="T33" s="61" t="n">
        <x:v>11691.025842096167</x:v>
      </x:c>
    </x:row>
    <x:row r="34">
      <x:c r="A34" s="59" t="str">
        <x:v>1|upper</x:v>
      </x:c>
      <x:c r="B34" s="59" t="str">
        <x:v>1</x:v>
      </x:c>
      <x:c r="C34" s="59" t="str">
        <x:v>Test building 1</x:v>
      </x:c>
      <x:c r="D34" s="59" t="str">
        <x:v>upper</x:v>
      </x:c>
      <x:c r="E34" s="59" t="str">
        <x:v>2023-09</x:v>
      </x:c>
      <x:c r="F34" s="61" t="n">
        <x:v>0</x:v>
      </x:c>
      <x:c r="G34" s="61" t="n">
        <x:v>0</x:v>
      </x:c>
      <x:c r="H34" s="61" t="n">
        <x:v>0</x:v>
      </x:c>
      <x:c r="I34" s="61" t="n">
        <x:v>613.0139768880099</x:v>
      </x:c>
      <x:c r="J34" s="61" t="n">
        <x:v>693.3782358582185</x:v>
      </x:c>
      <x:c r="K34" s="61" t="n">
        <x:v>1306.3922127462283</x:v>
      </x:c>
      <x:c r="L34" s="61" t="n">
        <x:v>0</x:v>
      </x:c>
      <x:c r="M34" s="61" t="n">
        <x:v>546.1534138035937</x:v>
      </x:c>
      <x:c r="N34" s="61" t="n">
        <x:v>546.1534138035937</x:v>
      </x:c>
      <x:c r="O34" s="61" t="n">
        <x:v>587.739863757088</x:v>
      </x:c>
      <x:c r="P34" s="61" t="n">
        <x:v>1240.2215782547062</x:v>
      </x:c>
      <x:c r="Q34" s="61" t="n">
        <x:v>1827.961442011794</x:v>
      </x:c>
      <x:c r="R34" s="61" t="n">
        <x:v>7266.673988674342</x:v>
      </x:c>
      <x:c r="S34" s="61" t="n">
        <x:v>1308.3731918803712</x:v>
      </x:c>
      <x:c r="T34" s="61" t="n">
        <x:v>8575.047180554711</x:v>
      </x:c>
    </x:row>
    <x:row r="35">
      <x:c r="A35" s="59" t="str">
        <x:v>1|upper</x:v>
      </x:c>
      <x:c r="B35" s="59" t="str">
        <x:v>1</x:v>
      </x:c>
      <x:c r="C35" s="59" t="str">
        <x:v>Test building 1</x:v>
      </x:c>
      <x:c r="D35" s="59" t="str">
        <x:v>upper</x:v>
      </x:c>
      <x:c r="E35" s="59" t="str">
        <x:v>2023-10</x:v>
      </x:c>
      <x:c r="F35" s="61" t="n">
        <x:v>1057.8188212502714</x:v>
      </x:c>
      <x:c r="G35" s="61" t="n">
        <x:v>6527.399568195515</x:v>
      </x:c>
      <x:c r="H35" s="61" t="n">
        <x:v>7585.218389445787</x:v>
      </x:c>
      <x:c r="I35" s="61" t="n">
        <x:v>0</x:v>
      </x:c>
      <x:c r="J35" s="61" t="n">
        <x:v>0</x:v>
      </x:c>
      <x:c r="K35" s="61" t="n">
        <x:v>0</x:v>
      </x:c>
      <x:c r="L35" s="61" t="n">
        <x:v>1400.4086586070548</x:v>
      </x:c>
      <x:c r="M35" s="61" t="n">
        <x:v>6533.894493138993</x:v>
      </x:c>
      <x:c r="N35" s="61" t="n">
        <x:v>7934.303151746049</x:v>
      </x:c>
      <x:c r="O35" s="61" t="n">
        <x:v>0</x:v>
      </x:c>
      <x:c r="P35" s="61" t="n">
        <x:v>0</x:v>
      </x:c>
      <x:c r="Q35" s="61" t="n">
        <x:v>0</x:v>
      </x:c>
      <x:c r="R35" s="61" t="n">
        <x:v>4246.810388003953</x:v>
      </x:c>
      <x:c r="S35" s="61" t="n">
        <x:v>1336.2109193671874</x:v>
      </x:c>
      <x:c r="T35" s="61" t="n">
        <x:v>5583.021307371142</x:v>
      </x:c>
    </x:row>
    <x:row r="36">
      <x:c r="A36" s="59" t="str">
        <x:v>1|upper</x:v>
      </x:c>
      <x:c r="B36" s="59" t="str">
        <x:v>1</x:v>
      </x:c>
      <x:c r="C36" s="59" t="str">
        <x:v>Test building 1</x:v>
      </x:c>
      <x:c r="D36" s="59" t="str">
        <x:v>upper</x:v>
      </x:c>
      <x:c r="E36" s="59" t="str">
        <x:v>2023-11</x:v>
      </x:c>
      <x:c r="F36" s="61" t="n">
        <x:v>16400.478326081047</x:v>
      </x:c>
      <x:c r="G36" s="61" t="n">
        <x:v>10133.777262463313</x:v>
      </x:c>
      <x:c r="H36" s="61" t="n">
        <x:v>26534.255588544358</x:v>
      </x:c>
      <x:c r="I36" s="61" t="n">
        <x:v>0</x:v>
      </x:c>
      <x:c r="J36" s="61" t="n">
        <x:v>0</x:v>
      </x:c>
      <x:c r="K36" s="61" t="n">
        <x:v>0</x:v>
      </x:c>
      <x:c r="L36" s="61" t="n">
        <x:v>16403.50609362742</x:v>
      </x:c>
      <x:c r="M36" s="61" t="n">
        <x:v>10143.860622923474</x:v>
      </x:c>
      <x:c r="N36" s="61" t="n">
        <x:v>26547.366716550896</x:v>
      </x:c>
      <x:c r="O36" s="61" t="n">
        <x:v>0</x:v>
      </x:c>
      <x:c r="P36" s="61" t="n">
        <x:v>0</x:v>
      </x:c>
      <x:c r="Q36" s="61" t="n">
        <x:v>0</x:v>
      </x:c>
      <x:c r="R36" s="61" t="n">
        <x:v>1253.0426185297024</x:v>
      </x:c>
      <x:c r="S36" s="61" t="n">
        <x:v>1336.2109193671874</x:v>
      </x:c>
      <x:c r="T36" s="61" t="n">
        <x:v>2589.2535378968896</x:v>
      </x:c>
    </x:row>
    <x:row r="37">
      <x:c r="A37" s="59" t="str">
        <x:v>1|upper</x:v>
      </x:c>
      <x:c r="B37" s="59" t="str">
        <x:v>1</x:v>
      </x:c>
      <x:c r="C37" s="59" t="str">
        <x:v>Test building 1</x:v>
      </x:c>
      <x:c r="D37" s="59" t="str">
        <x:v>upper</x:v>
      </x:c>
      <x:c r="E37" s="59" t="str">
        <x:v>2023-12</x:v>
      </x:c>
      <x:c r="F37" s="61" t="n">
        <x:v>26969.49717556072</x:v>
      </x:c>
      <x:c r="G37" s="61" t="n">
        <x:v>13479.987158852487</x:v>
      </x:c>
      <x:c r="H37" s="61" t="n">
        <x:v>40449.48433441321</x:v>
      </x:c>
      <x:c r="I37" s="61" t="n">
        <x:v>0</x:v>
      </x:c>
      <x:c r="J37" s="61" t="n">
        <x:v>0</x:v>
      </x:c>
      <x:c r="K37" s="61" t="n">
        <x:v>0</x:v>
      </x:c>
      <x:c r="L37" s="61" t="n">
        <x:v>26976.157947466807</x:v>
      </x:c>
      <x:c r="M37" s="61" t="n">
        <x:v>13493.400081398604</x:v>
      </x:c>
      <x:c r="N37" s="61" t="n">
        <x:v>40469.55802886541</x:v>
      </x:c>
      <x:c r="O37" s="61" t="n">
        <x:v>0</x:v>
      </x:c>
      <x:c r="P37" s="61" t="n">
        <x:v>0</x:v>
      </x:c>
      <x:c r="Q37" s="61" t="n">
        <x:v>0</x:v>
      </x:c>
      <x:c r="R37" s="61" t="n">
        <x:v>793.5435732013335</x:v>
      </x:c>
      <x:c r="S37" s="61" t="n">
        <x:v>1308.3731918803712</x:v>
      </x:c>
      <x:c r="T37" s="61" t="n">
        <x:v>2101.916765081705</x:v>
      </x:c>
    </x:row>
    <x:row r="38">
      <x:c r="A38" s="59" t="str">
        <x:v>18|aggregate</x:v>
      </x:c>
      <x:c r="B38" s="59" t="str">
        <x:v>18</x:v>
      </x:c>
      <x:c r="C38" s="59" t="str">
        <x:v>Test building 2</x:v>
      </x:c>
      <x:c r="D38" s="59" t="str">
        <x:v>aggregate</x:v>
      </x:c>
      <x:c r="E38" s="59" t="str">
        <x:v>2023-01</x:v>
      </x:c>
      <x:c r="F38" s="61" t="n">
        <x:v>23503.836880340532</x:v>
      </x:c>
      <x:c r="G38" s="61" t="n">
        <x:v>6531.893260319233</x:v>
      </x:c>
      <x:c r="H38" s="61" t="n">
        <x:v>30035.730140659765</x:v>
      </x:c>
      <x:c r="I38" s="61" t="n">
        <x:v>0</x:v>
      </x:c>
      <x:c r="J38" s="61" t="n">
        <x:v>0</x:v>
      </x:c>
      <x:c r="K38" s="61" t="n">
        <x:v>0</x:v>
      </x:c>
      <x:c r="L38" s="61" t="n">
        <x:v>25547.728238079075</x:v>
      </x:c>
      <x:c r="M38" s="61" t="n">
        <x:v>5926.228290335144</x:v>
      </x:c>
      <x:c r="N38" s="61" t="n">
        <x:v>31473.956528414223</x:v>
      </x:c>
      <x:c r="O38" s="61" t="n">
        <x:v>0</x:v>
      </x:c>
      <x:c r="P38" s="61" t="n">
        <x:v>0</x:v>
      </x:c>
      <x:c r="Q38" s="61" t="n">
        <x:v>0</x:v>
      </x:c>
      <x:c r="R38" s="61" t="n">
        <x:v>1428.774285469977</x:v>
      </x:c>
      <x:c r="S38" s="61" t="n">
        <x:v>7429.455068174317</x:v>
      </x:c>
      <x:c r="T38" s="61" t="n">
        <x:v>8858.229353644294</x:v>
      </x:c>
    </x:row>
    <x:row r="39">
      <x:c r="A39" s="59" t="str">
        <x:v>18|aggregate</x:v>
      </x:c>
      <x:c r="B39" s="59" t="str">
        <x:v>18</x:v>
      </x:c>
      <x:c r="C39" s="59" t="str">
        <x:v>Test building 2</x:v>
      </x:c>
      <x:c r="D39" s="59" t="str">
        <x:v>aggregate</x:v>
      </x:c>
      <x:c r="E39" s="59" t="str">
        <x:v>2023-02</x:v>
      </x:c>
      <x:c r="F39" s="61" t="n">
        <x:v>18518.404179094032</x:v>
      </x:c>
      <x:c r="G39" s="61" t="n">
        <x:v>5554.0203833119</x:v>
      </x:c>
      <x:c r="H39" s="61" t="n">
        <x:v>24072.424562405933</x:v>
      </x:c>
      <x:c r="I39" s="61" t="n">
        <x:v>0</x:v>
      </x:c>
      <x:c r="J39" s="61" t="n">
        <x:v>0</x:v>
      </x:c>
      <x:c r="K39" s="61" t="n">
        <x:v>0</x:v>
      </x:c>
      <x:c r="L39" s="61" t="n">
        <x:v>20445.60842843352</x:v>
      </x:c>
      <x:c r="M39" s="61" t="n">
        <x:v>5006.624118354155</x:v>
      </x:c>
      <x:c r="N39" s="61" t="n">
        <x:v>25452.232546787676</x:v>
      </x:c>
      <x:c r="O39" s="61" t="n">
        <x:v>0</x:v>
      </x:c>
      <x:c r="P39" s="61" t="n">
        <x:v>0</x:v>
      </x:c>
      <x:c r="Q39" s="61" t="n">
        <x:v>0</x:v>
      </x:c>
      <x:c r="R39" s="61" t="n">
        <x:v>2049.867585837875</x:v>
      </x:c>
      <x:c r="S39" s="61" t="n">
        <x:v>6709.305184982421</x:v>
      </x:c>
      <x:c r="T39" s="61" t="n">
        <x:v>8759.172770820298</x:v>
      </x:c>
    </x:row>
    <x:row r="40">
      <x:c r="A40" s="59" t="str">
        <x:v>18|aggregate</x:v>
      </x:c>
      <x:c r="B40" s="59" t="str">
        <x:v>18</x:v>
      </x:c>
      <x:c r="C40" s="59" t="str">
        <x:v>Test building 2</x:v>
      </x:c>
      <x:c r="D40" s="59" t="str">
        <x:v>aggregate</x:v>
      </x:c>
      <x:c r="E40" s="59" t="str">
        <x:v>2023-03</x:v>
      </x:c>
      <x:c r="F40" s="61" t="n">
        <x:v>11750.882139612353</x:v>
      </x:c>
      <x:c r="G40" s="61" t="n">
        <x:v>4969.836586658168</x:v>
      </x:c>
      <x:c r="H40" s="61" t="n">
        <x:v>16720.71872627052</x:v>
      </x:c>
      <x:c r="I40" s="61" t="n">
        <x:v>0</x:v>
      </x:c>
      <x:c r="J40" s="61" t="n">
        <x:v>0</x:v>
      </x:c>
      <x:c r="K40" s="61" t="n">
        <x:v>0</x:v>
      </x:c>
      <x:c r="L40" s="61" t="n">
        <x:v>13964.731136112823</x:v>
      </x:c>
      <x:c r="M40" s="61" t="n">
        <x:v>4362.617331426656</x:v>
      </x:c>
      <x:c r="N40" s="61" t="n">
        <x:v>18327.34846753948</x:v>
      </x:c>
      <x:c r="O40" s="61" t="n">
        <x:v>0</x:v>
      </x:c>
      <x:c r="P40" s="61" t="n">
        <x:v>0</x:v>
      </x:c>
      <x:c r="Q40" s="61" t="n">
        <x:v>0</x:v>
      </x:c>
      <x:c r="R40" s="61" t="n">
        <x:v>4903.652916935158</x:v>
      </x:c>
      <x:c r="S40" s="61" t="n">
        <x:v>7420.384774567871</x:v>
      </x:c>
      <x:c r="T40" s="61" t="n">
        <x:v>12324.037691503032</x:v>
      </x:c>
    </x:row>
    <x:row r="41">
      <x:c r="A41" s="59" t="str">
        <x:v>18|aggregate</x:v>
      </x:c>
      <x:c r="B41" s="59" t="str">
        <x:v>18</x:v>
      </x:c>
      <x:c r="C41" s="59" t="str">
        <x:v>Test building 2</x:v>
      </x:c>
      <x:c r="D41" s="59" t="str">
        <x:v>aggregate</x:v>
      </x:c>
      <x:c r="E41" s="59" t="str">
        <x:v>2023-04</x:v>
      </x:c>
      <x:c r="F41" s="61" t="n">
        <x:v>4359.449201806814</x:v>
      </x:c>
      <x:c r="G41" s="61" t="n">
        <x:v>3541.968747672382</x:v>
      </x:c>
      <x:c r="H41" s="61" t="n">
        <x:v>7901.417949479196</x:v>
      </x:c>
      <x:c r="I41" s="61" t="n">
        <x:v>0</x:v>
      </x:c>
      <x:c r="J41" s="61" t="n">
        <x:v>0</x:v>
      </x:c>
      <x:c r="K41" s="61" t="n">
        <x:v>0</x:v>
      </x:c>
      <x:c r="L41" s="61" t="n">
        <x:v>6073.640765764136</x:v>
      </x:c>
      <x:c r="M41" s="61" t="n">
        <x:v>2953.651927140657</x:v>
      </x:c>
      <x:c r="N41" s="61" t="n">
        <x:v>9027.292692904794</x:v>
      </x:c>
      <x:c r="O41" s="61" t="n">
        <x:v>0</x:v>
      </x:c>
      <x:c r="P41" s="61" t="n">
        <x:v>0.5759610972904637</x:v>
      </x:c>
      <x:c r="Q41" s="61" t="n">
        <x:v>0.5759610972904637</x:v>
      </x:c>
      <x:c r="R41" s="61" t="n">
        <x:v>6381.478603318254</x:v>
      </x:c>
      <x:c r="S41" s="61" t="n">
        <x:v>7201.498831918945</x:v>
      </x:c>
      <x:c r="T41" s="61" t="n">
        <x:v>13582.9774352372</x:v>
      </x:c>
    </x:row>
    <x:row r="42">
      <x:c r="A42" s="59" t="str">
        <x:v>18|aggregate</x:v>
      </x:c>
      <x:c r="B42" s="59" t="str">
        <x:v>18</x:v>
      </x:c>
      <x:c r="C42" s="59" t="str">
        <x:v>Test building 2</x:v>
      </x:c>
      <x:c r="D42" s="59" t="str">
        <x:v>aggregate</x:v>
      </x:c>
      <x:c r="E42" s="59" t="str">
        <x:v>2023-05</x:v>
      </x:c>
      <x:c r="F42" s="61" t="n">
        <x:v>0</x:v>
      </x:c>
      <x:c r="G42" s="61" t="n">
        <x:v>1607.1424781446121</x:v>
      </x:c>
      <x:c r="H42" s="61" t="n">
        <x:v>1607.1424781446121</x:v>
      </x:c>
      <x:c r="I42" s="61" t="n">
        <x:v>0</x:v>
      </x:c>
      <x:c r="J42" s="61" t="n">
        <x:v>0</x:v>
      </x:c>
      <x:c r="K42" s="61" t="n">
        <x:v>0</x:v>
      </x:c>
      <x:c r="L42" s="61" t="n">
        <x:v>0</x:v>
      </x:c>
      <x:c r="M42" s="61" t="n">
        <x:v>1334.7898429706613</x:v>
      </x:c>
      <x:c r="N42" s="61" t="n">
        <x:v>1334.7898429706613</x:v>
      </x:c>
      <x:c r="O42" s="61" t="n">
        <x:v>0</x:v>
      </x:c>
      <x:c r="P42" s="61" t="n">
        <x:v>32.13040121313258</x:v>
      </x:c>
      <x:c r="Q42" s="61" t="n">
        <x:v>32.13040121313258</x:v>
      </x:c>
      <x:c r="R42" s="61" t="n">
        <x:v>8247.157844563935</x:v>
      </x:c>
      <x:c r="S42" s="61" t="n">
        <x:v>7420.384774567871</x:v>
      </x:c>
      <x:c r="T42" s="61" t="n">
        <x:v>15667.542619131807</x:v>
      </x:c>
    </x:row>
    <x:row r="43">
      <x:c r="A43" s="59" t="str">
        <x:v>18|aggregate</x:v>
      </x:c>
      <x:c r="B43" s="59" t="str">
        <x:v>18</x:v>
      </x:c>
      <x:c r="C43" s="59" t="str">
        <x:v>Test building 2</x:v>
      </x:c>
      <x:c r="D43" s="59" t="str">
        <x:v>aggregate</x:v>
      </x:c>
      <x:c r="E43" s="59" t="str">
        <x:v>2023-06</x:v>
      </x:c>
      <x:c r="F43" s="61" t="n">
        <x:v>0</x:v>
      </x:c>
      <x:c r="G43" s="61" t="n">
        <x:v>0</x:v>
      </x:c>
      <x:c r="H43" s="61" t="n">
        <x:v>0</x:v>
      </x:c>
      <x:c r="I43" s="61" t="n">
        <x:v>6142.96651822165</x:v>
      </x:c>
      <x:c r="J43" s="61" t="n">
        <x:v>668.2316272543283</x:v>
      </x:c>
      <x:c r="K43" s="61" t="n">
        <x:v>6811.198145475979</x:v>
      </x:c>
      <x:c r="L43" s="61" t="n">
        <x:v>0</x:v>
      </x:c>
      <x:c r="M43" s="61" t="n">
        <x:v>195.66221276524783</x:v>
      </x:c>
      <x:c r="N43" s="61" t="n">
        <x:v>195.66221276524783</x:v>
      </x:c>
      <x:c r="O43" s="61" t="n">
        <x:v>6486.548184325247</x:v>
      </x:c>
      <x:c r="P43" s="61" t="n">
        <x:v>864.5587471113715</x:v>
      </x:c>
      <x:c r="Q43" s="61" t="n">
        <x:v>7351.106931436619</x:v>
      </x:c>
      <x:c r="R43" s="61" t="n">
        <x:v>8356.818063316849</x:v>
      </x:c>
      <x:c r="S43" s="61" t="n">
        <x:v>7183.358244706055</x:v>
      </x:c>
      <x:c r="T43" s="61" t="n">
        <x:v>15540.176308022903</x:v>
      </x:c>
    </x:row>
    <x:row r="44">
      <x:c r="A44" s="59" t="str">
        <x:v>18|aggregate</x:v>
      </x:c>
      <x:c r="B44" s="59" t="str">
        <x:v>18</x:v>
      </x:c>
      <x:c r="C44" s="59" t="str">
        <x:v>Test building 2</x:v>
      </x:c>
      <x:c r="D44" s="59" t="str">
        <x:v>aggregate</x:v>
      </x:c>
      <x:c r="E44" s="59" t="str">
        <x:v>2023-07</x:v>
      </x:c>
      <x:c r="F44" s="61" t="n">
        <x:v>0</x:v>
      </x:c>
      <x:c r="G44" s="61" t="n">
        <x:v>0</x:v>
      </x:c>
      <x:c r="H44" s="61" t="n">
        <x:v>0</x:v>
      </x:c>
      <x:c r="I44" s="61" t="n">
        <x:v>10554.7720176827</x:v>
      </x:c>
      <x:c r="J44" s="61" t="n">
        <x:v>1628.0208634478415</x:v>
      </x:c>
      <x:c r="K44" s="61" t="n">
        <x:v>12182.792881130543</x:v>
      </x:c>
      <x:c r="L44" s="61" t="n">
        <x:v>0</x:v>
      </x:c>
      <x:c r="M44" s="61" t="n">
        <x:v>42.785681513006246</x:v>
      </x:c>
      <x:c r="N44" s="61" t="n">
        <x:v>42.785681513006246</x:v>
      </x:c>
      <x:c r="O44" s="61" t="n">
        <x:v>10654.669149202035</x:v>
      </x:c>
      <x:c r="P44" s="61" t="n">
        <x:v>1672.4264662180096</x:v>
      </x:c>
      <x:c r="Q44" s="61" t="n">
        <x:v>12327.095615420043</x:v>
      </x:c>
      <x:c r="R44" s="61" t="n">
        <x:v>9059.754568538534</x:v>
      </x:c>
      <x:c r="S44" s="61" t="n">
        <x:v>7438.525361780761</x:v>
      </x:c>
      <x:c r="T44" s="61" t="n">
        <x:v>16498.279930319295</x:v>
      </x:c>
    </x:row>
    <x:row r="45">
      <x:c r="A45" s="59" t="str">
        <x:v>18|aggregate</x:v>
      </x:c>
      <x:c r="B45" s="59" t="str">
        <x:v>18</x:v>
      </x:c>
      <x:c r="C45" s="59" t="str">
        <x:v>Test building 2</x:v>
      </x:c>
      <x:c r="D45" s="59" t="str">
        <x:v>aggregate</x:v>
      </x:c>
      <x:c r="E45" s="59" t="str">
        <x:v>2023-08</x:v>
      </x:c>
      <x:c r="F45" s="61" t="n">
        <x:v>0</x:v>
      </x:c>
      <x:c r="G45" s="61" t="n">
        <x:v>0</x:v>
      </x:c>
      <x:c r="H45" s="61" t="n">
        <x:v>0</x:v>
      </x:c>
      <x:c r="I45" s="61" t="n">
        <x:v>8106.799626703796</x:v>
      </x:c>
      <x:c r="J45" s="61" t="n">
        <x:v>1298.6931047179735</x:v>
      </x:c>
      <x:c r="K45" s="61" t="n">
        <x:v>9405.49273142177</x:v>
      </x:c>
      <x:c r="L45" s="61" t="n">
        <x:v>0</x:v>
      </x:c>
      <x:c r="M45" s="61" t="n">
        <x:v>32.29496152664415</x:v>
      </x:c>
      <x:c r="N45" s="61" t="n">
        <x:v>32.29496152664415</x:v>
      </x:c>
      <x:c r="O45" s="61" t="n">
        <x:v>8282.014142940374</x:v>
      </x:c>
      <x:c r="P45" s="61" t="n">
        <x:v>1332.2802981896102</x:v>
      </x:c>
      <x:c r="Q45" s="61" t="n">
        <x:v>9614.294441129985</x:v>
      </x:c>
      <x:c r="R45" s="61" t="n">
        <x:v>8078.880009047348</x:v>
      </x:c>
      <x:c r="S45" s="61" t="n">
        <x:v>7420.384774567871</x:v>
      </x:c>
      <x:c r="T45" s="61" t="n">
        <x:v>15499.26478361522</x:v>
      </x:c>
    </x:row>
    <x:row r="46">
      <x:c r="A46" s="59" t="str">
        <x:v>18|aggregate</x:v>
      </x:c>
      <x:c r="B46" s="59" t="str">
        <x:v>18</x:v>
      </x:c>
      <x:c r="C46" s="59" t="str">
        <x:v>Test building 2</x:v>
      </x:c>
      <x:c r="D46" s="59" t="str">
        <x:v>aggregate</x:v>
      </x:c>
      <x:c r="E46" s="59" t="str">
        <x:v>2023-09</x:v>
      </x:c>
      <x:c r="F46" s="61" t="n">
        <x:v>0</x:v>
      </x:c>
      <x:c r="G46" s="61" t="n">
        <x:v>0</x:v>
      </x:c>
      <x:c r="H46" s="61" t="n">
        <x:v>0</x:v>
      </x:c>
      <x:c r="I46" s="61" t="n">
        <x:v>3692.4260085074748</x:v>
      </x:c>
      <x:c r="J46" s="61" t="n">
        <x:v>330.3552383215628</x:v>
      </x:c>
      <x:c r="K46" s="61" t="n">
        <x:v>4022.7812468290376</x:v>
      </x:c>
      <x:c r="L46" s="61" t="n">
        <x:v>0</x:v>
      </x:c>
      <x:c r="M46" s="61" t="n">
        <x:v>260.21099574015824</x:v>
      </x:c>
      <x:c r="N46" s="61" t="n">
        <x:v>260.21099574015824</x:v>
      </x:c>
      <x:c r="O46" s="61" t="n">
        <x:v>4371.844789327594</x:v>
      </x:c>
      <x:c r="P46" s="61" t="n">
        <x:v>590.894945741643</x:v>
      </x:c>
      <x:c r="Q46" s="61" t="n">
        <x:v>4962.739735069237</x:v>
      </x:c>
      <x:c r="R46" s="61" t="n">
        <x:v>6153.889741868964</x:v>
      </x:c>
      <x:c r="S46" s="61" t="n">
        <x:v>7192.428538312501</x:v>
      </x:c>
      <x:c r="T46" s="61" t="n">
        <x:v>13346.318280181466</x:v>
      </x:c>
    </x:row>
    <x:row r="47">
      <x:c r="A47" s="59" t="str">
        <x:v>18|aggregate</x:v>
      </x:c>
      <x:c r="B47" s="59" t="str">
        <x:v>18</x:v>
      </x:c>
      <x:c r="C47" s="59" t="str">
        <x:v>Test building 2</x:v>
      </x:c>
      <x:c r="D47" s="59" t="str">
        <x:v>aggregate</x:v>
      </x:c>
      <x:c r="E47" s="59" t="str">
        <x:v>2023-10</x:v>
      </x:c>
      <x:c r="F47" s="61" t="n">
        <x:v>689.4379295033532</x:v>
      </x:c>
      <x:c r="G47" s="61" t="n">
        <x:v>2873.202831030375</x:v>
      </x:c>
      <x:c r="H47" s="61" t="n">
        <x:v>3562.640760533728</x:v>
      </x:c>
      <x:c r="I47" s="61" t="n">
        <x:v>0</x:v>
      </x:c>
      <x:c r="J47" s="61" t="n">
        <x:v>0</x:v>
      </x:c>
      <x:c r="K47" s="61" t="n">
        <x:v>0</x:v>
      </x:c>
      <x:c r="L47" s="61" t="n">
        <x:v>1921.7417202598344</x:v>
      </x:c>
      <x:c r="M47" s="61" t="n">
        <x:v>2403.6502193066376</x:v>
      </x:c>
      <x:c r="N47" s="61" t="n">
        <x:v>4325.391939566472</x:v>
      </x:c>
      <x:c r="O47" s="61" t="n">
        <x:v>0</x:v>
      </x:c>
      <x:c r="P47" s="61" t="n">
        <x:v>1.5221828999819533</x:v>
      </x:c>
      <x:c r="Q47" s="61" t="n">
        <x:v>1.5221828999819533</x:v>
      </x:c>
      <x:c r="R47" s="61" t="n">
        <x:v>4001.6426009477027</x:v>
      </x:c>
      <x:c r="S47" s="61" t="n">
        <x:v>7429.455068174317</x:v>
      </x:c>
      <x:c r="T47" s="61" t="n">
        <x:v>11431.09766912202</x:v>
      </x:c>
    </x:row>
    <x:row r="48">
      <x:c r="A48" s="59" t="str">
        <x:v>18|aggregate</x:v>
      </x:c>
      <x:c r="B48" s="59" t="str">
        <x:v>18</x:v>
      </x:c>
      <x:c r="C48" s="59" t="str">
        <x:v>Test building 2</x:v>
      </x:c>
      <x:c r="D48" s="59" t="str">
        <x:v>aggregate</x:v>
      </x:c>
      <x:c r="E48" s="59" t="str">
        <x:v>2023-11</x:v>
      </x:c>
      <x:c r="F48" s="61" t="n">
        <x:v>12283.907087993846</x:v>
      </x:c>
      <x:c r="G48" s="61" t="n">
        <x:v>4532.253578147385</x:v>
      </x:c>
      <x:c r="H48" s="61" t="n">
        <x:v>16816.16066614123</x:v>
      </x:c>
      <x:c r="I48" s="61" t="n">
        <x:v>0</x:v>
      </x:c>
      <x:c r="J48" s="61" t="n">
        <x:v>0</x:v>
      </x:c>
      <x:c r="K48" s="61" t="n">
        <x:v>0</x:v>
      </x:c>
      <x:c r="L48" s="61" t="n">
        <x:v>14650.400138795801</x:v>
      </x:c>
      <x:c r="M48" s="61" t="n">
        <x:v>3944.346154558641</x:v>
      </x:c>
      <x:c r="N48" s="61" t="n">
        <x:v>18594.746293354445</x:v>
      </x:c>
      <x:c r="O48" s="61" t="n">
        <x:v>0</x:v>
      </x:c>
      <x:c r="P48" s="61" t="n">
        <x:v>0</x:v>
      </x:c>
      <x:c r="Q48" s="61" t="n">
        <x:v>0</x:v>
      </x:c>
      <x:c r="R48" s="61" t="n">
        <x:v>1454.4583435081536</x:v>
      </x:c>
      <x:c r="S48" s="61" t="n">
        <x:v>7183.358244706055</x:v>
      </x:c>
      <x:c r="T48" s="61" t="n">
        <x:v>8637.81658821421</x:v>
      </x:c>
    </x:row>
    <x:row r="49">
      <x:c r="A49" s="59" t="str">
        <x:v>18|aggregate</x:v>
      </x:c>
      <x:c r="B49" s="59" t="str">
        <x:v>18</x:v>
      </x:c>
      <x:c r="C49" s="59" t="str">
        <x:v>Test building 2</x:v>
      </x:c>
      <x:c r="D49" s="59" t="str">
        <x:v>aggregate</x:v>
      </x:c>
      <x:c r="E49" s="59" t="str">
        <x:v>2023-12</x:v>
      </x:c>
      <x:c r="F49" s="61" t="n">
        <x:v>21358.274718421133</x:v>
      </x:c>
      <x:c r="G49" s="61" t="n">
        <x:v>6116.66820772372</x:v>
      </x:c>
      <x:c r="H49" s="61" t="n">
        <x:v>27474.942926144853</x:v>
      </x:c>
      <x:c r="I49" s="61" t="n">
        <x:v>0</x:v>
      </x:c>
      <x:c r="J49" s="61" t="n">
        <x:v>0</x:v>
      </x:c>
      <x:c r="K49" s="61" t="n">
        <x:v>0</x:v>
      </x:c>
      <x:c r="L49" s="61" t="n">
        <x:v>23477.087984712904</x:v>
      </x:c>
      <x:c r="M49" s="61" t="n">
        <x:v>5510.590078483316</x:v>
      </x:c>
      <x:c r="N49" s="61" t="n">
        <x:v>28987.678063196217</x:v>
      </x:c>
      <x:c r="O49" s="61" t="n">
        <x:v>0</x:v>
      </x:c>
      <x:c r="P49" s="61" t="n">
        <x:v>0</x:v>
      </x:c>
      <x:c r="Q49" s="61" t="n">
        <x:v>0</x:v>
      </x:c>
      <x:c r="R49" s="61" t="n">
        <x:v>1083.0302145106277</x:v>
      </x:c>
      <x:c r="S49" s="61" t="n">
        <x:v>7438.525361780761</x:v>
      </x:c>
      <x:c r="T49" s="61" t="n">
        <x:v>8521.55557629139</x:v>
      </x:c>
    </x:row>
    <x:row r="50">
      <x:c r="A50" s="59" t="str">
        <x:v>18|lower</x:v>
      </x:c>
      <x:c r="B50" s="59" t="str">
        <x:v>18</x:v>
      </x:c>
      <x:c r="C50" s="59" t="str">
        <x:v>Test building 2</x:v>
      </x:c>
      <x:c r="D50" s="59" t="str">
        <x:v>lower</x:v>
      </x:c>
      <x:c r="E50" s="59" t="str">
        <x:v>2023-01</x:v>
      </x:c>
      <x:c r="F50" s="61" t="n">
        <x:v>6736.678625847302</x:v>
      </x:c>
      <x:c r="G50" s="61" t="n">
        <x:v>5920.337407342767</x:v>
      </x:c>
      <x:c r="H50" s="61" t="n">
        <x:v>12657.01603319007</x:v>
      </x:c>
      <x:c r="I50" s="61" t="n">
        <x:v>0</x:v>
      </x:c>
      <x:c r="J50" s="61" t="n">
        <x:v>0</x:v>
      </x:c>
      <x:c r="K50" s="61" t="n">
        <x:v>0</x:v>
      </x:c>
      <x:c r="L50" s="61" t="n">
        <x:v>6693.685444865401</x:v>
      </x:c>
      <x:c r="M50" s="61" t="n">
        <x:v>5926.228290335144</x:v>
      </x:c>
      <x:c r="N50" s="61" t="n">
        <x:v>12619.913735200547</x:v>
      </x:c>
      <x:c r="O50" s="61" t="n">
        <x:v>0</x:v>
      </x:c>
      <x:c r="P50" s="61" t="n">
        <x:v>0</x:v>
      </x:c>
      <x:c r="Q50" s="61" t="n">
        <x:v>0</x:v>
      </x:c>
      <x:c r="R50" s="61" t="n">
        <x:v>528.2504666345012</x:v>
      </x:c>
      <x:c r="S50" s="61" t="n">
        <x:v>6935.703212070801</x:v>
      </x:c>
      <x:c r="T50" s="61" t="n">
        <x:v>7463.953678705302</x:v>
      </x:c>
    </x:row>
    <x:row r="51">
      <x:c r="A51" s="59" t="str">
        <x:v>18|lower</x:v>
      </x:c>
      <x:c r="B51" s="59" t="str">
        <x:v>18</x:v>
      </x:c>
      <x:c r="C51" s="59" t="str">
        <x:v>Test building 2</x:v>
      </x:c>
      <x:c r="D51" s="59" t="str">
        <x:v>lower</x:v>
      </x:c>
      <x:c r="E51" s="59" t="str">
        <x:v>2023-02</x:v>
      </x:c>
      <x:c r="F51" s="61" t="n">
        <x:v>5301.219840347253</x:v>
      </x:c>
      <x:c r="G51" s="61" t="n">
        <x:v>5001.647354817026</x:v>
      </x:c>
      <x:c r="H51" s="61" t="n">
        <x:v>10302.86719516428</x:v>
      </x:c>
      <x:c r="I51" s="61" t="n">
        <x:v>0</x:v>
      </x:c>
      <x:c r="J51" s="61" t="n">
        <x:v>0</x:v>
      </x:c>
      <x:c r="K51" s="61" t="n">
        <x:v>0</x:v>
      </x:c>
      <x:c r="L51" s="61" t="n">
        <x:v>5259.859306758711</x:v>
      </x:c>
      <x:c r="M51" s="61" t="n">
        <x:v>5006.624118354155</x:v>
      </x:c>
      <x:c r="N51" s="61" t="n">
        <x:v>10266.483425112867</x:v>
      </x:c>
      <x:c r="O51" s="61" t="n">
        <x:v>0</x:v>
      </x:c>
      <x:c r="P51" s="61" t="n">
        <x:v>0</x:v>
      </x:c>
      <x:c r="Q51" s="61" t="n">
        <x:v>0</x:v>
      </x:c>
      <x:c r="R51" s="61" t="n">
        <x:v>706.5765023154817</x:v>
      </x:c>
      <x:c r="S51" s="61" t="n">
        <x:v>6263.624486505859</x:v>
      </x:c>
      <x:c r="T51" s="61" t="n">
        <x:v>6970.2009888213415</x:v>
      </x:c>
    </x:row>
    <x:row r="52">
      <x:c r="A52" s="59" t="str">
        <x:v>18|lower</x:v>
      </x:c>
      <x:c r="B52" s="59" t="str">
        <x:v>18</x:v>
      </x:c>
      <x:c r="C52" s="59" t="str">
        <x:v>Test building 2</x:v>
      </x:c>
      <x:c r="D52" s="59" t="str">
        <x:v>lower</x:v>
      </x:c>
      <x:c r="E52" s="59" t="str">
        <x:v>2023-03</x:v>
      </x:c>
      <x:c r="F52" s="61" t="n">
        <x:v>3483.0628765940382</x:v>
      </x:c>
      <x:c r="G52" s="61" t="n">
        <x:v>4358.280733681701</x:v>
      </x:c>
      <x:c r="H52" s="61" t="n">
        <x:v>7841.34361027574</x:v>
      </x:c>
      <x:c r="I52" s="61" t="n">
        <x:v>0</x:v>
      </x:c>
      <x:c r="J52" s="61" t="n">
        <x:v>0</x:v>
      </x:c>
      <x:c r="K52" s="61" t="n">
        <x:v>0</x:v>
      </x:c>
      <x:c r="L52" s="61" t="n">
        <x:v>3433.3787388968826</x:v>
      </x:c>
      <x:c r="M52" s="61" t="n">
        <x:v>4362.617331426656</x:v>
      </x:c>
      <x:c r="N52" s="61" t="n">
        <x:v>7795.996070323539</x:v>
      </x:c>
      <x:c r="O52" s="61" t="n">
        <x:v>0</x:v>
      </x:c>
      <x:c r="P52" s="61" t="n">
        <x:v>0</x:v>
      </x:c>
      <x:c r="Q52" s="61" t="n">
        <x:v>0</x:v>
      </x:c>
      <x:c r="R52" s="61" t="n">
        <x:v>1524.757931404787</x:v>
      </x:c>
      <x:c r="S52" s="61" t="n">
        <x:v>6928.870497995606</x:v>
      </x:c>
      <x:c r="T52" s="61" t="n">
        <x:v>8453.628429400394</x:v>
      </x:c>
    </x:row>
    <x:row r="53">
      <x:c r="A53" s="59" t="str">
        <x:v>18|lower</x:v>
      </x:c>
      <x:c r="B53" s="59" t="str">
        <x:v>18</x:v>
      </x:c>
      <x:c r="C53" s="59" t="str">
        <x:v>Test building 2</x:v>
      </x:c>
      <x:c r="D53" s="59" t="str">
        <x:v>lower</x:v>
      </x:c>
      <x:c r="E53" s="59" t="str">
        <x:v>2023-04</x:v>
      </x:c>
      <x:c r="F53" s="61" t="n">
        <x:v>1487.1791513828557</x:v>
      </x:c>
      <x:c r="G53" s="61" t="n">
        <x:v>2950.140502856447</x:v>
      </x:c>
      <x:c r="H53" s="61" t="n">
        <x:v>4437.3196542393025</x:v>
      </x:c>
      <x:c r="I53" s="61" t="n">
        <x:v>0</x:v>
      </x:c>
      <x:c r="J53" s="61" t="n">
        <x:v>0</x:v>
      </x:c>
      <x:c r="K53" s="61" t="n">
        <x:v>0</x:v>
      </x:c>
      <x:c r="L53" s="61" t="n">
        <x:v>1447.7598175483768</x:v>
      </x:c>
      <x:c r="M53" s="61" t="n">
        <x:v>2953.651927140657</x:v>
      </x:c>
      <x:c r="N53" s="61" t="n">
        <x:v>4401.411744689034</x:v>
      </x:c>
      <x:c r="O53" s="61" t="n">
        <x:v>0</x:v>
      </x:c>
      <x:c r="P53" s="61" t="n">
        <x:v>0.5759610972904637</x:v>
      </x:c>
      <x:c r="Q53" s="61" t="n">
        <x:v>0.5759610972904637</x:v>
      </x:c>
      <x:c r="R53" s="61" t="n">
        <x:v>1914.0266639889699</x:v>
      </x:c>
      <x:c r="S53" s="61" t="n">
        <x:v>6720.787255649414</x:v>
      </x:c>
      <x:c r="T53" s="61" t="n">
        <x:v>8634.813919638384</x:v>
      </x:c>
    </x:row>
    <x:row r="54">
      <x:c r="A54" s="59" t="str">
        <x:v>18|lower</x:v>
      </x:c>
      <x:c r="B54" s="59" t="str">
        <x:v>18</x:v>
      </x:c>
      <x:c r="C54" s="59" t="str">
        <x:v>Test building 2</x:v>
      </x:c>
      <x:c r="D54" s="59" t="str">
        <x:v>lower</x:v>
      </x:c>
      <x:c r="E54" s="59" t="str">
        <x:v>2023-05</x:v>
      </x:c>
      <x:c r="F54" s="61" t="n">
        <x:v>0</x:v>
      </x:c>
      <x:c r="G54" s="61" t="n">
        <x:v>1301.3645516563788</x:v>
      </x:c>
      <x:c r="H54" s="61" t="n">
        <x:v>1301.3645516563788</x:v>
      </x:c>
      <x:c r="I54" s="61" t="n">
        <x:v>0</x:v>
      </x:c>
      <x:c r="J54" s="61" t="n">
        <x:v>0</x:v>
      </x:c>
      <x:c r="K54" s="61" t="n">
        <x:v>0</x:v>
      </x:c>
      <x:c r="L54" s="61" t="n">
        <x:v>0</x:v>
      </x:c>
      <x:c r="M54" s="61" t="n">
        <x:v>1334.7898429706613</x:v>
      </x:c>
      <x:c r="N54" s="61" t="n">
        <x:v>1334.7898429706613</x:v>
      </x:c>
      <x:c r="O54" s="61" t="n">
        <x:v>0</x:v>
      </x:c>
      <x:c r="P54" s="61" t="n">
        <x:v>32.13040121313258</x:v>
      </x:c>
      <x:c r="Q54" s="61" t="n">
        <x:v>32.13040121313258</x:v>
      </x:c>
      <x:c r="R54" s="61" t="n">
        <x:v>2402.9179586741866</x:v>
      </x:c>
      <x:c r="S54" s="61" t="n">
        <x:v>6928.870497995606</x:v>
      </x:c>
      <x:c r="T54" s="61" t="n">
        <x:v>9331.788456669792</x:v>
      </x:c>
    </x:row>
    <x:row r="55">
      <x:c r="A55" s="59" t="str">
        <x:v>18|lower</x:v>
      </x:c>
      <x:c r="B55" s="59" t="str">
        <x:v>18</x:v>
      </x:c>
      <x:c r="C55" s="59" t="str">
        <x:v>Test building 2</x:v>
      </x:c>
      <x:c r="D55" s="59" t="str">
        <x:v>lower</x:v>
      </x:c>
      <x:c r="E55" s="59" t="str">
        <x:v>2023-06</x:v>
      </x:c>
      <x:c r="F55" s="61" t="n">
        <x:v>0</x:v>
      </x:c>
      <x:c r="G55" s="61" t="n">
        <x:v>0</x:v>
      </x:c>
      <x:c r="H55" s="61" t="n">
        <x:v>0</x:v>
      </x:c>
      <x:c r="I55" s="61" t="n">
        <x:v>4480.751548802586</x:v>
      </x:c>
      <x:c r="J55" s="61" t="n">
        <x:v>668.2316272543283</x:v>
      </x:c>
      <x:c r="K55" s="61" t="n">
        <x:v>5148.983176056914</x:v>
      </x:c>
      <x:c r="L55" s="61" t="n">
        <x:v>0</x:v>
      </x:c>
      <x:c r="M55" s="61" t="n">
        <x:v>195.66221276524783</x:v>
      </x:c>
      <x:c r="N55" s="61" t="n">
        <x:v>195.66221276524783</x:v>
      </x:c>
      <x:c r="O55" s="61" t="n">
        <x:v>4445.39354451789</x:v>
      </x:c>
      <x:c r="P55" s="61" t="n">
        <x:v>864.5587471113715</x:v>
      </x:c>
      <x:c r="Q55" s="61" t="n">
        <x:v>5309.952291629262</x:v>
      </x:c>
      <x:c r="R55" s="61" t="n">
        <x:v>2408.4808747710044</x:v>
      </x:c>
      <x:c r="S55" s="61" t="n">
        <x:v>6707.121827499024</x:v>
      </x:c>
      <x:c r="T55" s="61" t="n">
        <x:v>9115.602702270027</x:v>
      </x:c>
    </x:row>
    <x:row r="56">
      <x:c r="A56" s="59" t="str">
        <x:v>18|lower</x:v>
      </x:c>
      <x:c r="B56" s="59" t="str">
        <x:v>18</x:v>
      </x:c>
      <x:c r="C56" s="59" t="str">
        <x:v>Test building 2</x:v>
      </x:c>
      <x:c r="D56" s="59" t="str">
        <x:v>lower</x:v>
      </x:c>
      <x:c r="E56" s="59" t="str">
        <x:v>2023-07</x:v>
      </x:c>
      <x:c r="F56" s="61" t="n">
        <x:v>0</x:v>
      </x:c>
      <x:c r="G56" s="61" t="n">
        <x:v>0</x:v>
      </x:c>
      <x:c r="H56" s="61" t="n">
        <x:v>0</x:v>
      </x:c>
      <x:c r="I56" s="61" t="n">
        <x:v>6128.596054447537</x:v>
      </x:c>
      <x:c r="J56" s="61" t="n">
        <x:v>1628.0208634478415</x:v>
      </x:c>
      <x:c r="K56" s="61" t="n">
        <x:v>7756.616917895379</x:v>
      </x:c>
      <x:c r="L56" s="61" t="n">
        <x:v>0</x:v>
      </x:c>
      <x:c r="M56" s="61" t="n">
        <x:v>42.785681513006246</x:v>
      </x:c>
      <x:c r="N56" s="61" t="n">
        <x:v>42.785681513006246</x:v>
      </x:c>
      <x:c r="O56" s="61" t="n">
        <x:v>6108.841869803702</x:v>
      </x:c>
      <x:c r="P56" s="61" t="n">
        <x:v>1672.4264662180096</x:v>
      </x:c>
      <x:c r="Q56" s="61" t="n">
        <x:v>7781.268336021712</x:v>
      </x:c>
      <x:c r="R56" s="61" t="n">
        <x:v>2609.902918627948</x:v>
      </x:c>
      <x:c r="S56" s="61" t="n">
        <x:v>6942.535926145995</x:v>
      </x:c>
      <x:c r="T56" s="61" t="n">
        <x:v>9552.438844773946</x:v>
      </x:c>
    </x:row>
    <x:row r="57">
      <x:c r="A57" s="59" t="str">
        <x:v>18|lower</x:v>
      </x:c>
      <x:c r="B57" s="59" t="str">
        <x:v>18</x:v>
      </x:c>
      <x:c r="C57" s="59" t="str">
        <x:v>Test building 2</x:v>
      </x:c>
      <x:c r="D57" s="59" t="str">
        <x:v>lower</x:v>
      </x:c>
      <x:c r="E57" s="59" t="str">
        <x:v>2023-08</x:v>
      </x:c>
      <x:c r="F57" s="61" t="n">
        <x:v>0</x:v>
      </x:c>
      <x:c r="G57" s="61" t="n">
        <x:v>0</x:v>
      </x:c>
      <x:c r="H57" s="61" t="n">
        <x:v>0</x:v>
      </x:c>
      <x:c r="I57" s="61" t="n">
        <x:v>5376.131073209018</x:v>
      </x:c>
      <x:c r="J57" s="61" t="n">
        <x:v>1298.6931047179735</x:v>
      </x:c>
      <x:c r="K57" s="61" t="n">
        <x:v>6674.824177926991</x:v>
      </x:c>
      <x:c r="L57" s="61" t="n">
        <x:v>0</x:v>
      </x:c>
      <x:c r="M57" s="61" t="n">
        <x:v>32.29496152664415</x:v>
      </x:c>
      <x:c r="N57" s="61" t="n">
        <x:v>32.29496152664415</x:v>
      </x:c>
      <x:c r="O57" s="61" t="n">
        <x:v>5349.966509792076</x:v>
      </x:c>
      <x:c r="P57" s="61" t="n">
        <x:v>1332.2802981896102</x:v>
      </x:c>
      <x:c r="Q57" s="61" t="n">
        <x:v>6682.246807981686</x:v>
      </x:c>
      <x:c r="R57" s="61" t="n">
        <x:v>2379.4561310799436</x:v>
      </x:c>
      <x:c r="S57" s="61" t="n">
        <x:v>6928.870497995606</x:v>
      </x:c>
      <x:c r="T57" s="61" t="n">
        <x:v>9308.32662907555</x:v>
      </x:c>
    </x:row>
    <x:row r="58">
      <x:c r="A58" s="59" t="str">
        <x:v>18|lower</x:v>
      </x:c>
      <x:c r="B58" s="59" t="str">
        <x:v>18</x:v>
      </x:c>
      <x:c r="C58" s="59" t="str">
        <x:v>Test building 2</x:v>
      </x:c>
      <x:c r="D58" s="59" t="str">
        <x:v>lower</x:v>
      </x:c>
      <x:c r="E58" s="59" t="str">
        <x:v>2023-09</x:v>
      </x:c>
      <x:c r="F58" s="61" t="n">
        <x:v>0</x:v>
      </x:c>
      <x:c r="G58" s="61" t="n">
        <x:v>0</x:v>
      </x:c>
      <x:c r="H58" s="61" t="n">
        <x:v>0</x:v>
      </x:c>
      <x:c r="I58" s="61" t="n">
        <x:v>3652.9946837290463</x:v>
      </x:c>
      <x:c r="J58" s="61" t="n">
        <x:v>330.3552383215628</x:v>
      </x:c>
      <x:c r="K58" s="61" t="n">
        <x:v>3983.349922050609</x:v>
      </x:c>
      <x:c r="L58" s="61" t="n">
        <x:v>0</x:v>
      </x:c>
      <x:c r="M58" s="61" t="n">
        <x:v>260.21099574015824</x:v>
      </x:c>
      <x:c r="N58" s="61" t="n">
        <x:v>260.21099574015824</x:v>
      </x:c>
      <x:c r="O58" s="61" t="n">
        <x:v>3612.6743982759244</x:v>
      </x:c>
      <x:c r="P58" s="61" t="n">
        <x:v>590.894945741643</x:v>
      </x:c>
      <x:c r="Q58" s="61" t="n">
        <x:v>4203.569344017567</x:v>
      </x:c>
      <x:c r="R58" s="61" t="n">
        <x:v>1871.4448807340648</x:v>
      </x:c>
      <x:c r="S58" s="61" t="n">
        <x:v>6713.95454157422</x:v>
      </x:c>
      <x:c r="T58" s="61" t="n">
        <x:v>8585.399422308285</x:v>
      </x:c>
    </x:row>
    <x:row r="59">
      <x:c r="A59" s="59" t="str">
        <x:v>18|lower</x:v>
      </x:c>
      <x:c r="B59" s="59" t="str">
        <x:v>18</x:v>
      </x:c>
      <x:c r="C59" s="59" t="str">
        <x:v>Test building 2</x:v>
      </x:c>
      <x:c r="D59" s="59" t="str">
        <x:v>lower</x:v>
      </x:c>
      <x:c r="E59" s="59" t="str">
        <x:v>2023-10</x:v>
      </x:c>
      <x:c r="F59" s="61" t="n">
        <x:v>229.22540604039523</x:v>
      </x:c>
      <x:c r="G59" s="61" t="n">
        <x:v>2399.740235177625</x:v>
      </x:c>
      <x:c r="H59" s="61" t="n">
        <x:v>2628.96564121802</x:v>
      </x:c>
      <x:c r="I59" s="61" t="n">
        <x:v>0</x:v>
      </x:c>
      <x:c r="J59" s="61" t="n">
        <x:v>0</x:v>
      </x:c>
      <x:c r="K59" s="61" t="n">
        <x:v>0</x:v>
      </x:c>
      <x:c r="L59" s="61" t="n">
        <x:v>228.13020736612796</x:v>
      </x:c>
      <x:c r="M59" s="61" t="n">
        <x:v>2403.6502193066376</x:v>
      </x:c>
      <x:c r="N59" s="61" t="n">
        <x:v>2631.7804266727653</x:v>
      </x:c>
      <x:c r="O59" s="61" t="n">
        <x:v>0</x:v>
      </x:c>
      <x:c r="P59" s="61" t="n">
        <x:v>1.5221828999819533</x:v>
      </x:c>
      <x:c r="Q59" s="61" t="n">
        <x:v>1.5221828999819533</x:v>
      </x:c>
      <x:c r="R59" s="61" t="n">
        <x:v>1282.136900207682</x:v>
      </x:c>
      <x:c r="S59" s="61" t="n">
        <x:v>6935.703212070801</x:v>
      </x:c>
      <x:c r="T59" s="61" t="n">
        <x:v>8217.840112278484</x:v>
      </x:c>
    </x:row>
    <x:row r="60">
      <x:c r="A60" s="59" t="str">
        <x:v>18|lower</x:v>
      </x:c>
      <x:c r="B60" s="59" t="str">
        <x:v>18</x:v>
      </x:c>
      <x:c r="C60" s="59" t="str">
        <x:v>Test building 2</x:v>
      </x:c>
      <x:c r="D60" s="59" t="str">
        <x:v>lower</x:v>
      </x:c>
      <x:c r="E60" s="59" t="str">
        <x:v>2023-11</x:v>
      </x:c>
      <x:c r="F60" s="61" t="n">
        <x:v>3315.983541887278</x:v>
      </x:c>
      <x:c r="G60" s="61" t="n">
        <x:v>3940.4253333314477</x:v>
      </x:c>
      <x:c r="H60" s="61" t="n">
        <x:v>7256.408875218725</x:v>
      </x:c>
      <x:c r="I60" s="61" t="n">
        <x:v>0</x:v>
      </x:c>
      <x:c r="J60" s="61" t="n">
        <x:v>0</x:v>
      </x:c>
      <x:c r="K60" s="61" t="n">
        <x:v>0</x:v>
      </x:c>
      <x:c r="L60" s="61" t="n">
        <x:v>3272.8682550918516</x:v>
      </x:c>
      <x:c r="M60" s="61" t="n">
        <x:v>3944.346154558641</x:v>
      </x:c>
      <x:c r="N60" s="61" t="n">
        <x:v>7217.2144096504935</x:v>
      </x:c>
      <x:c r="O60" s="61" t="n">
        <x:v>0</x:v>
      </x:c>
      <x:c r="P60" s="61" t="n">
        <x:v>0</x:v>
      </x:c>
      <x:c r="Q60" s="61" t="n">
        <x:v>0</x:v>
      </x:c>
      <x:c r="R60" s="61" t="n">
        <x:v>532.1467165517296</x:v>
      </x:c>
      <x:c r="S60" s="61" t="n">
        <x:v>6707.121827499024</x:v>
      </x:c>
      <x:c r="T60" s="61" t="n">
        <x:v>7239.268544050753</x:v>
      </x:c>
    </x:row>
    <x:row r="61">
      <x:c r="A61" s="59" t="str">
        <x:v>18|lower</x:v>
      </x:c>
      <x:c r="B61" s="59" t="str">
        <x:v>18</x:v>
      </x:c>
      <x:c r="C61" s="59" t="str">
        <x:v>Test building 2</x:v>
      </x:c>
      <x:c r="D61" s="59" t="str">
        <x:v>lower</x:v>
      </x:c>
      <x:c r="E61" s="59" t="str">
        <x:v>2023-12</x:v>
      </x:c>
      <x:c r="F61" s="61" t="n">
        <x:v>6007.821653022581</x:v>
      </x:c>
      <x:c r="G61" s="61" t="n">
        <x:v>5505.11235474725</x:v>
      </x:c>
      <x:c r="H61" s="61" t="n">
        <x:v>11512.93400776983</x:v>
      </x:c>
      <x:c r="I61" s="61" t="n">
        <x:v>0</x:v>
      </x:c>
      <x:c r="J61" s="61" t="n">
        <x:v>0</x:v>
      </x:c>
      <x:c r="K61" s="61" t="n">
        <x:v>0</x:v>
      </x:c>
      <x:c r="L61" s="61" t="n">
        <x:v>5964.53042367877</x:v>
      </x:c>
      <x:c r="M61" s="61" t="n">
        <x:v>5510.590078483316</x:v>
      </x:c>
      <x:c r="N61" s="61" t="n">
        <x:v>11475.120502162086</x:v>
      </x:c>
      <x:c r="O61" s="61" t="n">
        <x:v>0</x:v>
      </x:c>
      <x:c r="P61" s="61" t="n">
        <x:v>0</x:v>
      </x:c>
      <x:c r="Q61" s="61" t="n">
        <x:v>0</x:v>
      </x:c>
      <x:c r="R61" s="61" t="n">
        <x:v>427.47290091217957</x:v>
      </x:c>
      <x:c r="S61" s="61" t="n">
        <x:v>6942.535926145995</x:v>
      </x:c>
      <x:c r="T61" s="61" t="n">
        <x:v>7370.0088270581755</x:v>
      </x:c>
    </x:row>
    <x:row r="62">
      <x:c r="A62" s="59" t="str">
        <x:v>18|upper</x:v>
      </x:c>
      <x:c r="B62" s="59" t="str">
        <x:v>18</x:v>
      </x:c>
      <x:c r="C62" s="59" t="str">
        <x:v>Test building 2</x:v>
      </x:c>
      <x:c r="D62" s="59" t="str">
        <x:v>upper</x:v>
      </x:c>
      <x:c r="E62" s="59" t="str">
        <x:v>2023-01</x:v>
      </x:c>
      <x:c r="F62" s="61" t="n">
        <x:v>18848.91913052406</x:v>
      </x:c>
      <x:c r="G62" s="61" t="n">
        <x:v>0</x:v>
      </x:c>
      <x:c r="H62" s="61" t="n">
        <x:v>18848.91913052406</x:v>
      </x:c>
      <x:c r="I62" s="61" t="n">
        <x:v>0</x:v>
      </x:c>
      <x:c r="J62" s="61" t="n">
        <x:v>0</x:v>
      </x:c>
      <x:c r="K62" s="61" t="n">
        <x:v>0</x:v>
      </x:c>
      <x:c r="L62" s="61" t="n">
        <x:v>18854.042793213674</x:v>
      </x:c>
      <x:c r="M62" s="61" t="n">
        <x:v>0</x:v>
      </x:c>
      <x:c r="N62" s="61" t="n">
        <x:v>18854.042793213674</x:v>
      </x:c>
      <x:c r="O62" s="61" t="n">
        <x:v>0</x:v>
      </x:c>
      <x:c r="P62" s="61" t="n">
        <x:v>0</x:v>
      </x:c>
      <x:c r="Q62" s="61" t="n">
        <x:v>0</x:v>
      </x:c>
      <x:c r="R62" s="61" t="n">
        <x:v>900.5238188354758</x:v>
      </x:c>
      <x:c r="S62" s="61" t="n">
        <x:v>493.7518561035157</x:v>
      </x:c>
      <x:c r="T62" s="61" t="n">
        <x:v>1394.2756749389914</x:v>
      </x:c>
    </x:row>
    <x:row r="63">
      <x:c r="A63" s="59" t="str">
        <x:v>18|upper</x:v>
      </x:c>
      <x:c r="B63" s="59" t="str">
        <x:v>18</x:v>
      </x:c>
      <x:c r="C63" s="59" t="str">
        <x:v>Test building 2</x:v>
      </x:c>
      <x:c r="D63" s="59" t="str">
        <x:v>upper</x:v>
      </x:c>
      <x:c r="E63" s="59" t="str">
        <x:v>2023-02</x:v>
      </x:c>
      <x:c r="F63" s="61" t="n">
        <x:v>15185.19392733427</x:v>
      </x:c>
      <x:c r="G63" s="61" t="n">
        <x:v>0</x:v>
      </x:c>
      <x:c r="H63" s="61" t="n">
        <x:v>15185.19392733427</x:v>
      </x:c>
      <x:c r="I63" s="61" t="n">
        <x:v>0</x:v>
      </x:c>
      <x:c r="J63" s="61" t="n">
        <x:v>0</x:v>
      </x:c>
      <x:c r="K63" s="61" t="n">
        <x:v>0</x:v>
      </x:c>
      <x:c r="L63" s="61" t="n">
        <x:v>15185.74912167481</x:v>
      </x:c>
      <x:c r="M63" s="61" t="n">
        <x:v>0</x:v>
      </x:c>
      <x:c r="N63" s="61" t="n">
        <x:v>15185.74912167481</x:v>
      </x:c>
      <x:c r="O63" s="61" t="n">
        <x:v>0</x:v>
      </x:c>
      <x:c r="P63" s="61" t="n">
        <x:v>0</x:v>
      </x:c>
      <x:c r="Q63" s="61" t="n">
        <x:v>0</x:v>
      </x:c>
      <x:c r="R63" s="61" t="n">
        <x:v>1343.2910835223934</x:v>
      </x:c>
      <x:c r="S63" s="61" t="n">
        <x:v>445.6806984765625</x:v>
      </x:c>
      <x:c r="T63" s="61" t="n">
        <x:v>1788.9717819989562</x:v>
      </x:c>
    </x:row>
    <x:row r="64">
      <x:c r="A64" s="59" t="str">
        <x:v>18|upper</x:v>
      </x:c>
      <x:c r="B64" s="59" t="str">
        <x:v>18</x:v>
      </x:c>
      <x:c r="C64" s="59" t="str">
        <x:v>Test building 2</x:v>
      </x:c>
      <x:c r="D64" s="59" t="str">
        <x:v>upper</x:v>
      </x:c>
      <x:c r="E64" s="59" t="str">
        <x:v>2023-03</x:v>
      </x:c>
      <x:c r="F64" s="61" t="n">
        <x:v>10576.716681246122</x:v>
      </x:c>
      <x:c r="G64" s="61" t="n">
        <x:v>0</x:v>
      </x:c>
      <x:c r="H64" s="61" t="n">
        <x:v>10576.716681246122</x:v>
      </x:c>
      <x:c r="I64" s="61" t="n">
        <x:v>0</x:v>
      </x:c>
      <x:c r="J64" s="61" t="n">
        <x:v>0</x:v>
      </x:c>
      <x:c r="K64" s="61" t="n">
        <x:v>0</x:v>
      </x:c>
      <x:c r="L64" s="61" t="n">
        <x:v>10531.35239721594</x:v>
      </x:c>
      <x:c r="M64" s="61" t="n">
        <x:v>0</x:v>
      </x:c>
      <x:c r="N64" s="61" t="n">
        <x:v>10531.35239721594</x:v>
      </x:c>
      <x:c r="O64" s="61" t="n">
        <x:v>0</x:v>
      </x:c>
      <x:c r="P64" s="61" t="n">
        <x:v>0</x:v>
      </x:c>
      <x:c r="Q64" s="61" t="n">
        <x:v>0</x:v>
      </x:c>
      <x:c r="R64" s="61" t="n">
        <x:v>3378.894985530371</x:v>
      </x:c>
      <x:c r="S64" s="61" t="n">
        <x:v>491.5142765722657</x:v>
      </x:c>
      <x:c r="T64" s="61" t="n">
        <x:v>3870.4092621026366</x:v>
      </x:c>
    </x:row>
    <x:row r="65">
      <x:c r="A65" s="59" t="str">
        <x:v>18|upper</x:v>
      </x:c>
      <x:c r="B65" s="59" t="str">
        <x:v>18</x:v>
      </x:c>
      <x:c r="C65" s="59" t="str">
        <x:v>Test building 2</x:v>
      </x:c>
      <x:c r="D65" s="59" t="str">
        <x:v>upper</x:v>
      </x:c>
      <x:c r="E65" s="59" t="str">
        <x:v>2023-04</x:v>
      </x:c>
      <x:c r="F65" s="61" t="n">
        <x:v>4746.58221150979</x:v>
      </x:c>
      <x:c r="G65" s="61" t="n">
        <x:v>0</x:v>
      </x:c>
      <x:c r="H65" s="61" t="n">
        <x:v>4746.58221150979</x:v>
      </x:c>
      <x:c r="I65" s="61" t="n">
        <x:v>0</x:v>
      </x:c>
      <x:c r="J65" s="61" t="n">
        <x:v>0</x:v>
      </x:c>
      <x:c r="K65" s="61" t="n">
        <x:v>0</x:v>
      </x:c>
      <x:c r="L65" s="61" t="n">
        <x:v>4625.880948215759</x:v>
      </x:c>
      <x:c r="M65" s="61" t="n">
        <x:v>0</x:v>
      </x:c>
      <x:c r="N65" s="61" t="n">
        <x:v>4625.880948215759</x:v>
      </x:c>
      <x:c r="O65" s="61" t="n">
        <x:v>0</x:v>
      </x:c>
      <x:c r="P65" s="61" t="n">
        <x:v>0</x:v>
      </x:c>
      <x:c r="Q65" s="61" t="n">
        <x:v>0</x:v>
      </x:c>
      <x:c r="R65" s="61" t="n">
        <x:v>4467.451939329284</x:v>
      </x:c>
      <x:c r="S65" s="61" t="n">
        <x:v>480.71157626953124</x:v>
      </x:c>
      <x:c r="T65" s="61" t="n">
        <x:v>4948.163515598816</x:v>
      </x:c>
    </x:row>
    <x:row r="66">
      <x:c r="A66" s="59" t="str">
        <x:v>18|upper</x:v>
      </x:c>
      <x:c r="B66" s="59" t="str">
        <x:v>18</x:v>
      </x:c>
      <x:c r="C66" s="59" t="str">
        <x:v>Test building 2</x:v>
      </x:c>
      <x:c r="D66" s="59" t="str">
        <x:v>upper</x:v>
      </x:c>
      <x:c r="E66" s="59" t="str">
        <x:v>2023-05</x:v>
      </x:c>
      <x:c r="F66" s="61" t="n">
        <x:v>0</x:v>
      </x:c>
      <x:c r="G66" s="61" t="n">
        <x:v>0</x:v>
      </x:c>
      <x:c r="H66" s="61" t="n">
        <x:v>0</x:v>
      </x:c>
      <x:c r="I66" s="61" t="n">
        <x:v>0</x:v>
      </x:c>
      <x:c r="J66" s="61" t="n">
        <x:v>0</x:v>
      </x:c>
      <x:c r="K66" s="61" t="n">
        <x:v>0</x:v>
      </x:c>
      <x:c r="L66" s="61" t="n">
        <x:v>0</x:v>
      </x:c>
      <x:c r="M66" s="61" t="n">
        <x:v>0</x:v>
      </x:c>
      <x:c r="N66" s="61" t="n">
        <x:v>0</x:v>
      </x:c>
      <x:c r="O66" s="61" t="n">
        <x:v>0</x:v>
      </x:c>
      <x:c r="P66" s="61" t="n">
        <x:v>0</x:v>
      </x:c>
      <x:c r="Q66" s="61" t="n">
        <x:v>0</x:v>
      </x:c>
      <x:c r="R66" s="61" t="n">
        <x:v>5844.2398858897495</x:v>
      </x:c>
      <x:c r="S66" s="61" t="n">
        <x:v>491.5142765722657</x:v>
      </x:c>
      <x:c r="T66" s="61" t="n">
        <x:v>6335.754162462015</x:v>
      </x:c>
    </x:row>
    <x:row r="67">
      <x:c r="A67" s="59" t="str">
        <x:v>18|upper</x:v>
      </x:c>
      <x:c r="B67" s="59" t="str">
        <x:v>18</x:v>
      </x:c>
      <x:c r="C67" s="59" t="str">
        <x:v>Test building 2</x:v>
      </x:c>
      <x:c r="D67" s="59" t="str">
        <x:v>upper</x:v>
      </x:c>
      <x:c r="E67" s="59" t="str">
        <x:v>2023-06</x:v>
      </x:c>
      <x:c r="F67" s="61" t="n">
        <x:v>0</x:v>
      </x:c>
      <x:c r="G67" s="61" t="n">
        <x:v>0</x:v>
      </x:c>
      <x:c r="H67" s="61" t="n">
        <x:v>0</x:v>
      </x:c>
      <x:c r="I67" s="61" t="n">
        <x:v>2195.8253932913167</x:v>
      </x:c>
      <x:c r="J67" s="61" t="n">
        <x:v>0</x:v>
      </x:c>
      <x:c r="K67" s="61" t="n">
        <x:v>2195.8253932913167</x:v>
      </x:c>
      <x:c r="L67" s="61" t="n">
        <x:v>0</x:v>
      </x:c>
      <x:c r="M67" s="61" t="n">
        <x:v>0</x:v>
      </x:c>
      <x:c r="N67" s="61" t="n">
        <x:v>0</x:v>
      </x:c>
      <x:c r="O67" s="61" t="n">
        <x:v>2041.1546398073567</x:v>
      </x:c>
      <x:c r="P67" s="61" t="n">
        <x:v>0</x:v>
      </x:c>
      <x:c r="Q67" s="61" t="n">
        <x:v>2041.1546398073567</x:v>
      </x:c>
      <x:c r="R67" s="61" t="n">
        <x:v>5948.337188545844</x:v>
      </x:c>
      <x:c r="S67" s="61" t="n">
        <x:v>476.23641720703125</x:v>
      </x:c>
      <x:c r="T67" s="61" t="n">
        <x:v>6424.573605752875</x:v>
      </x:c>
    </x:row>
    <x:row r="68">
      <x:c r="A68" s="59" t="str">
        <x:v>18|upper</x:v>
      </x:c>
      <x:c r="B68" s="59" t="str">
        <x:v>18</x:v>
      </x:c>
      <x:c r="C68" s="59" t="str">
        <x:v>Test building 2</x:v>
      </x:c>
      <x:c r="D68" s="59" t="str">
        <x:v>upper</x:v>
      </x:c>
      <x:c r="E68" s="59" t="str">
        <x:v>2023-07</x:v>
      </x:c>
      <x:c r="F68" s="61" t="n">
        <x:v>0</x:v>
      </x:c>
      <x:c r="G68" s="61" t="n">
        <x:v>0</x:v>
      </x:c>
      <x:c r="H68" s="61" t="n">
        <x:v>0</x:v>
      </x:c>
      <x:c r="I68" s="61" t="n">
        <x:v>4592.929863485266</x:v>
      </x:c>
      <x:c r="J68" s="61" t="n">
        <x:v>0</x:v>
      </x:c>
      <x:c r="K68" s="61" t="n">
        <x:v>4592.929863485266</x:v>
      </x:c>
      <x:c r="L68" s="61" t="n">
        <x:v>0</x:v>
      </x:c>
      <x:c r="M68" s="61" t="n">
        <x:v>0</x:v>
      </x:c>
      <x:c r="N68" s="61" t="n">
        <x:v>0</x:v>
      </x:c>
      <x:c r="O68" s="61" t="n">
        <x:v>4545.827279398332</x:v>
      </x:c>
      <x:c r="P68" s="61" t="n">
        <x:v>0</x:v>
      </x:c>
      <x:c r="Q68" s="61" t="n">
        <x:v>4545.827279398332</x:v>
      </x:c>
      <x:c r="R68" s="61" t="n">
        <x:v>6449.851649910585</x:v>
      </x:c>
      <x:c r="S68" s="61" t="n">
        <x:v>495.98943563476564</x:v>
      </x:c>
      <x:c r="T68" s="61" t="n">
        <x:v>6945.841085545351</x:v>
      </x:c>
    </x:row>
    <x:row r="69">
      <x:c r="A69" s="59" t="str">
        <x:v>18|upper</x:v>
      </x:c>
      <x:c r="B69" s="59" t="str">
        <x:v>18</x:v>
      </x:c>
      <x:c r="C69" s="59" t="str">
        <x:v>Test building 2</x:v>
      </x:c>
      <x:c r="D69" s="59" t="str">
        <x:v>upper</x:v>
      </x:c>
      <x:c r="E69" s="59" t="str">
        <x:v>2023-08</x:v>
      </x:c>
      <x:c r="F69" s="61" t="n">
        <x:v>0</x:v>
      </x:c>
      <x:c r="G69" s="61" t="n">
        <x:v>0</x:v>
      </x:c>
      <x:c r="H69" s="61" t="n">
        <x:v>0</x:v>
      </x:c>
      <x:c r="I69" s="61" t="n">
        <x:v>3031.7338306395545</x:v>
      </x:c>
      <x:c r="J69" s="61" t="n">
        <x:v>0</x:v>
      </x:c>
      <x:c r="K69" s="61" t="n">
        <x:v>3031.7338306395545</x:v>
      </x:c>
      <x:c r="L69" s="61" t="n">
        <x:v>0</x:v>
      </x:c>
      <x:c r="M69" s="61" t="n">
        <x:v>0</x:v>
      </x:c>
      <x:c r="N69" s="61" t="n">
        <x:v>0</x:v>
      </x:c>
      <x:c r="O69" s="61" t="n">
        <x:v>2932.0476331482987</x:v>
      </x:c>
      <x:c r="P69" s="61" t="n">
        <x:v>0</x:v>
      </x:c>
      <x:c r="Q69" s="61" t="n">
        <x:v>2932.0476331482987</x:v>
      </x:c>
      <x:c r="R69" s="61" t="n">
        <x:v>5699.423877967404</x:v>
      </x:c>
      <x:c r="S69" s="61" t="n">
        <x:v>491.5142765722657</x:v>
      </x:c>
      <x:c r="T69" s="61" t="n">
        <x:v>6190.93815453967</x:v>
      </x:c>
    </x:row>
    <x:row r="70">
      <x:c r="A70" s="59" t="str">
        <x:v>18|upper</x:v>
      </x:c>
      <x:c r="B70" s="59" t="str">
        <x:v>18</x:v>
      </x:c>
      <x:c r="C70" s="59" t="str">
        <x:v>Test building 2</x:v>
      </x:c>
      <x:c r="D70" s="59" t="str">
        <x:v>upper</x:v>
      </x:c>
      <x:c r="E70" s="59" t="str">
        <x:v>2023-09</x:v>
      </x:c>
      <x:c r="F70" s="61" t="n">
        <x:v>0</x:v>
      </x:c>
      <x:c r="G70" s="61" t="n">
        <x:v>0</x:v>
      </x:c>
      <x:c r="H70" s="61" t="n">
        <x:v>0</x:v>
      </x:c>
      <x:c r="I70" s="61" t="n">
        <x:v>886.2870735544411</x:v>
      </x:c>
      <x:c r="J70" s="61" t="n">
        <x:v>0</x:v>
      </x:c>
      <x:c r="K70" s="61" t="n">
        <x:v>886.2870735544411</x:v>
      </x:c>
      <x:c r="L70" s="61" t="n">
        <x:v>0</x:v>
      </x:c>
      <x:c r="M70" s="61" t="n">
        <x:v>0</x:v>
      </x:c>
      <x:c r="N70" s="61" t="n">
        <x:v>0</x:v>
      </x:c>
      <x:c r="O70" s="61" t="n">
        <x:v>759.1703910516702</x:v>
      </x:c>
      <x:c r="P70" s="61" t="n">
        <x:v>0</x:v>
      </x:c>
      <x:c r="Q70" s="61" t="n">
        <x:v>759.1703910516702</x:v>
      </x:c>
      <x:c r="R70" s="61" t="n">
        <x:v>4282.444861134899</x:v>
      </x:c>
      <x:c r="S70" s="61" t="n">
        <x:v>478.47399673828124</x:v>
      </x:c>
      <x:c r="T70" s="61" t="n">
        <x:v>4760.91885787318</x:v>
      </x:c>
    </x:row>
    <x:row r="71">
      <x:c r="A71" s="59" t="str">
        <x:v>18|upper</x:v>
      </x:c>
      <x:c r="B71" s="59" t="str">
        <x:v>18</x:v>
      </x:c>
      <x:c r="C71" s="59" t="str">
        <x:v>Test building 2</x:v>
      </x:c>
      <x:c r="D71" s="59" t="str">
        <x:v>upper</x:v>
      </x:c>
      <x:c r="E71" s="59" t="str">
        <x:v>2023-10</x:v>
      </x:c>
      <x:c r="F71" s="61" t="n">
        <x:v>1475.2159765297097</x:v>
      </x:c>
      <x:c r="G71" s="61" t="n">
        <x:v>0</x:v>
      </x:c>
      <x:c r="H71" s="61" t="n">
        <x:v>1475.2159765297097</x:v>
      </x:c>
      <x:c r="I71" s="61" t="n">
        <x:v>0</x:v>
      </x:c>
      <x:c r="J71" s="61" t="n">
        <x:v>0</x:v>
      </x:c>
      <x:c r="K71" s="61" t="n">
        <x:v>0</x:v>
      </x:c>
      <x:c r="L71" s="61" t="n">
        <x:v>1693.6115128937065</x:v>
      </x:c>
      <x:c r="M71" s="61" t="n">
        <x:v>0</x:v>
      </x:c>
      <x:c r="N71" s="61" t="n">
        <x:v>1693.6115128937065</x:v>
      </x:c>
      <x:c r="O71" s="61" t="n">
        <x:v>0</x:v>
      </x:c>
      <x:c r="P71" s="61" t="n">
        <x:v>0</x:v>
      </x:c>
      <x:c r="Q71" s="61" t="n">
        <x:v>0</x:v>
      </x:c>
      <x:c r="R71" s="61" t="n">
        <x:v>2719.505700740021</x:v>
      </x:c>
      <x:c r="S71" s="61" t="n">
        <x:v>493.7518561035157</x:v>
      </x:c>
      <x:c r="T71" s="61" t="n">
        <x:v>3213.257556843537</x:v>
      </x:c>
    </x:row>
    <x:row r="72">
      <x:c r="A72" s="59" t="str">
        <x:v>18|upper</x:v>
      </x:c>
      <x:c r="B72" s="59" t="str">
        <x:v>18</x:v>
      </x:c>
      <x:c r="C72" s="59" t="str">
        <x:v>Test building 2</x:v>
      </x:c>
      <x:c r="D72" s="59" t="str">
        <x:v>upper</x:v>
      </x:c>
      <x:c r="E72" s="59" t="str">
        <x:v>2023-11</x:v>
      </x:c>
      <x:c r="F72" s="61" t="n">
        <x:v>11377.558442153246</x:v>
      </x:c>
      <x:c r="G72" s="61" t="n">
        <x:v>0</x:v>
      </x:c>
      <x:c r="H72" s="61" t="n">
        <x:v>11377.558442153246</x:v>
      </x:c>
      <x:c r="I72" s="61" t="n">
        <x:v>0</x:v>
      </x:c>
      <x:c r="J72" s="61" t="n">
        <x:v>0</x:v>
      </x:c>
      <x:c r="K72" s="61" t="n">
        <x:v>0</x:v>
      </x:c>
      <x:c r="L72" s="61" t="n">
        <x:v>11377.53188370395</x:v>
      </x:c>
      <x:c r="M72" s="61" t="n">
        <x:v>0</x:v>
      </x:c>
      <x:c r="N72" s="61" t="n">
        <x:v>11377.53188370395</x:v>
      </x:c>
      <x:c r="O72" s="61" t="n">
        <x:v>0</x:v>
      </x:c>
      <x:c r="P72" s="61" t="n">
        <x:v>0</x:v>
      </x:c>
      <x:c r="Q72" s="61" t="n">
        <x:v>0</x:v>
      </x:c>
      <x:c r="R72" s="61" t="n">
        <x:v>922.3116269564241</x:v>
      </x:c>
      <x:c r="S72" s="61" t="n">
        <x:v>476.23641720703125</x:v>
      </x:c>
      <x:c r="T72" s="61" t="n">
        <x:v>1398.5480441634554</x:v>
      </x:c>
    </x:row>
    <x:row r="73">
      <x:c r="A73" s="59" t="str">
        <x:v>18|upper</x:v>
      </x:c>
      <x:c r="B73" s="59" t="str">
        <x:v>18</x:v>
      </x:c>
      <x:c r="C73" s="59" t="str">
        <x:v>Test building 2</x:v>
      </x:c>
      <x:c r="D73" s="59" t="str">
        <x:v>upper</x:v>
      </x:c>
      <x:c r="E73" s="59" t="str">
        <x:v>2023-12</x:v>
      </x:c>
      <x:c r="F73" s="61" t="n">
        <x:v>17507.354573478282</x:v>
      </x:c>
      <x:c r="G73" s="61" t="n">
        <x:v>0</x:v>
      </x:c>
      <x:c r="H73" s="61" t="n">
        <x:v>17507.354573478282</x:v>
      </x:c>
      <x:c r="I73" s="61" t="n">
        <x:v>0</x:v>
      </x:c>
      <x:c r="J73" s="61" t="n">
        <x:v>0</x:v>
      </x:c>
      <x:c r="K73" s="61" t="n">
        <x:v>0</x:v>
      </x:c>
      <x:c r="L73" s="61" t="n">
        <x:v>17512.557561034133</x:v>
      </x:c>
      <x:c r="M73" s="61" t="n">
        <x:v>0</x:v>
      </x:c>
      <x:c r="N73" s="61" t="n">
        <x:v>17512.557561034133</x:v>
      </x:c>
      <x:c r="O73" s="61" t="n">
        <x:v>0</x:v>
      </x:c>
      <x:c r="P73" s="61" t="n">
        <x:v>0</x:v>
      </x:c>
      <x:c r="Q73" s="61" t="n">
        <x:v>0</x:v>
      </x:c>
      <x:c r="R73" s="61" t="n">
        <x:v>655.5573135984482</x:v>
      </x:c>
      <x:c r="S73" s="61" t="n">
        <x:v>495.98943563476564</x:v>
      </x:c>
      <x:c r="T73" s="61" t="n">
        <x:v>1151.5467492332136</x:v>
      </x:c>
    </x:row>
    <x:row r="74">
      <x:c r="A74" s="59" t="str">
        <x:v>19|aggregate</x:v>
      </x:c>
      <x:c r="B74" s="59" t="str">
        <x:v>19</x:v>
      </x:c>
      <x:c r="C74" s="59" t="str">
        <x:v>Test building 3</x:v>
      </x:c>
      <x:c r="D74" s="59" t="str">
        <x:v>aggregate</x:v>
      </x:c>
      <x:c r="E74" s="59" t="str">
        <x:v>2023-01</x:v>
      </x:c>
      <x:c r="F74" s="61" t="n">
        <x:v>57231.922787778356</x:v>
      </x:c>
      <x:c r="G74" s="61" t="n">
        <x:v>8382.557153779793</x:v>
      </x:c>
      <x:c r="H74" s="61" t="n">
        <x:v>65614.47994155815</x:v>
      </x:c>
      <x:c r="I74" s="61" t="n">
        <x:v>0</x:v>
      </x:c>
      <x:c r="J74" s="61" t="n">
        <x:v>0</x:v>
      </x:c>
      <x:c r="K74" s="61" t="n">
        <x:v>0</x:v>
      </x:c>
      <x:c r="L74" s="61" t="n">
        <x:v>59593.98542996967</x:v>
      </x:c>
      <x:c r="M74" s="61" t="n">
        <x:v>7517.313625602881</x:v>
      </x:c>
      <x:c r="N74" s="61" t="n">
        <x:v>67111.29905557254</x:v>
      </x:c>
      <x:c r="O74" s="61" t="n">
        <x:v>0</x:v>
      </x:c>
      <x:c r="P74" s="61" t="n">
        <x:v>0</x:v>
      </x:c>
      <x:c r="Q74" s="61" t="n">
        <x:v>0</x:v>
      </x:c>
      <x:c r="R74" s="61" t="n">
        <x:v>1322.6150364500072</x:v>
      </x:c>
      <x:c r="S74" s="61" t="n">
        <x:v>9737.28732095547</x:v>
      </x:c>
      <x:c r="T74" s="61" t="n">
        <x:v>11059.902357405477</x:v>
      </x:c>
    </x:row>
    <x:row r="75">
      <x:c r="A75" s="59" t="str">
        <x:v>19|aggregate</x:v>
      </x:c>
      <x:c r="B75" s="59" t="str">
        <x:v>19</x:v>
      </x:c>
      <x:c r="C75" s="59" t="str">
        <x:v>Test building 3</x:v>
      </x:c>
      <x:c r="D75" s="59" t="str">
        <x:v>aggregate</x:v>
      </x:c>
      <x:c r="E75" s="59" t="str">
        <x:v>2023-02</x:v>
      </x:c>
      <x:c r="F75" s="61" t="n">
        <x:v>46714.53828554591</x:v>
      </x:c>
      <x:c r="G75" s="61" t="n">
        <x:v>7132.75901554008</x:v>
      </x:c>
      <x:c r="H75" s="61" t="n">
        <x:v>53847.29730108599</x:v>
      </x:c>
      <x:c r="I75" s="61" t="n">
        <x:v>0</x:v>
      </x:c>
      <x:c r="J75" s="61" t="n">
        <x:v>0</x:v>
      </x:c>
      <x:c r="K75" s="61" t="n">
        <x:v>0</x:v>
      </x:c>
      <x:c r="L75" s="61" t="n">
        <x:v>48931.3197934611</x:v>
      </x:c>
      <x:c r="M75" s="61" t="n">
        <x:v>6350.812331100269</x:v>
      </x:c>
      <x:c r="N75" s="61" t="n">
        <x:v>55282.132124561365</x:v>
      </x:c>
      <x:c r="O75" s="61" t="n">
        <x:v>0</x:v>
      </x:c>
      <x:c r="P75" s="61" t="n">
        <x:v>0</x:v>
      </x:c>
      <x:c r="Q75" s="61" t="n">
        <x:v>0</x:v>
      </x:c>
      <x:c r="R75" s="61" t="n">
        <x:v>1886.8088105408674</x:v>
      </x:c>
      <x:c r="S75" s="61" t="n">
        <x:v>8793.301493978126</x:v>
      </x:c>
      <x:c r="T75" s="61" t="n">
        <x:v>10680.110304518992</x:v>
      </x:c>
    </x:row>
    <x:row r="76">
      <x:c r="A76" s="59" t="str">
        <x:v>19|aggregate</x:v>
      </x:c>
      <x:c r="B76" s="59" t="str">
        <x:v>19</x:v>
      </x:c>
      <x:c r="C76" s="59" t="str">
        <x:v>Test building 3</x:v>
      </x:c>
      <x:c r="D76" s="59" t="str">
        <x:v>aggregate</x:v>
      </x:c>
      <x:c r="E76" s="59" t="str">
        <x:v>2023-03</x:v>
      </x:c>
      <x:c r="F76" s="61" t="n">
        <x:v>34250.52616795452</x:v>
      </x:c>
      <x:c r="G76" s="61" t="n">
        <x:v>6401.116456325294</x:v>
      </x:c>
      <x:c r="H76" s="61" t="n">
        <x:v>40651.64262427982</x:v>
      </x:c>
      <x:c r="I76" s="61" t="n">
        <x:v>0</x:v>
      </x:c>
      <x:c r="J76" s="61" t="n">
        <x:v>0</x:v>
      </x:c>
      <x:c r="K76" s="61" t="n">
        <x:v>0</x:v>
      </x:c>
      <x:c r="L76" s="61" t="n">
        <x:v>36901.71510647244</x:v>
      </x:c>
      <x:c r="M76" s="61" t="n">
        <x:v>5533.901345364849</x:v>
      </x:c>
      <x:c r="N76" s="61" t="n">
        <x:v>42435.61645183728</x:v>
      </x:c>
      <x:c r="O76" s="61" t="n">
        <x:v>0</x:v>
      </x:c>
      <x:c r="P76" s="61" t="n">
        <x:v>0</x:v>
      </x:c>
      <x:c r="Q76" s="61" t="n">
        <x:v>0</x:v>
      </x:c>
      <x:c r="R76" s="61" t="n">
        <x:v>5436.718249481685</x:v>
      </x:c>
      <x:c r="S76" s="61" t="n">
        <x:v>9724.362652597656</x:v>
      </x:c>
      <x:c r="T76" s="61" t="n">
        <x:v>15161.08090207934</x:v>
      </x:c>
    </x:row>
    <x:row r="77">
      <x:c r="A77" s="59" t="str">
        <x:v>19|aggregate</x:v>
      </x:c>
      <x:c r="B77" s="59" t="str">
        <x:v>19</x:v>
      </x:c>
      <x:c r="C77" s="59" t="str">
        <x:v>Test building 3</x:v>
      </x:c>
      <x:c r="D77" s="59" t="str">
        <x:v>aggregate</x:v>
      </x:c>
      <x:c r="E77" s="59" t="str">
        <x:v>2023-04</x:v>
      </x:c>
      <x:c r="F77" s="61" t="n">
        <x:v>16599.9613909208</x:v>
      </x:c>
      <x:c r="G77" s="61" t="n">
        <x:v>4586.763859361277</x:v>
      </x:c>
      <x:c r="H77" s="61" t="n">
        <x:v>21186.725250282077</x:v>
      </x:c>
      <x:c r="I77" s="61" t="n">
        <x:v>0</x:v>
      </x:c>
      <x:c r="J77" s="61" t="n">
        <x:v>0</x:v>
      </x:c>
      <x:c r="K77" s="61" t="n">
        <x:v>0</x:v>
      </x:c>
      <x:c r="L77" s="61" t="n">
        <x:v>19064.492830184925</x:v>
      </x:c>
      <x:c r="M77" s="61" t="n">
        <x:v>3746.654160014987</x:v>
      </x:c>
      <x:c r="N77" s="61" t="n">
        <x:v>22811.14699019991</x:v>
      </x:c>
      <x:c r="O77" s="61" t="n">
        <x:v>0</x:v>
      </x:c>
      <x:c r="P77" s="61" t="n">
        <x:v>0.7305962565667435</x:v>
      </x:c>
      <x:c r="Q77" s="61" t="n">
        <x:v>0.7305962565667435</x:v>
      </x:c>
      <x:c r="R77" s="61" t="n">
        <x:v>7643.594814532069</x:v>
      </x:c>
      <x:c r="S77" s="61" t="n">
        <x:v>9439.858269773438</x:v>
      </x:c>
      <x:c r="T77" s="61" t="n">
        <x:v>17083.453084305507</x:v>
      </x:c>
    </x:row>
    <x:row r="78">
      <x:c r="A78" s="59" t="str">
        <x:v>19|aggregate</x:v>
      </x:c>
      <x:c r="B78" s="59" t="str">
        <x:v>19</x:v>
      </x:c>
      <x:c r="C78" s="59" t="str">
        <x:v>Test building 3</x:v>
      </x:c>
      <x:c r="D78" s="59" t="str">
        <x:v>aggregate</x:v>
      </x:c>
      <x:c r="E78" s="59" t="str">
        <x:v>2023-05</x:v>
      </x:c>
      <x:c r="F78" s="61" t="n">
        <x:v>0</x:v>
      </x:c>
      <x:c r="G78" s="61" t="n">
        <x:v>2087.1154493091617</x:v>
      </x:c>
      <x:c r="H78" s="61" t="n">
        <x:v>2087.1154493091617</x:v>
      </x:c>
      <x:c r="I78" s="61" t="n">
        <x:v>0</x:v>
      </x:c>
      <x:c r="J78" s="61" t="n">
        <x:v>0</x:v>
      </x:c>
      <x:c r="K78" s="61" t="n">
        <x:v>0</x:v>
      </x:c>
      <x:c r="L78" s="61" t="n">
        <x:v>0</x:v>
      </x:c>
      <x:c r="M78" s="61" t="n">
        <x:v>1693.1568245934432</x:v>
      </x:c>
      <x:c r="N78" s="61" t="n">
        <x:v>1693.1568245934432</x:v>
      </x:c>
      <x:c r="O78" s="61" t="n">
        <x:v>0</x:v>
      </x:c>
      <x:c r="P78" s="61" t="n">
        <x:v>40.75683402704513</x:v>
      </x:c>
      <x:c r="Q78" s="61" t="n">
        <x:v>40.75683402704513</x:v>
      </x:c>
      <x:c r="R78" s="61" t="n">
        <x:v>10539.443520846726</x:v>
      </x:c>
      <x:c r="S78" s="61" t="n">
        <x:v>9724.362652597656</x:v>
      </x:c>
      <x:c r="T78" s="61" t="n">
        <x:v>20263.80617344438</x:v>
      </x:c>
    </x:row>
    <x:row r="79">
      <x:c r="A79" s="59" t="str">
        <x:v>19|aggregate</x:v>
      </x:c>
      <x:c r="B79" s="59" t="str">
        <x:v>19</x:v>
      </x:c>
      <x:c r="C79" s="59" t="str">
        <x:v>Test building 3</x:v>
      </x:c>
      <x:c r="D79" s="59" t="str">
        <x:v>aggregate</x:v>
      </x:c>
      <x:c r="E79" s="59" t="str">
        <x:v>2023-06</x:v>
      </x:c>
      <x:c r="F79" s="61" t="n">
        <x:v>0</x:v>
      </x:c>
      <x:c r="G79" s="61" t="n">
        <x:v>0</x:v>
      </x:c>
      <x:c r="H79" s="61" t="n">
        <x:v>0</x:v>
      </x:c>
      <x:c r="I79" s="61" t="n">
        <x:v>6556.54238190208</x:v>
      </x:c>
      <x:c r="J79" s="61" t="n">
        <x:v>847.6397584632474</x:v>
      </x:c>
      <x:c r="K79" s="61" t="n">
        <x:v>7404.1821403653275</x:v>
      </x:c>
      <x:c r="L79" s="61" t="n">
        <x:v>0</x:v>
      </x:c>
      <x:c r="M79" s="61" t="n">
        <x:v>248.19398544510452</x:v>
      </x:c>
      <x:c r="N79" s="61" t="n">
        <x:v>248.19398544510452</x:v>
      </x:c>
      <x:c r="O79" s="61" t="n">
        <x:v>6946.099821118372</x:v>
      </x:c>
      <x:c r="P79" s="61" t="n">
        <x:v>1096.6771665535891</x:v>
      </x:c>
      <x:c r="Q79" s="61" t="n">
        <x:v>8042.776987671961</x:v>
      </x:c>
      <x:c r="R79" s="61" t="n">
        <x:v>10964.520835054744</x:v>
      </x:c>
      <x:c r="S79" s="61" t="n">
        <x:v>9414.008933057812</x:v>
      </x:c>
      <x:c r="T79" s="61" t="n">
        <x:v>20378.52976811256</x:v>
      </x:c>
    </x:row>
    <x:row r="80">
      <x:c r="A80" s="59" t="str">
        <x:v>19|aggregate</x:v>
      </x:c>
      <x:c r="B80" s="59" t="str">
        <x:v>19</x:v>
      </x:c>
      <x:c r="C80" s="59" t="str">
        <x:v>Test building 3</x:v>
      </x:c>
      <x:c r="D80" s="59" t="str">
        <x:v>aggregate</x:v>
      </x:c>
      <x:c r="E80" s="59" t="str">
        <x:v>2023-07</x:v>
      </x:c>
      <x:c r="F80" s="61" t="n">
        <x:v>0</x:v>
      </x:c>
      <x:c r="G80" s="61" t="n">
        <x:v>0</x:v>
      </x:c>
      <x:c r="H80" s="61" t="n">
        <x:v>0</x:v>
      </x:c>
      <x:c r="I80" s="61" t="n">
        <x:v>12201.48016157335</x:v>
      </x:c>
      <x:c r="J80" s="61" t="n">
        <x:v>2065.1150816314757</x:v>
      </x:c>
      <x:c r="K80" s="61" t="n">
        <x:v>14266.595243204825</x:v>
      </x:c>
      <x:c r="L80" s="61" t="n">
        <x:v>0</x:v>
      </x:c>
      <x:c r="M80" s="61" t="n">
        <x:v>54.27286477353</x:v>
      </x:c>
      <x:c r="N80" s="61" t="n">
        <x:v>54.27286477353</x:v>
      </x:c>
      <x:c r="O80" s="61" t="n">
        <x:v>12031.85988314164</x:v>
      </x:c>
      <x:c r="P80" s="61" t="n">
        <x:v>2121.442787282251</x:v>
      </x:c>
      <x:c r="Q80" s="61" t="n">
        <x:v>14153.302670423891</x:v>
      </x:c>
      <x:c r="R80" s="61" t="n">
        <x:v>11823.866174749157</x:v>
      </x:c>
      <x:c r="S80" s="61" t="n">
        <x:v>9750.211989313282</x:v>
      </x:c>
      <x:c r="T80" s="61" t="n">
        <x:v>21574.078164062437</x:v>
      </x:c>
    </x:row>
    <x:row r="81">
      <x:c r="A81" s="59" t="str">
        <x:v>19|aggregate</x:v>
      </x:c>
      <x:c r="B81" s="59" t="str">
        <x:v>19</x:v>
      </x:c>
      <x:c r="C81" s="59" t="str">
        <x:v>Test building 3</x:v>
      </x:c>
      <x:c r="D81" s="59" t="str">
        <x:v>aggregate</x:v>
      </x:c>
      <x:c r="E81" s="59" t="str">
        <x:v>2023-08</x:v>
      </x:c>
      <x:c r="F81" s="61" t="n">
        <x:v>0</x:v>
      </x:c>
      <x:c r="G81" s="61" t="n">
        <x:v>0</x:v>
      </x:c>
      <x:c r="H81" s="61" t="n">
        <x:v>0</x:v>
      </x:c>
      <x:c r="I81" s="61" t="n">
        <x:v>8501.34434319009</x:v>
      </x:c>
      <x:c r="J81" s="61" t="n">
        <x:v>1647.3687636189293</x:v>
      </x:c>
      <x:c r="K81" s="61" t="n">
        <x:v>10148.71310680902</x:v>
      </x:c>
      <x:c r="L81" s="61" t="n">
        <x:v>0</x:v>
      </x:c>
      <x:c r="M81" s="61" t="n">
        <x:v>40.965575814635635</x:v>
      </x:c>
      <x:c r="N81" s="61" t="n">
        <x:v>40.965575814635635</x:v>
      </x:c>
      <x:c r="O81" s="61" t="n">
        <x:v>8641.412375512082</x:v>
      </x:c>
      <x:c r="P81" s="61" t="n">
        <x:v>1689.973512332688</x:v>
      </x:c>
      <x:c r="Q81" s="61" t="n">
        <x:v>10331.385887844772</x:v>
      </x:c>
      <x:c r="R81" s="61" t="n">
        <x:v>9965.746898927084</x:v>
      </x:c>
      <x:c r="S81" s="61" t="n">
        <x:v>9724.362652597656</x:v>
      </x:c>
      <x:c r="T81" s="61" t="n">
        <x:v>19690.109551524736</x:v>
      </x:c>
    </x:row>
    <x:row r="82">
      <x:c r="A82" s="59" t="str">
        <x:v>19|aggregate</x:v>
      </x:c>
      <x:c r="B82" s="59" t="str">
        <x:v>19</x:v>
      </x:c>
      <x:c r="C82" s="59" t="str">
        <x:v>Test building 3</x:v>
      </x:c>
      <x:c r="D82" s="59" t="str">
        <x:v>aggregate</x:v>
      </x:c>
      <x:c r="E82" s="59" t="str">
        <x:v>2023-09</x:v>
      </x:c>
      <x:c r="F82" s="61" t="n">
        <x:v>0</x:v>
      </x:c>
      <x:c r="G82" s="61" t="n">
        <x:v>0</x:v>
      </x:c>
      <x:c r="H82" s="61" t="n">
        <x:v>0</x:v>
      </x:c>
      <x:c r="I82" s="61" t="n">
        <x:v>3475.0254180342727</x:v>
      </x:c>
      <x:c r="J82" s="61" t="n">
        <x:v>419.0496573299455</x:v>
      </x:c>
      <x:c r="K82" s="61" t="n">
        <x:v>3894.0750753642183</x:v>
      </x:c>
      <x:c r="L82" s="61" t="n">
        <x:v>0</x:v>
      </x:c>
      <x:c r="M82" s="61" t="n">
        <x:v>330.0729516274782</x:v>
      </x:c>
      <x:c r="N82" s="61" t="n">
        <x:v>330.0729516274782</x:v>
      </x:c>
      <x:c r="O82" s="61" t="n">
        <x:v>4542.524719910705</x:v>
      </x:c>
      <x:c r="P82" s="61" t="n">
        <x:v>749.5395737905878</x:v>
      </x:c>
      <x:c r="Q82" s="61" t="n">
        <x:v>5292.064293701293</x:v>
      </x:c>
      <x:c r="R82" s="61" t="n">
        <x:v>7022.819415570188</x:v>
      </x:c>
      <x:c r="S82" s="61" t="n">
        <x:v>9426.933601415625</x:v>
      </x:c>
      <x:c r="T82" s="61" t="n">
        <x:v>16449.75301698581</x:v>
      </x:c>
    </x:row>
    <x:row r="83">
      <x:c r="A83" s="59" t="str">
        <x:v>19|aggregate</x:v>
      </x:c>
      <x:c r="B83" s="59" t="str">
        <x:v>19</x:v>
      </x:c>
      <x:c r="C83" s="59" t="str">
        <x:v>Test building 3</x:v>
      </x:c>
      <x:c r="D83" s="59" t="str">
        <x:v>aggregate</x:v>
      </x:c>
      <x:c r="E83" s="59" t="str">
        <x:v>2023-10</x:v>
      </x:c>
      <x:c r="F83" s="61" t="n">
        <x:v>4473.096337060992</x:v>
      </x:c>
      <x:c r="G83" s="61" t="n">
        <x:v>3719.678278282445</x:v>
      </x:c>
      <x:c r="H83" s="61" t="n">
        <x:v>8192.774615343436</x:v>
      </x:c>
      <x:c r="I83" s="61" t="n">
        <x:v>0</x:v>
      </x:c>
      <x:c r="J83" s="61" t="n">
        <x:v>0</x:v>
      </x:c>
      <x:c r="K83" s="61" t="n">
        <x:v>0</x:v>
      </x:c>
      <x:c r="L83" s="61" t="n">
        <x:v>8715.162204437478</x:v>
      </x:c>
      <x:c r="M83" s="61" t="n">
        <x:v>3048.986920440638</x:v>
      </x:c>
      <x:c r="N83" s="61" t="n">
        <x:v>11764.149124878117</x:v>
      </x:c>
      <x:c r="O83" s="61" t="n">
        <x:v>0</x:v>
      </x:c>
      <x:c r="P83" s="61" t="n">
        <x:v>1.9308615352121254</x:v>
      </x:c>
      <x:c r="Q83" s="61" t="n">
        <x:v>1.9308615352121254</x:v>
      </x:c>
      <x:c r="R83" s="61" t="n">
        <x:v>4108.248963967437</x:v>
      </x:c>
      <x:c r="S83" s="61" t="n">
        <x:v>9737.28732095547</x:v>
      </x:c>
      <x:c r="T83" s="61" t="n">
        <x:v>13845.536284922908</x:v>
      </x:c>
    </x:row>
    <x:row r="84">
      <x:c r="A84" s="59" t="str">
        <x:v>19|aggregate</x:v>
      </x:c>
      <x:c r="B84" s="59" t="str">
        <x:v>19</x:v>
      </x:c>
      <x:c r="C84" s="59" t="str">
        <x:v>Test building 3</x:v>
      </x:c>
      <x:c r="D84" s="59" t="str">
        <x:v>aggregate</x:v>
      </x:c>
      <x:c r="E84" s="59" t="str">
        <x:v>2023-11</x:v>
      </x:c>
      <x:c r="F84" s="61" t="n">
        <x:v>32912.01934823358</x:v>
      </x:c>
      <x:c r="G84" s="61" t="n">
        <x:v>5842.922293469891</x:v>
      </x:c>
      <x:c r="H84" s="61" t="n">
        <x:v>38754.94164170347</x:v>
      </x:c>
      <x:c r="I84" s="61" t="n">
        <x:v>0</x:v>
      </x:c>
      <x:c r="J84" s="61" t="n">
        <x:v>0</x:v>
      </x:c>
      <x:c r="K84" s="61" t="n">
        <x:v>0</x:v>
      </x:c>
      <x:c r="L84" s="61" t="n">
        <x:v>35738.28699770905</x:v>
      </x:c>
      <x:c r="M84" s="61" t="n">
        <x:v>5003.3319067566945</x:v>
      </x:c>
      <x:c r="N84" s="61" t="n">
        <x:v>40741.61890446575</x:v>
      </x:c>
      <x:c r="O84" s="61" t="n">
        <x:v>0</x:v>
      </x:c>
      <x:c r="P84" s="61" t="n">
        <x:v>0</x:v>
      </x:c>
      <x:c r="Q84" s="61" t="n">
        <x:v>0</x:v>
      </x:c>
      <x:c r="R84" s="61" t="n">
        <x:v>1357.3654471979044</x:v>
      </x:c>
      <x:c r="S84" s="61" t="n">
        <x:v>9414.008933057812</x:v>
      </x:c>
      <x:c r="T84" s="61" t="n">
        <x:v>10771.374380255718</x:v>
      </x:c>
    </x:row>
    <x:row r="85">
      <x:c r="A85" s="59" t="str">
        <x:v>19|aggregate</x:v>
      </x:c>
      <x:c r="B85" s="59" t="str">
        <x:v>19</x:v>
      </x:c>
      <x:c r="C85" s="59" t="str">
        <x:v>Test building 3</x:v>
      </x:c>
      <x:c r="D85" s="59" t="str">
        <x:v>aggregate</x:v>
      </x:c>
      <x:c r="E85" s="59" t="str">
        <x:v>2023-12</x:v>
      </x:c>
      <x:c r="F85" s="61" t="n">
        <x:v>52344.069785993604</x:v>
      </x:c>
      <x:c r="G85" s="61" t="n">
        <x:v>7855.8516688327345</x:v>
      </x:c>
      <x:c r="H85" s="61" t="n">
        <x:v>60199.92145482634</x:v>
      </x:c>
      <x:c r="I85" s="61" t="n">
        <x:v>0</x:v>
      </x:c>
      <x:c r="J85" s="61" t="n">
        <x:v>0</x:v>
      </x:c>
      <x:c r="K85" s="61" t="n">
        <x:v>0</x:v>
      </x:c>
      <x:c r="L85" s="61" t="n">
        <x:v>54810.8312567385</x:v>
      </x:c>
      <x:c r="M85" s="61" t="n">
        <x:v>6990.084055596176</x:v>
      </x:c>
      <x:c r="N85" s="61" t="n">
        <x:v>61800.91531233468</x:v>
      </x:c>
      <x:c r="O85" s="61" t="n">
        <x:v>0</x:v>
      </x:c>
      <x:c r="P85" s="61" t="n">
        <x:v>0</x:v>
      </x:c>
      <x:c r="Q85" s="61" t="n">
        <x:v>0</x:v>
      </x:c>
      <x:c r="R85" s="61" t="n">
        <x:v>935.1306581986169</x:v>
      </x:c>
      <x:c r="S85" s="61" t="n">
        <x:v>9750.211989313282</x:v>
      </x:c>
      <x:c r="T85" s="61" t="n">
        <x:v>10685.3426475119</x:v>
      </x:c>
    </x:row>
    <x:row r="86">
      <x:c r="A86" s="59" t="str">
        <x:v>19|lower</x:v>
      </x:c>
      <x:c r="B86" s="59" t="str">
        <x:v>19</x:v>
      </x:c>
      <x:c r="C86" s="59" t="str">
        <x:v>Test building 3</x:v>
      </x:c>
      <x:c r="D86" s="59" t="str">
        <x:v>lower</x:v>
      </x:c>
      <x:c r="E86" s="59" t="str">
        <x:v>2023-01</x:v>
      </x:c>
      <x:c r="F86" s="61" t="n">
        <x:v>8951.51026499688</x:v>
      </x:c>
      <x:c r="G86" s="61" t="n">
        <x:v>7509.841146849798</x:v>
      </x:c>
      <x:c r="H86" s="61" t="n">
        <x:v>16461.351411846677</x:v>
      </x:c>
      <x:c r="I86" s="61" t="n">
        <x:v>0</x:v>
      </x:c>
      <x:c r="J86" s="61" t="n">
        <x:v>0</x:v>
      </x:c>
      <x:c r="K86" s="61" t="n">
        <x:v>0</x:v>
      </x:c>
      <x:c r="L86" s="61" t="n">
        <x:v>8995.524752499208</x:v>
      </x:c>
      <x:c r="M86" s="61" t="n">
        <x:v>7517.313625602881</x:v>
      </x:c>
      <x:c r="N86" s="61" t="n">
        <x:v>16512.83837810209</x:v>
      </x:c>
      <x:c r="O86" s="61" t="n">
        <x:v>0</x:v>
      </x:c>
      <x:c r="P86" s="61" t="n">
        <x:v>0</x:v>
      </x:c>
      <x:c r="Q86" s="61" t="n">
        <x:v>0</x:v>
      </x:c>
      <x:c r="R86" s="61" t="n">
        <x:v>380.11729773139024</x:v>
      </x:c>
      <x:c r="S86" s="61" t="n">
        <x:v>8797.814344119532</x:v>
      </x:c>
      <x:c r="T86" s="61" t="n">
        <x:v>9177.931641850922</x:v>
      </x:c>
    </x:row>
    <x:row r="87">
      <x:c r="A87" s="59" t="str">
        <x:v>19|lower</x:v>
      </x:c>
      <x:c r="B87" s="59" t="str">
        <x:v>19</x:v>
      </x:c>
      <x:c r="C87" s="59" t="str">
        <x:v>Test building 3</x:v>
      </x:c>
      <x:c r="D87" s="59" t="str">
        <x:v>lower</x:v>
      </x:c>
      <x:c r="E87" s="59" t="str">
        <x:v>2023-02</x:v>
      </x:c>
      <x:c r="F87" s="61" t="n">
        <x:v>7143.85260382885</x:v>
      </x:c>
      <x:c r="G87" s="61" t="n">
        <x:v>6344.499396377508</x:v>
      </x:c>
      <x:c r="H87" s="61" t="n">
        <x:v>13488.352000206358</x:v>
      </x:c>
      <x:c r="I87" s="61" t="n">
        <x:v>0</x:v>
      </x:c>
      <x:c r="J87" s="61" t="n">
        <x:v>0</x:v>
      </x:c>
      <x:c r="K87" s="61" t="n">
        <x:v>0</x:v>
      </x:c>
      <x:c r="L87" s="61" t="n">
        <x:v>7184.96343410648</x:v>
      </x:c>
      <x:c r="M87" s="61" t="n">
        <x:v>6350.812331100269</x:v>
      </x:c>
      <x:c r="N87" s="61" t="n">
        <x:v>13535.775765206748</x:v>
      </x:c>
      <x:c r="O87" s="61" t="n">
        <x:v>0</x:v>
      </x:c>
      <x:c r="P87" s="61" t="n">
        <x:v>0</x:v>
      </x:c>
      <x:c r="Q87" s="61" t="n">
        <x:v>0</x:v>
      </x:c>
      <x:c r="R87" s="61" t="n">
        <x:v>493.8568491376446</x:v>
      </x:c>
      <x:c r="S87" s="61" t="n">
        <x:v>7945.294610884376</x:v>
      </x:c>
      <x:c r="T87" s="61" t="n">
        <x:v>8439.15146002202</x:v>
      </x:c>
    </x:row>
    <x:row r="88">
      <x:c r="A88" s="59" t="str">
        <x:v>19|lower</x:v>
      </x:c>
      <x:c r="B88" s="59" t="str">
        <x:v>19</x:v>
      </x:c>
      <x:c r="C88" s="59" t="str">
        <x:v>Test building 3</x:v>
      </x:c>
      <x:c r="D88" s="59" t="str">
        <x:v>lower</x:v>
      </x:c>
      <x:c r="E88" s="59" t="str">
        <x:v>2023-03</x:v>
      </x:c>
      <x:c r="F88" s="61" t="n">
        <x:v>4848.548518673957</x:v>
      </x:c>
      <x:c r="G88" s="61" t="n">
        <x:v>5528.400449395302</x:v>
      </x:c>
      <x:c r="H88" s="61" t="n">
        <x:v>10376.948968069259</x:v>
      </x:c>
      <x:c r="I88" s="61" t="n">
        <x:v>0</x:v>
      </x:c>
      <x:c r="J88" s="61" t="n">
        <x:v>0</x:v>
      </x:c>
      <x:c r="K88" s="61" t="n">
        <x:v>0</x:v>
      </x:c>
      <x:c r="L88" s="61" t="n">
        <x:v>4896.720087025843</x:v>
      </x:c>
      <x:c r="M88" s="61" t="n">
        <x:v>5533.901345364849</x:v>
      </x:c>
      <x:c r="N88" s="61" t="n">
        <x:v>10430.621432390692</x:v>
      </x:c>
      <x:c r="O88" s="61" t="n">
        <x:v>0</x:v>
      </x:c>
      <x:c r="P88" s="61" t="n">
        <x:v>0</x:v>
      </x:c>
      <x:c r="Q88" s="61" t="n">
        <x:v>0</x:v>
      </x:c>
      <x:c r="R88" s="61" t="n">
        <x:v>1254.7266942934248</x:v>
      </x:c>
      <x:c r="S88" s="61" t="n">
        <x:v>8789.147169636719</x:v>
      </x:c>
      <x:c r="T88" s="61" t="n">
        <x:v>10043.873863930143</x:v>
      </x:c>
    </x:row>
    <x:row r="89">
      <x:c r="A89" s="59" t="str">
        <x:v>19|lower</x:v>
      </x:c>
      <x:c r="B89" s="59" t="str">
        <x:v>19</x:v>
      </x:c>
      <x:c r="C89" s="59" t="str">
        <x:v>Test building 3</x:v>
      </x:c>
      <x:c r="D89" s="59" t="str">
        <x:v>lower</x:v>
      </x:c>
      <x:c r="E89" s="59" t="str">
        <x:v>2023-04</x:v>
      </x:c>
      <x:c r="F89" s="61" t="n">
        <x:v>2131.656151510465</x:v>
      </x:c>
      <x:c r="G89" s="61" t="n">
        <x:v>3742.1999816870907</x:v>
      </x:c>
      <x:c r="H89" s="61" t="n">
        <x:v>5873.856133197556</x:v>
      </x:c>
      <x:c r="I89" s="61" t="n">
        <x:v>0</x:v>
      </x:c>
      <x:c r="J89" s="61" t="n">
        <x:v>0</x:v>
      </x:c>
      <x:c r="K89" s="61" t="n">
        <x:v>0</x:v>
      </x:c>
      <x:c r="L89" s="61" t="n">
        <x:v>2170.9871618253114</x:v>
      </x:c>
      <x:c r="M89" s="61" t="n">
        <x:v>3746.654160014987</x:v>
      </x:c>
      <x:c r="N89" s="61" t="n">
        <x:v>5917.641321840299</x:v>
      </x:c>
      <x:c r="O89" s="61" t="n">
        <x:v>0</x:v>
      </x:c>
      <x:c r="P89" s="61" t="n">
        <x:v>0.7305962565667435</x:v>
      </x:c>
      <x:c r="Q89" s="61" t="n">
        <x:v>0.7305962565667435</x:v>
      </x:c>
      <x:c r="R89" s="61" t="n">
        <x:v>1708.132304085861</x:v>
      </x:c>
      <x:c r="S89" s="61" t="n">
        <x:v>8525.197332351563</x:v>
      </x:c>
      <x:c r="T89" s="61" t="n">
        <x:v>10233.329636437424</x:v>
      </x:c>
    </x:row>
    <x:row r="90">
      <x:c r="A90" s="59" t="str">
        <x:v>19|lower</x:v>
      </x:c>
      <x:c r="B90" s="59" t="str">
        <x:v>19</x:v>
      </x:c>
      <x:c r="C90" s="59" t="str">
        <x:v>Test building 3</x:v>
      </x:c>
      <x:c r="D90" s="59" t="str">
        <x:v>lower</x:v>
      </x:c>
      <x:c r="E90" s="59" t="str">
        <x:v>2023-05</x:v>
      </x:c>
      <x:c r="F90" s="61" t="n">
        <x:v>0</x:v>
      </x:c>
      <x:c r="G90" s="61" t="n">
        <x:v>1650.7574458441654</x:v>
      </x:c>
      <x:c r="H90" s="61" t="n">
        <x:v>1650.7574458441654</x:v>
      </x:c>
      <x:c r="I90" s="61" t="n">
        <x:v>0</x:v>
      </x:c>
      <x:c r="J90" s="61" t="n">
        <x:v>0</x:v>
      </x:c>
      <x:c r="K90" s="61" t="n">
        <x:v>0</x:v>
      </x:c>
      <x:c r="L90" s="61" t="n">
        <x:v>0</x:v>
      </x:c>
      <x:c r="M90" s="61" t="n">
        <x:v>1693.1568245934432</x:v>
      </x:c>
      <x:c r="N90" s="61" t="n">
        <x:v>1693.1568245934432</x:v>
      </x:c>
      <x:c r="O90" s="61" t="n">
        <x:v>0</x:v>
      </x:c>
      <x:c r="P90" s="61" t="n">
        <x:v>40.75683402704513</x:v>
      </x:c>
      <x:c r="Q90" s="61" t="n">
        <x:v>40.75683402704513</x:v>
      </x:c>
      <x:c r="R90" s="61" t="n">
        <x:v>2305.56170714714</x:v>
      </x:c>
      <x:c r="S90" s="61" t="n">
        <x:v>8789.147169636719</x:v>
      </x:c>
      <x:c r="T90" s="61" t="n">
        <x:v>11094.708876783858</x:v>
      </x:c>
    </x:row>
    <x:row r="91">
      <x:c r="A91" s="59" t="str">
        <x:v>19|lower</x:v>
      </x:c>
      <x:c r="B91" s="59" t="str">
        <x:v>19</x:v>
      </x:c>
      <x:c r="C91" s="59" t="str">
        <x:v>Test building 3</x:v>
      </x:c>
      <x:c r="D91" s="59" t="str">
        <x:v>lower</x:v>
      </x:c>
      <x:c r="E91" s="59" t="str">
        <x:v>2023-06</x:v>
      </x:c>
      <x:c r="F91" s="61" t="n">
        <x:v>0</x:v>
      </x:c>
      <x:c r="G91" s="61" t="n">
        <x:v>0</x:v>
      </x:c>
      <x:c r="H91" s="61" t="n">
        <x:v>0</x:v>
      </x:c>
      <x:c r="I91" s="61" t="n">
        <x:v>5093.755590956733</x:v>
      </x:c>
      <x:c r="J91" s="61" t="n">
        <x:v>847.6397584632474</x:v>
      </x:c>
      <x:c r="K91" s="61" t="n">
        <x:v>5941.39534941998</x:v>
      </x:c>
      <x:c r="L91" s="61" t="n">
        <x:v>0</x:v>
      </x:c>
      <x:c r="M91" s="61" t="n">
        <x:v>248.19398544510452</x:v>
      </x:c>
      <x:c r="N91" s="61" t="n">
        <x:v>248.19398544510452</x:v>
      </x:c>
      <x:c r="O91" s="61" t="n">
        <x:v>5124.985512362081</x:v>
      </x:c>
      <x:c r="P91" s="61" t="n">
        <x:v>1096.6771665535891</x:v>
      </x:c>
      <x:c r="Q91" s="61" t="n">
        <x:v>6221.66267891567</x:v>
      </x:c>
      <x:c r="R91" s="61" t="n">
        <x:v>2382.3478776321676</x:v>
      </x:c>
      <x:c r="S91" s="61" t="n">
        <x:v>8507.862983385938</x:v>
      </x:c>
      <x:c r="T91" s="61" t="n">
        <x:v>10890.210861018106</x:v>
      </x:c>
    </x:row>
    <x:row r="92">
      <x:c r="A92" s="59" t="str">
        <x:v>19|lower</x:v>
      </x:c>
      <x:c r="B92" s="59" t="str">
        <x:v>19</x:v>
      </x:c>
      <x:c r="C92" s="59" t="str">
        <x:v>Test building 3</x:v>
      </x:c>
      <x:c r="D92" s="59" t="str">
        <x:v>lower</x:v>
      </x:c>
      <x:c r="E92" s="59" t="str">
        <x:v>2023-07</x:v>
      </x:c>
      <x:c r="F92" s="61" t="n">
        <x:v>0</x:v>
      </x:c>
      <x:c r="G92" s="61" t="n">
        <x:v>0</x:v>
      </x:c>
      <x:c r="H92" s="61" t="n">
        <x:v>0</x:v>
      </x:c>
      <x:c r="I92" s="61" t="n">
        <x:v>7059.970542510991</x:v>
      </x:c>
      <x:c r="J92" s="61" t="n">
        <x:v>2065.1150816314757</x:v>
      </x:c>
      <x:c r="K92" s="61" t="n">
        <x:v>9125.085624142466</x:v>
      </x:c>
      <x:c r="L92" s="61" t="n">
        <x:v>0</x:v>
      </x:c>
      <x:c r="M92" s="61" t="n">
        <x:v>54.27286477353</x:v>
      </x:c>
      <x:c r="N92" s="61" t="n">
        <x:v>54.27286477353</x:v>
      </x:c>
      <x:c r="O92" s="61" t="n">
        <x:v>7076.026262819131</x:v>
      </x:c>
      <x:c r="P92" s="61" t="n">
        <x:v>2121.442787282251</x:v>
      </x:c>
      <x:c r="Q92" s="61" t="n">
        <x:v>9197.469050101381</x:v>
      </x:c>
      <x:c r="R92" s="61" t="n">
        <x:v>2565.8938155296155</x:v>
      </x:c>
      <x:c r="S92" s="61" t="n">
        <x:v>8806.481518602344</x:v>
      </x:c>
      <x:c r="T92" s="61" t="n">
        <x:v>11372.375334131959</x:v>
      </x:c>
    </x:row>
    <x:row r="93">
      <x:c r="A93" s="59" t="str">
        <x:v>19|lower</x:v>
      </x:c>
      <x:c r="B93" s="59" t="str">
        <x:v>19</x:v>
      </x:c>
      <x:c r="C93" s="59" t="str">
        <x:v>Test building 3</x:v>
      </x:c>
      <x:c r="D93" s="59" t="str">
        <x:v>lower</x:v>
      </x:c>
      <x:c r="E93" s="59" t="str">
        <x:v>2023-08</x:v>
      </x:c>
      <x:c r="F93" s="61" t="n">
        <x:v>0</x:v>
      </x:c>
      <x:c r="G93" s="61" t="n">
        <x:v>0</x:v>
      </x:c>
      <x:c r="H93" s="61" t="n">
        <x:v>0</x:v>
      </x:c>
      <x:c r="I93" s="61" t="n">
        <x:v>6055.469508923824</x:v>
      </x:c>
      <x:c r="J93" s="61" t="n">
        <x:v>1647.3687636189293</x:v>
      </x:c>
      <x:c r="K93" s="61" t="n">
        <x:v>7702.838272542753</x:v>
      </x:c>
      <x:c r="L93" s="61" t="n">
        <x:v>0</x:v>
      </x:c>
      <x:c r="M93" s="61" t="n">
        <x:v>40.965575814635635</x:v>
      </x:c>
      <x:c r="N93" s="61" t="n">
        <x:v>40.965575814635635</x:v>
      </x:c>
      <x:c r="O93" s="61" t="n">
        <x:v>6077.986361468184</x:v>
      </x:c>
      <x:c r="P93" s="61" t="n">
        <x:v>1689.973512332688</x:v>
      </x:c>
      <x:c r="Q93" s="61" t="n">
        <x:v>7767.9598738008735</x:v>
      </x:c>
      <x:c r="R93" s="61" t="n">
        <x:v>2193.18122232065</x:v>
      </x:c>
      <x:c r="S93" s="61" t="n">
        <x:v>8789.147169636719</x:v>
      </x:c>
      <x:c r="T93" s="61" t="n">
        <x:v>10982.328391957368</x:v>
      </x:c>
    </x:row>
    <x:row r="94">
      <x:c r="A94" s="59" t="str">
        <x:v>19|lower</x:v>
      </x:c>
      <x:c r="B94" s="59" t="str">
        <x:v>19</x:v>
      </x:c>
      <x:c r="C94" s="59" t="str">
        <x:v>Test building 3</x:v>
      </x:c>
      <x:c r="D94" s="59" t="str">
        <x:v>lower</x:v>
      </x:c>
      <x:c r="E94" s="59" t="str">
        <x:v>2023-09</x:v>
      </x:c>
      <x:c r="F94" s="61" t="n">
        <x:v>0</x:v>
      </x:c>
      <x:c r="G94" s="61" t="n">
        <x:v>0</x:v>
      </x:c>
      <x:c r="H94" s="61" t="n">
        <x:v>0</x:v>
      </x:c>
      <x:c r="I94" s="61" t="n">
        <x:v>3999.7187645969607</x:v>
      </x:c>
      <x:c r="J94" s="61" t="n">
        <x:v>419.0496573299455</x:v>
      </x:c>
      <x:c r="K94" s="61" t="n">
        <x:v>4418.768421926906</x:v>
      </x:c>
      <x:c r="L94" s="61" t="n">
        <x:v>0</x:v>
      </x:c>
      <x:c r="M94" s="61" t="n">
        <x:v>330.0729516274782</x:v>
      </x:c>
      <x:c r="N94" s="61" t="n">
        <x:v>330.0729516274782</x:v>
      </x:c>
      <x:c r="O94" s="61" t="n">
        <x:v>4035.3746062428654</x:v>
      </x:c>
      <x:c r="P94" s="61" t="n">
        <x:v>749.5395737905878</x:v>
      </x:c>
      <x:c r="Q94" s="61" t="n">
        <x:v>4784.914180033453</x:v>
      </x:c>
      <x:c r="R94" s="61" t="n">
        <x:v>1584.6008774770878</x:v>
      </x:c>
      <x:c r="S94" s="61" t="n">
        <x:v>8516.53015786875</x:v>
      </x:c>
      <x:c r="T94" s="61" t="n">
        <x:v>10101.131035345838</x:v>
      </x:c>
    </x:row>
    <x:row r="95">
      <x:c r="A95" s="59" t="str">
        <x:v>19|lower</x:v>
      </x:c>
      <x:c r="B95" s="59" t="str">
        <x:v>19</x:v>
      </x:c>
      <x:c r="C95" s="59" t="str">
        <x:v>Test building 3</x:v>
      </x:c>
      <x:c r="D95" s="59" t="str">
        <x:v>lower</x:v>
      </x:c>
      <x:c r="E95" s="59" t="str">
        <x:v>2023-10</x:v>
      </x:c>
      <x:c r="F95" s="61" t="n">
        <x:v>340.65287814155454</x:v>
      </x:c>
      <x:c r="G95" s="61" t="n">
        <x:v>3044.027176143096</x:v>
      </x:c>
      <x:c r="H95" s="61" t="n">
        <x:v>3384.6800542846504</x:v>
      </x:c>
      <x:c r="I95" s="61" t="n">
        <x:v>0</x:v>
      </x:c>
      <x:c r="J95" s="61" t="n">
        <x:v>0</x:v>
      </x:c>
      <x:c r="K95" s="61" t="n">
        <x:v>0</x:v>
      </x:c>
      <x:c r="L95" s="61" t="n">
        <x:v>404.84364567239976</x:v>
      </x:c>
      <x:c r="M95" s="61" t="n">
        <x:v>3048.986920440638</x:v>
      </x:c>
      <x:c r="N95" s="61" t="n">
        <x:v>3453.830566113038</x:v>
      </x:c>
      <x:c r="O95" s="61" t="n">
        <x:v>0</x:v>
      </x:c>
      <x:c r="P95" s="61" t="n">
        <x:v>1.9308615352121254</x:v>
      </x:c>
      <x:c r="Q95" s="61" t="n">
        <x:v>1.9308615352121254</x:v>
      </x:c>
      <x:c r="R95" s="61" t="n">
        <x:v>977.8350250347102</x:v>
      </x:c>
      <x:c r="S95" s="61" t="n">
        <x:v>8797.814344119532</x:v>
      </x:c>
      <x:c r="T95" s="61" t="n">
        <x:v>9775.649369154244</x:v>
      </x:c>
    </x:row>
    <x:row r="96">
      <x:c r="A96" s="59" t="str">
        <x:v>19|lower</x:v>
      </x:c>
      <x:c r="B96" s="59" t="str">
        <x:v>19</x:v>
      </x:c>
      <x:c r="C96" s="59" t="str">
        <x:v>Test building 3</x:v>
      </x:c>
      <x:c r="D96" s="59" t="str">
        <x:v>lower</x:v>
      </x:c>
      <x:c r="E96" s="59" t="str">
        <x:v>2023-11</x:v>
      </x:c>
      <x:c r="F96" s="61" t="n">
        <x:v>4467.4139003607515</x:v>
      </x:c>
      <x:c r="G96" s="61" t="n">
        <x:v>4998.358415795703</x:v>
      </x:c>
      <x:c r="H96" s="61" t="n">
        <x:v>9465.772316156454</x:v>
      </x:c>
      <x:c r="I96" s="61" t="n">
        <x:v>0</x:v>
      </x:c>
      <x:c r="J96" s="61" t="n">
        <x:v>0</x:v>
      </x:c>
      <x:c r="K96" s="61" t="n">
        <x:v>0</x:v>
      </x:c>
      <x:c r="L96" s="61" t="n">
        <x:v>4510.275729195868</x:v>
      </x:c>
      <x:c r="M96" s="61" t="n">
        <x:v>5003.3319067566945</x:v>
      </x:c>
      <x:c r="N96" s="61" t="n">
        <x:v>9513.607635952563</x:v>
      </x:c>
      <x:c r="O96" s="61" t="n">
        <x:v>0</x:v>
      </x:c>
      <x:c r="P96" s="61" t="n">
        <x:v>0</x:v>
      </x:c>
      <x:c r="Q96" s="61" t="n">
        <x:v>0</x:v>
      </x:c>
      <x:c r="R96" s="61" t="n">
        <x:v>384.36670142727394</x:v>
      </x:c>
      <x:c r="S96" s="61" t="n">
        <x:v>8507.862983385938</x:v>
      </x:c>
      <x:c r="T96" s="61" t="n">
        <x:v>8892.229684813212</x:v>
      </x:c>
    </x:row>
    <x:row r="97">
      <x:c r="A97" s="59" t="str">
        <x:v>19|lower</x:v>
      </x:c>
      <x:c r="B97" s="59" t="str">
        <x:v>19</x:v>
      </x:c>
      <x:c r="C97" s="59" t="str">
        <x:v>Test building 3</x:v>
      </x:c>
      <x:c r="D97" s="59" t="str">
        <x:v>lower</x:v>
      </x:c>
      <x:c r="E97" s="59" t="str">
        <x:v>2023-12</x:v>
      </x:c>
      <x:c r="F97" s="61" t="n">
        <x:v>7973.302316405948</x:v>
      </x:c>
      <x:c r="G97" s="61" t="n">
        <x:v>6983.135661902739</x:v>
      </x:c>
      <x:c r="H97" s="61" t="n">
        <x:v>14956.437978308688</x:v>
      </x:c>
      <x:c r="I97" s="61" t="n">
        <x:v>0</x:v>
      </x:c>
      <x:c r="J97" s="61" t="n">
        <x:v>0</x:v>
      </x:c>
      <x:c r="K97" s="61" t="n">
        <x:v>0</x:v>
      </x:c>
      <x:c r="L97" s="61" t="n">
        <x:v>8017.515442341472</x:v>
      </x:c>
      <x:c r="M97" s="61" t="n">
        <x:v>6990.084055596176</x:v>
      </x:c>
      <x:c r="N97" s="61" t="n">
        <x:v>15007.599497937648</x:v>
      </x:c>
      <x:c r="O97" s="61" t="n">
        <x:v>0</x:v>
      </x:c>
      <x:c r="P97" s="61" t="n">
        <x:v>0</x:v>
      </x:c>
      <x:c r="Q97" s="61" t="n">
        <x:v>0</x:v>
      </x:c>
      <x:c r="R97" s="61" t="n">
        <x:v>297.01283920279076</x:v>
      </x:c>
      <x:c r="S97" s="61" t="n">
        <x:v>8806.481518602344</x:v>
      </x:c>
      <x:c r="T97" s="61" t="n">
        <x:v>9103.494357805135</x:v>
      </x:c>
    </x:row>
    <x:row r="98">
      <x:c r="A98" s="59" t="str">
        <x:v>19|upper</x:v>
      </x:c>
      <x:c r="B98" s="59" t="str">
        <x:v>19</x:v>
      </x:c>
      <x:c r="C98" s="59" t="str">
        <x:v>Test building 3</x:v>
      </x:c>
      <x:c r="D98" s="59" t="str">
        <x:v>upper</x:v>
      </x:c>
      <x:c r="E98" s="59" t="str">
        <x:v>2023-01</x:v>
      </x:c>
      <x:c r="F98" s="61" t="n">
        <x:v>50564.413396591226</x:v>
      </x:c>
      <x:c r="G98" s="61" t="n">
        <x:v>0</x:v>
      </x:c>
      <x:c r="H98" s="61" t="n">
        <x:v>50564.413396591226</x:v>
      </x:c>
      <x:c r="I98" s="61" t="n">
        <x:v>0</x:v>
      </x:c>
      <x:c r="J98" s="61" t="n">
        <x:v>0</x:v>
      </x:c>
      <x:c r="K98" s="61" t="n">
        <x:v>0</x:v>
      </x:c>
      <x:c r="L98" s="61" t="n">
        <x:v>50598.46067747046</x:v>
      </x:c>
      <x:c r="M98" s="61" t="n">
        <x:v>0</x:v>
      </x:c>
      <x:c r="N98" s="61" t="n">
        <x:v>50598.46067747046</x:v>
      </x:c>
      <x:c r="O98" s="61" t="n">
        <x:v>0</x:v>
      </x:c>
      <x:c r="P98" s="61" t="n">
        <x:v>0</x:v>
      </x:c>
      <x:c r="Q98" s="61" t="n">
        <x:v>0</x:v>
      </x:c>
      <x:c r="R98" s="61" t="n">
        <x:v>942.4977387186169</x:v>
      </x:c>
      <x:c r="S98" s="61" t="n">
        <x:v>939.4729768359375</x:v>
      </x:c>
      <x:c r="T98" s="61" t="n">
        <x:v>1881.9707155545545</x:v>
      </x:c>
    </x:row>
    <x:row r="99">
      <x:c r="A99" s="59" t="str">
        <x:v>19|upper</x:v>
      </x:c>
      <x:c r="B99" s="59" t="str">
        <x:v>19</x:v>
      </x:c>
      <x:c r="C99" s="59" t="str">
        <x:v>Test building 3</x:v>
      </x:c>
      <x:c r="D99" s="59" t="str">
        <x:v>upper</x:v>
      </x:c>
      <x:c r="E99" s="59" t="str">
        <x:v>2023-02</x:v>
      </x:c>
      <x:c r="F99" s="61" t="n">
        <x:v>41719.2090614455</x:v>
      </x:c>
      <x:c r="G99" s="61" t="n">
        <x:v>0</x:v>
      </x:c>
      <x:c r="H99" s="61" t="n">
        <x:v>41719.2090614455</x:v>
      </x:c>
      <x:c r="I99" s="61" t="n">
        <x:v>0</x:v>
      </x:c>
      <x:c r="J99" s="61" t="n">
        <x:v>0</x:v>
      </x:c>
      <x:c r="K99" s="61" t="n">
        <x:v>0</x:v>
      </x:c>
      <x:c r="L99" s="61" t="n">
        <x:v>41746.35635935462</x:v>
      </x:c>
      <x:c r="M99" s="61" t="n">
        <x:v>0</x:v>
      </x:c>
      <x:c r="N99" s="61" t="n">
        <x:v>41746.35635935462</x:v>
      </x:c>
      <x:c r="O99" s="61" t="n">
        <x:v>0</x:v>
      </x:c>
      <x:c r="P99" s="61" t="n">
        <x:v>0</x:v>
      </x:c>
      <x:c r="Q99" s="61" t="n">
        <x:v>0</x:v>
      </x:c>
      <x:c r="R99" s="61" t="n">
        <x:v>1392.9519614032229</x:v>
      </x:c>
      <x:c r="S99" s="61" t="n">
        <x:v>848.0068830937499</x:v>
      </x:c>
      <x:c r="T99" s="61" t="n">
        <x:v>2240.9588444969727</x:v>
      </x:c>
    </x:row>
    <x:row r="100">
      <x:c r="A100" s="59" t="str">
        <x:v>19|upper</x:v>
      </x:c>
      <x:c r="B100" s="59" t="str">
        <x:v>19</x:v>
      </x:c>
      <x:c r="C100" s="59" t="str">
        <x:v>Test building 3</x:v>
      </x:c>
      <x:c r="D100" s="59" t="str">
        <x:v>upper</x:v>
      </x:c>
      <x:c r="E100" s="59" t="str">
        <x:v>2023-03</x:v>
      </x:c>
      <x:c r="F100" s="61" t="n">
        <x:v>32002.468115536543</x:v>
      </x:c>
      <x:c r="G100" s="61" t="n">
        <x:v>0</x:v>
      </x:c>
      <x:c r="H100" s="61" t="n">
        <x:v>32002.468115536543</x:v>
      </x:c>
      <x:c r="I100" s="61" t="n">
        <x:v>0</x:v>
      </x:c>
      <x:c r="J100" s="61" t="n">
        <x:v>0</x:v>
      </x:c>
      <x:c r="K100" s="61" t="n">
        <x:v>0</x:v>
      </x:c>
      <x:c r="L100" s="61" t="n">
        <x:v>32004.995019446593</x:v>
      </x:c>
      <x:c r="M100" s="61" t="n">
        <x:v>0</x:v>
      </x:c>
      <x:c r="N100" s="61" t="n">
        <x:v>32004.995019446593</x:v>
      </x:c>
      <x:c r="O100" s="61" t="n">
        <x:v>0</x:v>
      </x:c>
      <x:c r="P100" s="61" t="n">
        <x:v>0</x:v>
      </x:c>
      <x:c r="Q100" s="61" t="n">
        <x:v>0</x:v>
      </x:c>
      <x:c r="R100" s="61" t="n">
        <x:v>4181.9915551882605</x:v>
      </x:c>
      <x:c r="S100" s="61" t="n">
        <x:v>935.2154829609376</x:v>
      </x:c>
      <x:c r="T100" s="61" t="n">
        <x:v>5117.207038149198</x:v>
      </x:c>
    </x:row>
    <x:row r="101">
      <x:c r="A101" s="59" t="str">
        <x:v>19|upper</x:v>
      </x:c>
      <x:c r="B101" s="59" t="str">
        <x:v>19</x:v>
      </x:c>
      <x:c r="C101" s="59" t="str">
        <x:v>Test building 3</x:v>
      </x:c>
      <x:c r="D101" s="59" t="str">
        <x:v>upper</x:v>
      </x:c>
      <x:c r="E101" s="59" t="str">
        <x:v>2023-04</x:v>
      </x:c>
      <x:c r="F101" s="61" t="n">
        <x:v>16946.49860008886</x:v>
      </x:c>
      <x:c r="G101" s="61" t="n">
        <x:v>0</x:v>
      </x:c>
      <x:c r="H101" s="61" t="n">
        <x:v>16946.49860008886</x:v>
      </x:c>
      <x:c r="I101" s="61" t="n">
        <x:v>0</x:v>
      </x:c>
      <x:c r="J101" s="61" t="n">
        <x:v>0</x:v>
      </x:c>
      <x:c r="K101" s="61" t="n">
        <x:v>0</x:v>
      </x:c>
      <x:c r="L101" s="61" t="n">
        <x:v>16893.505668359612</x:v>
      </x:c>
      <x:c r="M101" s="61" t="n">
        <x:v>0</x:v>
      </x:c>
      <x:c r="N101" s="61" t="n">
        <x:v>16893.505668359612</x:v>
      </x:c>
      <x:c r="O101" s="61" t="n">
        <x:v>0</x:v>
      </x:c>
      <x:c r="P101" s="61" t="n">
        <x:v>0</x:v>
      </x:c>
      <x:c r="Q101" s="61" t="n">
        <x:v>0</x:v>
      </x:c>
      <x:c r="R101" s="61" t="n">
        <x:v>5935.4625104462075</x:v>
      </x:c>
      <x:c r="S101" s="61" t="n">
        <x:v>914.660937421875</x:v>
      </x:c>
      <x:c r="T101" s="61" t="n">
        <x:v>6850.123447868083</x:v>
      </x:c>
    </x:row>
    <x:row r="102">
      <x:c r="A102" s="59" t="str">
        <x:v>19|upper</x:v>
      </x:c>
      <x:c r="B102" s="59" t="str">
        <x:v>19</x:v>
      </x:c>
      <x:c r="C102" s="59" t="str">
        <x:v>Test building 3</x:v>
      </x:c>
      <x:c r="D102" s="59" t="str">
        <x:v>upper</x:v>
      </x:c>
      <x:c r="E102" s="59" t="str">
        <x:v>2023-05</x:v>
      </x:c>
      <x:c r="F102" s="61" t="n">
        <x:v>0</x:v>
      </x:c>
      <x:c r="G102" s="61" t="n">
        <x:v>0</x:v>
      </x:c>
      <x:c r="H102" s="61" t="n">
        <x:v>0</x:v>
      </x:c>
      <x:c r="I102" s="61" t="n">
        <x:v>0</x:v>
      </x:c>
      <x:c r="J102" s="61" t="n">
        <x:v>0</x:v>
      </x:c>
      <x:c r="K102" s="61" t="n">
        <x:v>0</x:v>
      </x:c>
      <x:c r="L102" s="61" t="n">
        <x:v>0</x:v>
      </x:c>
      <x:c r="M102" s="61" t="n">
        <x:v>0</x:v>
      </x:c>
      <x:c r="N102" s="61" t="n">
        <x:v>0</x:v>
      </x:c>
      <x:c r="O102" s="61" t="n">
        <x:v>0</x:v>
      </x:c>
      <x:c r="P102" s="61" t="n">
        <x:v>0</x:v>
      </x:c>
      <x:c r="Q102" s="61" t="n">
        <x:v>0</x:v>
      </x:c>
      <x:c r="R102" s="61" t="n">
        <x:v>8233.881813699585</x:v>
      </x:c>
      <x:c r="S102" s="61" t="n">
        <x:v>935.2154829609376</x:v>
      </x:c>
      <x:c r="T102" s="61" t="n">
        <x:v>9169.097296660522</x:v>
      </x:c>
    </x:row>
    <x:row r="103">
      <x:c r="A103" s="59" t="str">
        <x:v>19|upper</x:v>
      </x:c>
      <x:c r="B103" s="59" t="str">
        <x:v>19</x:v>
      </x:c>
      <x:c r="C103" s="59" t="str">
        <x:v>Test building 3</x:v>
      </x:c>
      <x:c r="D103" s="59" t="str">
        <x:v>upper</x:v>
      </x:c>
      <x:c r="E103" s="59" t="str">
        <x:v>2023-06</x:v>
      </x:c>
      <x:c r="F103" s="61" t="n">
        <x:v>0</x:v>
      </x:c>
      <x:c r="G103" s="61" t="n">
        <x:v>0</x:v>
      </x:c>
      <x:c r="H103" s="61" t="n">
        <x:v>0</x:v>
      </x:c>
      <x:c r="I103" s="61" t="n">
        <x:v>1962.4559786520922</x:v>
      </x:c>
      <x:c r="J103" s="61" t="n">
        <x:v>0</x:v>
      </x:c>
      <x:c r="K103" s="61" t="n">
        <x:v>1962.4559786520922</x:v>
      </x:c>
      <x:c r="L103" s="61" t="n">
        <x:v>0</x:v>
      </x:c>
      <x:c r="M103" s="61" t="n">
        <x:v>0</x:v>
      </x:c>
      <x:c r="N103" s="61" t="n">
        <x:v>0</x:v>
      </x:c>
      <x:c r="O103" s="61" t="n">
        <x:v>1821.1143087562912</x:v>
      </x:c>
      <x:c r="P103" s="61" t="n">
        <x:v>0</x:v>
      </x:c>
      <x:c r="Q103" s="61" t="n">
        <x:v>1821.1143087562912</x:v>
      </x:c>
      <x:c r="R103" s="61" t="n">
        <x:v>8582.172957422576</x:v>
      </x:c>
      <x:c r="S103" s="61" t="n">
        <x:v>906.145949671875</x:v>
      </x:c>
      <x:c r="T103" s="61" t="n">
        <x:v>9488.318907094452</x:v>
      </x:c>
    </x:row>
    <x:row r="104">
      <x:c r="A104" s="59" t="str">
        <x:v>19|upper</x:v>
      </x:c>
      <x:c r="B104" s="59" t="str">
        <x:v>19</x:v>
      </x:c>
      <x:c r="C104" s="59" t="str">
        <x:v>Test building 3</x:v>
      </x:c>
      <x:c r="D104" s="59" t="str">
        <x:v>upper</x:v>
      </x:c>
      <x:c r="E104" s="59" t="str">
        <x:v>2023-07</x:v>
      </x:c>
      <x:c r="F104" s="61" t="n">
        <x:v>0</x:v>
      </x:c>
      <x:c r="G104" s="61" t="n">
        <x:v>0</x:v>
      </x:c>
      <x:c r="H104" s="61" t="n">
        <x:v>0</x:v>
      </x:c>
      <x:c r="I104" s="61" t="n">
        <x:v>5055.403147754496</x:v>
      </x:c>
      <x:c r="J104" s="61" t="n">
        <x:v>0</x:v>
      </x:c>
      <x:c r="K104" s="61" t="n">
        <x:v>5055.403147754496</x:v>
      </x:c>
      <x:c r="L104" s="61" t="n">
        <x:v>0</x:v>
      </x:c>
      <x:c r="M104" s="61" t="n">
        <x:v>0</x:v>
      </x:c>
      <x:c r="N104" s="61" t="n">
        <x:v>0</x:v>
      </x:c>
      <x:c r="O104" s="61" t="n">
        <x:v>4955.833620322509</x:v>
      </x:c>
      <x:c r="P104" s="61" t="n">
        <x:v>0</x:v>
      </x:c>
      <x:c r="Q104" s="61" t="n">
        <x:v>4955.833620322509</x:v>
      </x:c>
      <x:c r="R104" s="61" t="n">
        <x:v>9257.972359219542</x:v>
      </x:c>
      <x:c r="S104" s="61" t="n">
        <x:v>943.7304707109375</x:v>
      </x:c>
      <x:c r="T104" s="61" t="n">
        <x:v>10201.702829930478</x:v>
      </x:c>
    </x:row>
    <x:row r="105">
      <x:c r="A105" s="59" t="str">
        <x:v>19|upper</x:v>
      </x:c>
      <x:c r="B105" s="59" t="str">
        <x:v>19</x:v>
      </x:c>
      <x:c r="C105" s="59" t="str">
        <x:v>Test building 3</x:v>
      </x:c>
      <x:c r="D105" s="59" t="str">
        <x:v>upper</x:v>
      </x:c>
      <x:c r="E105" s="59" t="str">
        <x:v>2023-08</x:v>
      </x:c>
      <x:c r="F105" s="61" t="n">
        <x:v>0</x:v>
      </x:c>
      <x:c r="G105" s="61" t="n">
        <x:v>0</x:v>
      </x:c>
      <x:c r="H105" s="61" t="n">
        <x:v>0</x:v>
      </x:c>
      <x:c r="I105" s="61" t="n">
        <x:v>2688.9580738761215</x:v>
      </x:c>
      <x:c r="J105" s="61" t="n">
        <x:v>0</x:v>
      </x:c>
      <x:c r="K105" s="61" t="n">
        <x:v>2688.9580738761215</x:v>
      </x:c>
      <x:c r="L105" s="61" t="n">
        <x:v>0</x:v>
      </x:c>
      <x:c r="M105" s="61" t="n">
        <x:v>0</x:v>
      </x:c>
      <x:c r="N105" s="61" t="n">
        <x:v>0</x:v>
      </x:c>
      <x:c r="O105" s="61" t="n">
        <x:v>2563.4260140438982</x:v>
      </x:c>
      <x:c r="P105" s="61" t="n">
        <x:v>0</x:v>
      </x:c>
      <x:c r="Q105" s="61" t="n">
        <x:v>2563.4260140438982</x:v>
      </x:c>
      <x:c r="R105" s="61" t="n">
        <x:v>7772.565676606434</x:v>
      </x:c>
      <x:c r="S105" s="61" t="n">
        <x:v>935.2154829609376</x:v>
      </x:c>
      <x:c r="T105" s="61" t="n">
        <x:v>8707.78115956737</x:v>
      </x:c>
    </x:row>
    <x:row r="106">
      <x:c r="A106" s="59" t="str">
        <x:v>19|upper</x:v>
      </x:c>
      <x:c r="B106" s="59" t="str">
        <x:v>19</x:v>
      </x:c>
      <x:c r="C106" s="59" t="str">
        <x:v>Test building 3</x:v>
      </x:c>
      <x:c r="D106" s="59" t="str">
        <x:v>upper</x:v>
      </x:c>
      <x:c r="E106" s="59" t="str">
        <x:v>2023-09</x:v>
      </x:c>
      <x:c r="F106" s="61" t="n">
        <x:v>0</x:v>
      </x:c>
      <x:c r="G106" s="61" t="n">
        <x:v>0</x:v>
      </x:c>
      <x:c r="H106" s="61" t="n">
        <x:v>0</x:v>
      </x:c>
      <x:c r="I106" s="61" t="n">
        <x:v>578.7718973512419</x:v>
      </x:c>
      <x:c r="J106" s="61" t="n">
        <x:v>0</x:v>
      </x:c>
      <x:c r="K106" s="61" t="n">
        <x:v>578.7718973512419</x:v>
      </x:c>
      <x:c r="L106" s="61" t="n">
        <x:v>0</x:v>
      </x:c>
      <x:c r="M106" s="61" t="n">
        <x:v>0</x:v>
      </x:c>
      <x:c r="N106" s="61" t="n">
        <x:v>0</x:v>
      </x:c>
      <x:c r="O106" s="61" t="n">
        <x:v>507.1501136678399</x:v>
      </x:c>
      <x:c r="P106" s="61" t="n">
        <x:v>0</x:v>
      </x:c>
      <x:c r="Q106" s="61" t="n">
        <x:v>507.1501136678399</x:v>
      </x:c>
      <x:c r="R106" s="61" t="n">
        <x:v>5438.2185380931</x:v>
      </x:c>
      <x:c r="S106" s="61" t="n">
        <x:v>910.403443546875</x:v>
      </x:c>
      <x:c r="T106" s="61" t="n">
        <x:v>6348.621981639974</x:v>
      </x:c>
    </x:row>
    <x:row r="107">
      <x:c r="A107" s="59" t="str">
        <x:v>19|upper</x:v>
      </x:c>
      <x:c r="B107" s="59" t="str">
        <x:v>19</x:v>
      </x:c>
      <x:c r="C107" s="59" t="str">
        <x:v>Test building 3</x:v>
      </x:c>
      <x:c r="D107" s="59" t="str">
        <x:v>upper</x:v>
      </x:c>
      <x:c r="E107" s="59" t="str">
        <x:v>2023-10</x:v>
      </x:c>
      <x:c r="F107" s="61" t="n">
        <x:v>6469.262371000108</x:v>
      </x:c>
      <x:c r="G107" s="61" t="n">
        <x:v>0</x:v>
      </x:c>
      <x:c r="H107" s="61" t="n">
        <x:v>6469.262371000108</x:v>
      </x:c>
      <x:c r="I107" s="61" t="n">
        <x:v>0</x:v>
      </x:c>
      <x:c r="J107" s="61" t="n">
        <x:v>0</x:v>
      </x:c>
      <x:c r="K107" s="61" t="n">
        <x:v>0</x:v>
      </x:c>
      <x:c r="L107" s="61" t="n">
        <x:v>8310.318558765079</x:v>
      </x:c>
      <x:c r="M107" s="61" t="n">
        <x:v>0</x:v>
      </x:c>
      <x:c r="N107" s="61" t="n">
        <x:v>8310.318558765079</x:v>
      </x:c>
      <x:c r="O107" s="61" t="n">
        <x:v>0</x:v>
      </x:c>
      <x:c r="P107" s="61" t="n">
        <x:v>0</x:v>
      </x:c>
      <x:c r="Q107" s="61" t="n">
        <x:v>0</x:v>
      </x:c>
      <x:c r="R107" s="61" t="n">
        <x:v>3130.4139389327265</x:v>
      </x:c>
      <x:c r="S107" s="61" t="n">
        <x:v>939.4729768359375</x:v>
      </x:c>
      <x:c r="T107" s="61" t="n">
        <x:v>4069.886915768664</x:v>
      </x:c>
    </x:row>
    <x:row r="108">
      <x:c r="A108" s="59" t="str">
        <x:v>19|upper</x:v>
      </x:c>
      <x:c r="B108" s="59" t="str">
        <x:v>19</x:v>
      </x:c>
      <x:c r="C108" s="59" t="str">
        <x:v>Test building 3</x:v>
      </x:c>
      <x:c r="D108" s="59" t="str">
        <x:v>upper</x:v>
      </x:c>
      <x:c r="E108" s="59" t="str">
        <x:v>2023-11</x:v>
      </x:c>
      <x:c r="F108" s="61" t="n">
        <x:v>31208.13373671231</x:v>
      </x:c>
      <x:c r="G108" s="61" t="n">
        <x:v>0</x:v>
      </x:c>
      <x:c r="H108" s="61" t="n">
        <x:v>31208.13373671231</x:v>
      </x:c>
      <x:c r="I108" s="61" t="n">
        <x:v>0</x:v>
      </x:c>
      <x:c r="J108" s="61" t="n">
        <x:v>0</x:v>
      </x:c>
      <x:c r="K108" s="61" t="n">
        <x:v>0</x:v>
      </x:c>
      <x:c r="L108" s="61" t="n">
        <x:v>31228.011268513186</x:v>
      </x:c>
      <x:c r="M108" s="61" t="n">
        <x:v>0</x:v>
      </x:c>
      <x:c r="N108" s="61" t="n">
        <x:v>31228.011268513186</x:v>
      </x:c>
      <x:c r="O108" s="61" t="n">
        <x:v>0</x:v>
      </x:c>
      <x:c r="P108" s="61" t="n">
        <x:v>0</x:v>
      </x:c>
      <x:c r="Q108" s="61" t="n">
        <x:v>0</x:v>
      </x:c>
      <x:c r="R108" s="61" t="n">
        <x:v>972.9987457706305</x:v>
      </x:c>
      <x:c r="S108" s="61" t="n">
        <x:v>906.145949671875</x:v>
      </x:c>
      <x:c r="T108" s="61" t="n">
        <x:v>1879.1446954425057</x:v>
      </x:c>
    </x:row>
    <x:row r="109">
      <x:c r="A109" s="59" t="str">
        <x:v>19|upper</x:v>
      </x:c>
      <x:c r="B109" s="59" t="str">
        <x:v>19</x:v>
      </x:c>
      <x:c r="C109" s="59" t="str">
        <x:v>Test building 3</x:v>
      </x:c>
      <x:c r="D109" s="59" t="str">
        <x:v>upper</x:v>
      </x:c>
      <x:c r="E109" s="59" t="str">
        <x:v>2023-12</x:v>
      </x:c>
      <x:c r="F109" s="61" t="n">
        <x:v>46761.70957395311</x:v>
      </x:c>
      <x:c r="G109" s="61" t="n">
        <x:v>0</x:v>
      </x:c>
      <x:c r="H109" s="61" t="n">
        <x:v>46761.70957395311</x:v>
      </x:c>
      <x:c r="I109" s="61" t="n">
        <x:v>0</x:v>
      </x:c>
      <x:c r="J109" s="61" t="n">
        <x:v>0</x:v>
      </x:c>
      <x:c r="K109" s="61" t="n">
        <x:v>0</x:v>
      </x:c>
      <x:c r="L109" s="61" t="n">
        <x:v>46793.31581439703</x:v>
      </x:c>
      <x:c r="M109" s="61" t="n">
        <x:v>0</x:v>
      </x:c>
      <x:c r="N109" s="61" t="n">
        <x:v>46793.31581439703</x:v>
      </x:c>
      <x:c r="O109" s="61" t="n">
        <x:v>0</x:v>
      </x:c>
      <x:c r="P109" s="61" t="n">
        <x:v>0</x:v>
      </x:c>
      <x:c r="Q109" s="61" t="n">
        <x:v>0</x:v>
      </x:c>
      <x:c r="R109" s="61" t="n">
        <x:v>638.1178189958262</x:v>
      </x:c>
      <x:c r="S109" s="61" t="n">
        <x:v>943.7304707109375</x:v>
      </x:c>
      <x:c r="T109" s="61" t="n">
        <x:v>1581.8482897067636</x:v>
      </x:c>
    </x:row>
    <x:row r="110">
      <x:c r="A110" s="59" t="str">
        <x:v>20|aggregate</x:v>
      </x:c>
      <x:c r="B110" s="59" t="str">
        <x:v>20</x:v>
      </x:c>
      <x:c r="C110" s="59" t="str">
        <x:v>Test building 4</x:v>
      </x:c>
      <x:c r="D110" s="59" t="str">
        <x:v>aggregate</x:v>
      </x:c>
      <x:c r="E110" s="59" t="str">
        <x:v>2023-01</x:v>
      </x:c>
      <x:c r="F110" s="61" t="n">
        <x:v>177051.97488398998</x:v>
      </x:c>
      <x:c r="G110" s="61" t="n">
        <x:v>75614.62738834265</x:v>
      </x:c>
      <x:c r="H110" s="61" t="n">
        <x:v>252666.60227233265</x:v>
      </x:c>
      <x:c r="I110" s="61" t="n">
        <x:v>0</x:v>
      </x:c>
      <x:c r="J110" s="61" t="n">
        <x:v>0</x:v>
      </x:c>
      <x:c r="K110" s="61" t="n">
        <x:v>0</x:v>
      </x:c>
      <x:c r="L110" s="61" t="n">
        <x:v>177114.72309077642</x:v>
      </x:c>
      <x:c r="M110" s="61" t="n">
        <x:v>75689.86582355495</x:v>
      </x:c>
      <x:c r="N110" s="61" t="n">
        <x:v>252804.58891433134</x:v>
      </x:c>
      <x:c r="O110" s="61" t="n">
        <x:v>0</x:v>
      </x:c>
      <x:c r="P110" s="61" t="n">
        <x:v>0</x:v>
      </x:c>
      <x:c r="Q110" s="61" t="n">
        <x:v>0</x:v>
      </x:c>
      <x:c r="R110" s="61" t="n">
        <x:v>6895.165255658629</x:v>
      </x:c>
      <x:c r="S110" s="61" t="n">
        <x:v>8394.49528674707</x:v>
      </x:c>
      <x:c r="T110" s="61" t="n">
        <x:v>15289.660542405698</x:v>
      </x:c>
    </x:row>
    <x:row r="111">
      <x:c r="A111" s="59" t="str">
        <x:v>20|aggregate</x:v>
      </x:c>
      <x:c r="B111" s="59" t="str">
        <x:v>20</x:v>
      </x:c>
      <x:c r="C111" s="59" t="str">
        <x:v>Test building 4</x:v>
      </x:c>
      <x:c r="D111" s="59" t="str">
        <x:v>aggregate</x:v>
      </x:c>
      <x:c r="E111" s="59" t="str">
        <x:v>2023-02</x:v>
      </x:c>
      <x:c r="F111" s="61" t="n">
        <x:v>142578.68124958055</x:v>
      </x:c>
      <x:c r="G111" s="61" t="n">
        <x:v>64473.54810018708</x:v>
      </x:c>
      <x:c r="H111" s="61" t="n">
        <x:v>207052.22934976761</x:v>
      </x:c>
      <x:c r="I111" s="61" t="n">
        <x:v>0</x:v>
      </x:c>
      <x:c r="J111" s="61" t="n">
        <x:v>0</x:v>
      </x:c>
      <x:c r="K111" s="61" t="n">
        <x:v>0</x:v>
      </x:c>
      <x:c r="L111" s="61" t="n">
        <x:v>142629.78146356836</x:v>
      </x:c>
      <x:c r="M111" s="61" t="n">
        <x:v>64537.70088436638</x:v>
      </x:c>
      <x:c r="N111" s="61" t="n">
        <x:v>207167.48234793474</x:v>
      </x:c>
      <x:c r="O111" s="61" t="n">
        <x:v>0</x:v>
      </x:c>
      <x:c r="P111" s="61" t="n">
        <x:v>0</x:v>
      </x:c>
      <x:c r="Q111" s="61" t="n">
        <x:v>0</x:v>
      </x:c>
      <x:c r="R111" s="61" t="n">
        <x:v>9860.313456835933</x:v>
      </x:c>
      <x:c r="S111" s="61" t="n">
        <x:v>7675.958884267578</x:v>
      </x:c>
      <x:c r="T111" s="61" t="n">
        <x:v>17536.27234110351</x:v>
      </x:c>
    </x:row>
    <x:row r="112">
      <x:c r="A112" s="59" t="str">
        <x:v>20|aggregate</x:v>
      </x:c>
      <x:c r="B112" s="59" t="str">
        <x:v>20</x:v>
      </x:c>
      <x:c r="C112" s="59" t="str">
        <x:v>Test building 4</x:v>
      </x:c>
      <x:c r="D112" s="59" t="str">
        <x:v>aggregate</x:v>
      </x:c>
      <x:c r="E112" s="59" t="str">
        <x:v>2023-03</x:v>
      </x:c>
      <x:c r="F112" s="61" t="n">
        <x:v>97026.58803052947</x:v>
      </x:c>
      <x:c r="G112" s="61" t="n">
        <x:v>58340.568704993864</x:v>
      </x:c>
      <x:c r="H112" s="61" t="n">
        <x:v>155367.15673552334</x:v>
      </x:c>
      <x:c r="I112" s="61" t="n">
        <x:v>0</x:v>
      </x:c>
      <x:c r="J112" s="61" t="n">
        <x:v>0</x:v>
      </x:c>
      <x:c r="K112" s="61" t="n">
        <x:v>0</x:v>
      </x:c>
      <x:c r="L112" s="61" t="n">
        <x:v>97213.23404488177</x:v>
      </x:c>
      <x:c r="M112" s="61" t="n">
        <x:v>58398.619022113264</x:v>
      </x:c>
      <x:c r="N112" s="61" t="n">
        <x:v>155611.85306699504</x:v>
      </x:c>
      <x:c r="O112" s="61" t="n">
        <x:v>0</x:v>
      </x:c>
      <x:c r="P112" s="61" t="n">
        <x:v>0</x:v>
      </x:c>
      <x:c r="Q112" s="61" t="n">
        <x:v>0</x:v>
      </x:c>
      <x:c r="R112" s="61" t="n">
        <x:v>25523.682884405633</x:v>
      </x:c>
      <x:c r="S112" s="61" t="n">
        <x:v>8681.69853527539</x:v>
      </x:c>
      <x:c r="T112" s="61" t="n">
        <x:v>34205.38141968102</x:v>
      </x:c>
    </x:row>
    <x:row r="113">
      <x:c r="A113" s="59" t="str">
        <x:v>20|aggregate</x:v>
      </x:c>
      <x:c r="B113" s="59" t="str">
        <x:v>20</x:v>
      </x:c>
      <x:c r="C113" s="59" t="str">
        <x:v>Test building 4</x:v>
      </x:c>
      <x:c r="D113" s="59" t="str">
        <x:v>aggregate</x:v>
      </x:c>
      <x:c r="E113" s="59" t="str">
        <x:v>2023-04</x:v>
      </x:c>
      <x:c r="F113" s="61" t="n">
        <x:v>37822.337681517005</x:v>
      </x:c>
      <x:c r="G113" s="61" t="n">
        <x:v>42441.36274659389</x:v>
      </x:c>
      <x:c r="H113" s="61" t="n">
        <x:v>80263.7004281109</x:v>
      </x:c>
      <x:c r="I113" s="61" t="n">
        <x:v>0</x:v>
      </x:c>
      <x:c r="J113" s="61" t="n">
        <x:v>0</x:v>
      </x:c>
      <x:c r="K113" s="61" t="n">
        <x:v>0</x:v>
      </x:c>
      <x:c r="L113" s="61" t="n">
        <x:v>39840.98334880834</x:v>
      </x:c>
      <x:c r="M113" s="61" t="n">
        <x:v>42483.592958282046</x:v>
      </x:c>
      <x:c r="N113" s="61" t="n">
        <x:v>82324.57630709038</x:v>
      </x:c>
      <x:c r="O113" s="61" t="n">
        <x:v>0</x:v>
      </x:c>
      <x:c r="P113" s="61" t="n">
        <x:v>0</x:v>
      </x:c>
      <x:c r="Q113" s="61" t="n">
        <x:v>0</x:v>
      </x:c>
      <x:c r="R113" s="61" t="n">
        <x:v>34415.33902974461</x:v>
      </x:c>
      <x:c r="S113" s="61" t="n">
        <x:v>7918.715853654785</x:v>
      </x:c>
      <x:c r="T113" s="61" t="n">
        <x:v>42334.054883399396</x:v>
      </x:c>
    </x:row>
    <x:row r="114">
      <x:c r="A114" s="59" t="str">
        <x:v>20|aggregate</x:v>
      </x:c>
      <x:c r="B114" s="59" t="str">
        <x:v>20</x:v>
      </x:c>
      <x:c r="C114" s="59" t="str">
        <x:v>Test building 4</x:v>
      </x:c>
      <x:c r="D114" s="59" t="str">
        <x:v>aggregate</x:v>
      </x:c>
      <x:c r="E114" s="59" t="str">
        <x:v>2023-05</x:v>
      </x:c>
      <x:c r="F114" s="61" t="n">
        <x:v>0</x:v>
      </x:c>
      <x:c r="G114" s="61" t="n">
        <x:v>19463.36961758964</x:v>
      </x:c>
      <x:c r="H114" s="61" t="n">
        <x:v>19463.36961758964</x:v>
      </x:c>
      <x:c r="I114" s="61" t="n">
        <x:v>0</x:v>
      </x:c>
      <x:c r="J114" s="61" t="n">
        <x:v>0</x:v>
      </x:c>
      <x:c r="K114" s="61" t="n">
        <x:v>0</x:v>
      </x:c>
      <x:c r="L114" s="61" t="n">
        <x:v>0</x:v>
      </x:c>
      <x:c r="M114" s="61" t="n">
        <x:v>19541.87952506449</x:v>
      </x:c>
      <x:c r="N114" s="61" t="n">
        <x:v>19541.87952506449</x:v>
      </x:c>
      <x:c r="O114" s="61" t="n">
        <x:v>0</x:v>
      </x:c>
      <x:c r="P114" s="61" t="n">
        <x:v>59.143370541937415</x:v>
      </x:c>
      <x:c r="Q114" s="61" t="n">
        <x:v>59.143370541937415</x:v>
      </x:c>
      <x:c r="R114" s="61" t="n">
        <x:v>45873.97892453612</x:v>
      </x:c>
      <x:c r="S114" s="61" t="n">
        <x:v>8681.69853527539</x:v>
      </x:c>
      <x:c r="T114" s="61" t="n">
        <x:v>54555.67745981149</x:v>
      </x:c>
    </x:row>
    <x:row r="115">
      <x:c r="A115" s="59" t="str">
        <x:v>20|aggregate</x:v>
      </x:c>
      <x:c r="B115" s="59" t="str">
        <x:v>20</x:v>
      </x:c>
      <x:c r="C115" s="59" t="str">
        <x:v>Test building 4</x:v>
      </x:c>
      <x:c r="D115" s="59" t="str">
        <x:v>aggregate</x:v>
      </x:c>
      <x:c r="E115" s="59" t="str">
        <x:v>2023-06</x:v>
      </x:c>
      <x:c r="F115" s="61" t="n">
        <x:v>0</x:v>
      </x:c>
      <x:c r="G115" s="61" t="n">
        <x:v>0</x:v>
      </x:c>
      <x:c r="H115" s="61" t="n">
        <x:v>0</x:v>
      </x:c>
      <x:c r="I115" s="61" t="n">
        <x:v>6484.88899683841</x:v>
      </x:c>
      <x:c r="J115" s="61" t="n">
        <x:v>7389.662960311731</x:v>
      </x:c>
      <x:c r="K115" s="61" t="n">
        <x:v>13874.55195715014</x:v>
      </x:c>
      <x:c r="L115" s="61" t="n">
        <x:v>0</x:v>
      </x:c>
      <x:c r="M115" s="61" t="n">
        <x:v>2163.737463826575</x:v>
      </x:c>
      <x:c r="N115" s="61" t="n">
        <x:v>2163.737463826575</x:v>
      </x:c>
      <x:c r="O115" s="61" t="n">
        <x:v>6602.420526826422</x:v>
      </x:c>
      <x:c r="P115" s="61" t="n">
        <x:v>9560.753322606282</x:v>
      </x:c>
      <x:c r="Q115" s="61" t="n">
        <x:v>16163.173849432704</x:v>
      </x:c>
      <x:c r="R115" s="61" t="n">
        <x:v>47086.438989419505</x:v>
      </x:c>
      <x:c r="S115" s="61" t="n">
        <x:v>8346.451984939453</x:v>
      </x:c>
      <x:c r="T115" s="61" t="n">
        <x:v>55432.89097435896</x:v>
      </x:c>
    </x:row>
    <x:row r="116">
      <x:c r="A116" s="59" t="str">
        <x:v>20|aggregate</x:v>
      </x:c>
      <x:c r="B116" s="59" t="str">
        <x:v>20</x:v>
      </x:c>
      <x:c r="C116" s="59" t="str">
        <x:v>Test building 4</x:v>
      </x:c>
      <x:c r="D116" s="59" t="str">
        <x:v>aggregate</x:v>
      </x:c>
      <x:c r="E116" s="59" t="str">
        <x:v>2023-07</x:v>
      </x:c>
      <x:c r="F116" s="61" t="n">
        <x:v>0</x:v>
      </x:c>
      <x:c r="G116" s="61" t="n">
        <x:v>0</x:v>
      </x:c>
      <x:c r="H116" s="61" t="n">
        <x:v>0</x:v>
      </x:c>
      <x:c r="I116" s="61" t="n">
        <x:v>18017.89712021516</x:v>
      </x:c>
      <x:c r="J116" s="61" t="n">
        <x:v>18003.52599691668</x:v>
      </x:c>
      <x:c r="K116" s="61" t="n">
        <x:v>36021.42311713184</x:v>
      </x:c>
      <x:c r="L116" s="61" t="n">
        <x:v>0</x:v>
      </x:c>
      <x:c r="M116" s="61" t="n">
        <x:v>473.1469643355</x:v>
      </x:c>
      <x:c r="N116" s="61" t="n">
        <x:v>473.1469643355</x:v>
      </x:c>
      <x:c r="O116" s="61" t="n">
        <x:v>17595.723462193462</x:v>
      </x:c>
      <x:c r="P116" s="61" t="n">
        <x:v>18494.586917468027</x:v>
      </x:c>
      <x:c r="Q116" s="61" t="n">
        <x:v>36090.31037966149</x:v>
      </x:c>
      <x:c r="R116" s="61" t="n">
        <x:v>50913.12135392887</x:v>
      </x:c>
      <x:c r="S116" s="61" t="n">
        <x:v>8253.962403990721</x:v>
      </x:c>
      <x:c r="T116" s="61" t="n">
        <x:v>59167.083757919594</x:v>
      </x:c>
    </x:row>
    <x:row r="117">
      <x:c r="A117" s="59" t="str">
        <x:v>20|aggregate</x:v>
      </x:c>
      <x:c r="B117" s="59" t="str">
        <x:v>20</x:v>
      </x:c>
      <x:c r="C117" s="59" t="str">
        <x:v>Test building 4</x:v>
      </x:c>
      <x:c r="D117" s="59" t="str">
        <x:v>aggregate</x:v>
      </x:c>
      <x:c r="E117" s="59" t="str">
        <x:v>2023-08</x:v>
      </x:c>
      <x:c r="F117" s="61" t="n">
        <x:v>0</x:v>
      </x:c>
      <x:c r="G117" s="61" t="n">
        <x:v>0</x:v>
      </x:c>
      <x:c r="H117" s="61" t="n">
        <x:v>0</x:v>
      </x:c>
      <x:c r="I117" s="61" t="n">
        <x:v>9610.044539255789</x:v>
      </x:c>
      <x:c r="J117" s="61" t="n">
        <x:v>14361.643390300173</x:v>
      </x:c>
      <x:c r="K117" s="61" t="n">
        <x:v>23971.687929555963</x:v>
      </x:c>
      <x:c r="L117" s="61" t="n">
        <x:v>0</x:v>
      </x:c>
      <x:c r="M117" s="61" t="n">
        <x:v>357.134968272469</x:v>
      </x:c>
      <x:c r="N117" s="61" t="n">
        <x:v>357.134968272469</x:v>
      </x:c>
      <x:c r="O117" s="61" t="n">
        <x:v>9403.293140631764</x:v>
      </x:c>
      <x:c r="P117" s="61" t="n">
        <x:v>14733.068551000802</x:v>
      </x:c>
      <x:c r="Q117" s="61" t="n">
        <x:v>24136.361691632566</x:v>
      </x:c>
      <x:c r="R117" s="61" t="n">
        <x:v>44178.05422353259</x:v>
      </x:c>
      <x:c r="S117" s="61" t="n">
        <x:v>8681.69853527539</x:v>
      </x:c>
      <x:c r="T117" s="61" t="n">
        <x:v>52859.75275880798</x:v>
      </x:c>
    </x:row>
    <x:row r="118">
      <x:c r="A118" s="59" t="str">
        <x:v>20|aggregate</x:v>
      </x:c>
      <x:c r="B118" s="59" t="str">
        <x:v>20</x:v>
      </x:c>
      <x:c r="C118" s="59" t="str">
        <x:v>Test building 4</x:v>
      </x:c>
      <x:c r="D118" s="59" t="str">
        <x:v>aggregate</x:v>
      </x:c>
      <x:c r="E118" s="59" t="str">
        <x:v>2023-09</x:v>
      </x:c>
      <x:c r="F118" s="61" t="n">
        <x:v>0</x:v>
      </x:c>
      <x:c r="G118" s="61" t="n">
        <x:v>0</x:v>
      </x:c>
      <x:c r="H118" s="61" t="n">
        <x:v>0</x:v>
      </x:c>
      <x:c r="I118" s="61" t="n">
        <x:v>1735.68042385437</x:v>
      </x:c>
      <x:c r="J118" s="61" t="n">
        <x:v>3653.2450258309673</x:v>
      </x:c>
      <x:c r="K118" s="61" t="n">
        <x:v>5388.925449685337</x:v>
      </x:c>
      <x:c r="L118" s="61" t="n">
        <x:v>0</x:v>
      </x:c>
      <x:c r="M118" s="61" t="n">
        <x:v>2877.5524513673445</x:v>
      </x:c>
      <x:c r="N118" s="61" t="n">
        <x:v>2877.5524513673445</x:v>
      </x:c>
      <x:c r="O118" s="61" t="n">
        <x:v>1653.703341759366</x:v>
      </x:c>
      <x:c r="P118" s="61" t="n">
        <x:v>6534.432546875757</x:v>
      </x:c>
      <x:c r="Q118" s="61" t="n">
        <x:v>8188.135888635122</x:v>
      </x:c>
      <x:c r="R118" s="61" t="n">
        <x:v>32450.202103898853</x:v>
      </x:c>
      <x:c r="S118" s="61" t="n">
        <x:v>8205.919102183105</x:v>
      </x:c>
      <x:c r="T118" s="61" t="n">
        <x:v>40656.12120608196</x:v>
      </x:c>
    </x:row>
    <x:row r="119">
      <x:c r="A119" s="59" t="str">
        <x:v>20|aggregate</x:v>
      </x:c>
      <x:c r="B119" s="59" t="str">
        <x:v>20</x:v>
      </x:c>
      <x:c r="C119" s="59" t="str">
        <x:v>Test building 4</x:v>
      </x:c>
      <x:c r="D119" s="59" t="str">
        <x:v>aggregate</x:v>
      </x:c>
      <x:c r="E119" s="59" t="str">
        <x:v>2023-10</x:v>
      </x:c>
      <x:c r="F119" s="61" t="n">
        <x:v>8685.269385136071</x:v>
      </x:c>
      <x:c r="G119" s="61" t="n">
        <x:v>34391.31598153814</x:v>
      </x:c>
      <x:c r="H119" s="61" t="n">
        <x:v>43076.585366674204</x:v>
      </x:c>
      <x:c r="I119" s="61" t="n">
        <x:v>0</x:v>
      </x:c>
      <x:c r="J119" s="61" t="n">
        <x:v>0</x:v>
      </x:c>
      <x:c r="K119" s="61" t="n">
        <x:v>0</x:v>
      </x:c>
      <x:c r="L119" s="61" t="n">
        <x:v>14298.843727566551</x:v>
      </x:c>
      <x:c r="M119" s="61" t="n">
        <x:v>34425.536196445144</x:v>
      </x:c>
      <x:c r="N119" s="61" t="n">
        <x:v>48724.37992401169</x:v>
      </x:c>
      <x:c r="O119" s="61" t="n">
        <x:v>0</x:v>
      </x:c>
      <x:c r="P119" s="61" t="n">
        <x:v>0</x:v>
      </x:c>
      <x:c r="Q119" s="61" t="n">
        <x:v>0</x:v>
      </x:c>
      <x:c r="R119" s="61" t="n">
        <x:v>20135.82899048512</x:v>
      </x:c>
      <x:c r="S119" s="61" t="n">
        <x:v>8394.49528674707</x:v>
      </x:c>
      <x:c r="T119" s="61" t="n">
        <x:v>28530.32427723219</x:v>
      </x:c>
    </x:row>
    <x:row r="120">
      <x:c r="A120" s="59" t="str">
        <x:v>20|aggregate</x:v>
      </x:c>
      <x:c r="B120" s="59" t="str">
        <x:v>20</x:v>
      </x:c>
      <x:c r="C120" s="59" t="str">
        <x:v>Test building 4</x:v>
      </x:c>
      <x:c r="D120" s="59" t="str">
        <x:v>aggregate</x:v>
      </x:c>
      <x:c r="E120" s="59" t="str">
        <x:v>2023-11</x:v>
      </x:c>
      <x:c r="F120" s="61" t="n">
        <x:v>100265.09685827924</x:v>
      </x:c>
      <x:c r="G120" s="61" t="n">
        <x:v>53392.4623854838</x:v>
      </x:c>
      <x:c r="H120" s="61" t="n">
        <x:v>153657.55924376304</x:v>
      </x:c>
      <x:c r="I120" s="61" t="n">
        <x:v>0</x:v>
      </x:c>
      <x:c r="J120" s="61" t="n">
        <x:v>0</x:v>
      </x:c>
      <x:c r="K120" s="61" t="n">
        <x:v>0</x:v>
      </x:c>
      <x:c r="L120" s="61" t="n">
        <x:v>100300.82718902145</x:v>
      </x:c>
      <x:c r="M120" s="61" t="n">
        <x:v>53445.58921372809</x:v>
      </x:c>
      <x:c r="N120" s="61" t="n">
        <x:v>153746.41640274954</x:v>
      </x:c>
      <x:c r="O120" s="61" t="n">
        <x:v>0</x:v>
      </x:c>
      <x:c r="P120" s="61" t="n">
        <x:v>0</x:v>
      </x:c>
      <x:c r="Q120" s="61" t="n">
        <x:v>0</x:v>
      </x:c>
      <x:c r="R120" s="61" t="n">
        <x:v>7041.520502632536</x:v>
      </x:c>
      <x:c r="S120" s="61" t="n">
        <x:v>8346.451984939453</x:v>
      </x:c>
      <x:c r="T120" s="61" t="n">
        <x:v>15387.972487571988</x:v>
      </x:c>
    </x:row>
    <x:row r="121">
      <x:c r="A121" s="59" t="str">
        <x:v>20|aggregate</x:v>
      </x:c>
      <x:c r="B121" s="59" t="str">
        <x:v>20</x:v>
      </x:c>
      <x:c r="C121" s="59" t="str">
        <x:v>Test building 4</x:v>
      </x:c>
      <x:c r="D121" s="59" t="str">
        <x:v>aggregate</x:v>
      </x:c>
      <x:c r="E121" s="59" t="str">
        <x:v>2023-12</x:v>
      </x:c>
      <x:c r="F121" s="61" t="n">
        <x:v>162632.05528640506</x:v>
      </x:c>
      <x:c r="G121" s="61" t="n">
        <x:v>71022.84653539785</x:v>
      </x:c>
      <x:c r="H121" s="61" t="n">
        <x:v>233654.9018218029</x:v>
      </x:c>
      <x:c r="I121" s="61" t="n">
        <x:v>0</x:v>
      </x:c>
      <x:c r="J121" s="61" t="n">
        <x:v>0</x:v>
      </x:c>
      <x:c r="K121" s="61" t="n">
        <x:v>0</x:v>
      </x:c>
      <x:c r="L121" s="61" t="n">
        <x:v>162688.7248572989</x:v>
      </x:c>
      <x:c r="M121" s="61" t="n">
        <x:v>71093.51603443806</x:v>
      </x:c>
      <x:c r="N121" s="61" t="n">
        <x:v>233782.24089173693</x:v>
      </x:c>
      <x:c r="O121" s="61" t="n">
        <x:v>0</x:v>
      </x:c>
      <x:c r="P121" s="61" t="n">
        <x:v>0</x:v>
      </x:c>
      <x:c r="Q121" s="61" t="n">
        <x:v>0</x:v>
      </x:c>
      <x:c r="R121" s="61" t="n">
        <x:v>5088.074960565295</x:v>
      </x:c>
      <x:c r="S121" s="61" t="n">
        <x:v>8253.962403990721</x:v>
      </x:c>
      <x:c r="T121" s="61" t="n">
        <x:v>13342.037364556018</x:v>
      </x:c>
    </x:row>
    <x:row r="122">
      <x:c r="A122" s="59" t="str">
        <x:v>20|lower</x:v>
      </x:c>
      <x:c r="B122" s="59" t="str">
        <x:v>20</x:v>
      </x:c>
      <x:c r="C122" s="59" t="str">
        <x:v>Test building 4</x:v>
      </x:c>
      <x:c r="D122" s="59" t="str">
        <x:v>lower</x:v>
      </x:c>
      <x:c r="E122" s="59" t="str">
        <x:v>2023-01</x:v>
      </x:c>
      <x:c r="F122" s="61" t="n">
        <x:v>64749.84216938936</x:v>
      </x:c>
      <x:c r="G122" s="61" t="n">
        <x:v>0</x:v>
      </x:c>
      <x:c r="H122" s="61" t="n">
        <x:v>64749.84216938936</x:v>
      </x:c>
      <x:c r="I122" s="61" t="n">
        <x:v>0</x:v>
      </x:c>
      <x:c r="J122" s="61" t="n">
        <x:v>0</x:v>
      </x:c>
      <x:c r="K122" s="61" t="n">
        <x:v>0</x:v>
      </x:c>
      <x:c r="L122" s="61" t="n">
        <x:v>64776.30437482904</x:v>
      </x:c>
      <x:c r="M122" s="61" t="n">
        <x:v>0</x:v>
      </x:c>
      <x:c r="N122" s="61" t="n">
        <x:v>64776.30437482904</x:v>
      </x:c>
      <x:c r="O122" s="61" t="n">
        <x:v>0</x:v>
      </x:c>
      <x:c r="P122" s="61" t="n">
        <x:v>0</x:v>
      </x:c>
      <x:c r="Q122" s="61" t="n">
        <x:v>0</x:v>
      </x:c>
      <x:c r="R122" s="61" t="n">
        <x:v>968.8535189341023</x:v>
      </x:c>
      <x:c r="S122" s="61" t="n">
        <x:v>1354.3177296923827</x:v>
      </x:c>
      <x:c r="T122" s="61" t="n">
        <x:v>2323.171248626485</x:v>
      </x:c>
    </x:row>
    <x:row r="123">
      <x:c r="A123" s="59" t="str">
        <x:v>20|lower</x:v>
      </x:c>
      <x:c r="B123" s="59" t="str">
        <x:v>20</x:v>
      </x:c>
      <x:c r="C123" s="59" t="str">
        <x:v>Test building 4</x:v>
      </x:c>
      <x:c r="D123" s="59" t="str">
        <x:v>lower</x:v>
      </x:c>
      <x:c r="E123" s="59" t="str">
        <x:v>2023-02</x:v>
      </x:c>
      <x:c r="F123" s="61" t="n">
        <x:v>53711.2755596481</x:v>
      </x:c>
      <x:c r="G123" s="61" t="n">
        <x:v>0</x:v>
      </x:c>
      <x:c r="H123" s="61" t="n">
        <x:v>53711.2755596481</x:v>
      </x:c>
      <x:c r="I123" s="61" t="n">
        <x:v>0</x:v>
      </x:c>
      <x:c r="J123" s="61" t="n">
        <x:v>0</x:v>
      </x:c>
      <x:c r="K123" s="61" t="n">
        <x:v>0</x:v>
      </x:c>
      <x:c r="L123" s="61" t="n">
        <x:v>53733.83275482883</x:v>
      </x:c>
      <x:c r="M123" s="61" t="n">
        <x:v>0</x:v>
      </x:c>
      <x:c r="N123" s="61" t="n">
        <x:v>53733.83275482883</x:v>
      </x:c>
      <x:c r="O123" s="61" t="n">
        <x:v>0</x:v>
      </x:c>
      <x:c r="P123" s="61" t="n">
        <x:v>0</x:v>
      </x:c>
      <x:c r="Q123" s="61" t="n">
        <x:v>0</x:v>
      </x:c>
      <x:c r="R123" s="61" t="n">
        <x:v>1280.445451831947</x:v>
      </x:c>
      <x:c r="S123" s="61" t="n">
        <x:v>1222.4627903007813</x:v>
      </x:c>
      <x:c r="T123" s="61" t="n">
        <x:v>2502.908242132728</x:v>
      </x:c>
    </x:row>
    <x:row r="124">
      <x:c r="A124" s="59" t="str">
        <x:v>20|lower</x:v>
      </x:c>
      <x:c r="B124" s="59" t="str">
        <x:v>20</x:v>
      </x:c>
      <x:c r="C124" s="59" t="str">
        <x:v>Test building 4</x:v>
      </x:c>
      <x:c r="D124" s="59" t="str">
        <x:v>lower</x:v>
      </x:c>
      <x:c r="E124" s="59" t="str">
        <x:v>2023-03</x:v>
      </x:c>
      <x:c r="F124" s="61" t="n">
        <x:v>43032.88228266131</x:v>
      </x:c>
      <x:c r="G124" s="61" t="n">
        <x:v>0</x:v>
      </x:c>
      <x:c r="H124" s="61" t="n">
        <x:v>43032.88228266131</x:v>
      </x:c>
      <x:c r="I124" s="61" t="n">
        <x:v>0</x:v>
      </x:c>
      <x:c r="J124" s="61" t="n">
        <x:v>0</x:v>
      </x:c>
      <x:c r="K124" s="61" t="n">
        <x:v>0</x:v>
      </x:c>
      <x:c r="L124" s="61" t="n">
        <x:v>43056.409997114504</x:v>
      </x:c>
      <x:c r="M124" s="61" t="n">
        <x:v>0</x:v>
      </x:c>
      <x:c r="N124" s="61" t="n">
        <x:v>43056.409997114504</x:v>
      </x:c>
      <x:c r="O124" s="61" t="n">
        <x:v>0</x:v>
      </x:c>
      <x:c r="P124" s="61" t="n">
        <x:v>0</x:v>
      </x:c>
      <x:c r="Q124" s="61" t="n">
        <x:v>0</x:v>
      </x:c>
      <x:c r="R124" s="61" t="n">
        <x:v>2964.5959004089195</x:v>
      </x:c>
      <x:c r="S124" s="61" t="n">
        <x:v>1348.1802466767576</x:v>
      </x:c>
      <x:c r="T124" s="61" t="n">
        <x:v>4312.776147085678</x:v>
      </x:c>
    </x:row>
    <x:row r="125">
      <x:c r="A125" s="59" t="str">
        <x:v>20|lower</x:v>
      </x:c>
      <x:c r="B125" s="59" t="str">
        <x:v>20</x:v>
      </x:c>
      <x:c r="C125" s="59" t="str">
        <x:v>Test building 4</x:v>
      </x:c>
      <x:c r="D125" s="59" t="str">
        <x:v>lower</x:v>
      </x:c>
      <x:c r="E125" s="59" t="str">
        <x:v>2023-04</x:v>
      </x:c>
      <x:c r="F125" s="61" t="n">
        <x:v>24662.26493674647</x:v>
      </x:c>
      <x:c r="G125" s="61" t="n">
        <x:v>0</x:v>
      </x:c>
      <x:c r="H125" s="61" t="n">
        <x:v>24662.26493674647</x:v>
      </x:c>
      <x:c r="I125" s="61" t="n">
        <x:v>0</x:v>
      </x:c>
      <x:c r="J125" s="61" t="n">
        <x:v>0</x:v>
      </x:c>
      <x:c r="K125" s="61" t="n">
        <x:v>0</x:v>
      </x:c>
      <x:c r="L125" s="61" t="n">
        <x:v>24693.896790013077</x:v>
      </x:c>
      <x:c r="M125" s="61" t="n">
        <x:v>0</x:v>
      </x:c>
      <x:c r="N125" s="61" t="n">
        <x:v>24693.896790013077</x:v>
      </x:c>
      <x:c r="O125" s="61" t="n">
        <x:v>0</x:v>
      </x:c>
      <x:c r="P125" s="61" t="n">
        <x:v>0</x:v>
      </x:c>
      <x:c r="Q125" s="61" t="n">
        <x:v>0</x:v>
      </x:c>
      <x:c r="R125" s="61" t="n">
        <x:v>3863.463900017498</x:v>
      </x:c>
      <x:c r="S125" s="61" t="n">
        <x:v>1318.5493939160156</x:v>
      </x:c>
      <x:c r="T125" s="61" t="n">
        <x:v>5182.0132939335135</x:v>
      </x:c>
    </x:row>
    <x:row r="126">
      <x:c r="A126" s="59" t="str">
        <x:v>20|lower</x:v>
      </x:c>
      <x:c r="B126" s="59" t="str">
        <x:v>20</x:v>
      </x:c>
      <x:c r="C126" s="59" t="str">
        <x:v>Test building 4</x:v>
      </x:c>
      <x:c r="D126" s="59" t="str">
        <x:v>lower</x:v>
      </x:c>
      <x:c r="E126" s="59" t="str">
        <x:v>2023-05</x:v>
      </x:c>
      <x:c r="F126" s="61" t="n">
        <x:v>0</x:v>
      </x:c>
      <x:c r="G126" s="61" t="n">
        <x:v>0</x:v>
      </x:c>
      <x:c r="H126" s="61" t="n">
        <x:v>0</x:v>
      </x:c>
      <x:c r="I126" s="61" t="n">
        <x:v>0</x:v>
      </x:c>
      <x:c r="J126" s="61" t="n">
        <x:v>0</x:v>
      </x:c>
      <x:c r="K126" s="61" t="n">
        <x:v>0</x:v>
      </x:c>
      <x:c r="L126" s="61" t="n">
        <x:v>0</x:v>
      </x:c>
      <x:c r="M126" s="61" t="n">
        <x:v>0</x:v>
      </x:c>
      <x:c r="N126" s="61" t="n">
        <x:v>0</x:v>
      </x:c>
      <x:c r="O126" s="61" t="n">
        <x:v>0</x:v>
      </x:c>
      <x:c r="P126" s="61" t="n">
        <x:v>0</x:v>
      </x:c>
      <x:c r="Q126" s="61" t="n">
        <x:v>0</x:v>
      </x:c>
      <x:c r="R126" s="61" t="n">
        <x:v>5022.1847739057475</x:v>
      </x:c>
      <x:c r="S126" s="61" t="n">
        <x:v>1348.1802466767576</x:v>
      </x:c>
      <x:c r="T126" s="61" t="n">
        <x:v>6370.365020582505</x:v>
      </x:c>
    </x:row>
    <x:row r="127">
      <x:c r="A127" s="59" t="str">
        <x:v>20|lower</x:v>
      </x:c>
      <x:c r="B127" s="59" t="str">
        <x:v>20</x:v>
      </x:c>
      <x:c r="C127" s="59" t="str">
        <x:v>Test building 4</x:v>
      </x:c>
      <x:c r="D127" s="59" t="str">
        <x:v>lower</x:v>
      </x:c>
      <x:c r="E127" s="59" t="str">
        <x:v>2023-06</x:v>
      </x:c>
      <x:c r="F127" s="61" t="n">
        <x:v>0</x:v>
      </x:c>
      <x:c r="G127" s="61" t="n">
        <x:v>0</x:v>
      </x:c>
      <x:c r="H127" s="61" t="n">
        <x:v>0</x:v>
      </x:c>
      <x:c r="I127" s="61" t="n">
        <x:v>252.27579625323324</x:v>
      </x:c>
      <x:c r="J127" s="61" t="n">
        <x:v>0</x:v>
      </x:c>
      <x:c r="K127" s="61" t="n">
        <x:v>252.27579625323324</x:v>
      </x:c>
      <x:c r="L127" s="61" t="n">
        <x:v>0</x:v>
      </x:c>
      <x:c r="M127" s="61" t="n">
        <x:v>0</x:v>
      </x:c>
      <x:c r="N127" s="61" t="n">
        <x:v>0</x:v>
      </x:c>
      <x:c r="O127" s="61" t="n">
        <x:v>315.6138581708908</x:v>
      </x:c>
      <x:c r="P127" s="61" t="n">
        <x:v>0</x:v>
      </x:c>
      <x:c r="Q127" s="61" t="n">
        <x:v>315.6138581708908</x:v>
      </x:c>
      <x:c r="R127" s="61" t="n">
        <x:v>5109.989149118338</x:v>
      </x:c>
      <x:c r="S127" s="61" t="n">
        <x:v>1306.2744278847658</x:v>
      </x:c>
      <x:c r="T127" s="61" t="n">
        <x:v>6416.263577003104</x:v>
      </x:c>
    </x:row>
    <x:row r="128">
      <x:c r="A128" s="59" t="str">
        <x:v>20|lower</x:v>
      </x:c>
      <x:c r="B128" s="59" t="str">
        <x:v>20</x:v>
      </x:c>
      <x:c r="C128" s="59" t="str">
        <x:v>Test building 4</x:v>
      </x:c>
      <x:c r="D128" s="59" t="str">
        <x:v>lower</x:v>
      </x:c>
      <x:c r="E128" s="59" t="str">
        <x:v>2023-07</x:v>
      </x:c>
      <x:c r="F128" s="61" t="n">
        <x:v>0</x:v>
      </x:c>
      <x:c r="G128" s="61" t="n">
        <x:v>0</x:v>
      </x:c>
      <x:c r="H128" s="61" t="n">
        <x:v>0</x:v>
      </x:c>
      <x:c r="I128" s="61" t="n">
        <x:v>1467.3287185025301</x:v>
      </x:c>
      <x:c r="J128" s="61" t="n">
        <x:v>0</x:v>
      </x:c>
      <x:c r="K128" s="61" t="n">
        <x:v>1467.3287185025301</x:v>
      </x:c>
      <x:c r="L128" s="61" t="n">
        <x:v>0</x:v>
      </x:c>
      <x:c r="M128" s="61" t="n">
        <x:v>0</x:v>
      </x:c>
      <x:c r="N128" s="61" t="n">
        <x:v>0</x:v>
      </x:c>
      <x:c r="O128" s="61" t="n">
        <x:v>1586.9962217226027</x:v>
      </x:c>
      <x:c r="P128" s="61" t="n">
        <x:v>0</x:v>
      </x:c>
      <x:c r="Q128" s="61" t="n">
        <x:v>1586.9962217226027</x:v>
      </x:c>
      <x:c r="R128" s="61" t="n">
        <x:v>5520.663414764429</x:v>
      </x:c>
      <x:c r="S128" s="61" t="n">
        <x:v>1360.4552127080078</x:v>
      </x:c>
      <x:c r="T128" s="61" t="n">
        <x:v>6881.118627472437</x:v>
      </x:c>
    </x:row>
    <x:row r="129">
      <x:c r="A129" s="59" t="str">
        <x:v>20|lower</x:v>
      </x:c>
      <x:c r="B129" s="59" t="str">
        <x:v>20</x:v>
      </x:c>
      <x:c r="C129" s="59" t="str">
        <x:v>Test building 4</x:v>
      </x:c>
      <x:c r="D129" s="59" t="str">
        <x:v>lower</x:v>
      </x:c>
      <x:c r="E129" s="59" t="str">
        <x:v>2023-08</x:v>
      </x:c>
      <x:c r="F129" s="61" t="n">
        <x:v>0</x:v>
      </x:c>
      <x:c r="G129" s="61" t="n">
        <x:v>0</x:v>
      </x:c>
      <x:c r="H129" s="61" t="n">
        <x:v>0</x:v>
      </x:c>
      <x:c r="I129" s="61" t="n">
        <x:v>566.7368487847316</x:v>
      </x:c>
      <x:c r="J129" s="61" t="n">
        <x:v>0</x:v>
      </x:c>
      <x:c r="K129" s="61" t="n">
        <x:v>566.7368487847316</x:v>
      </x:c>
      <x:c r="L129" s="61" t="n">
        <x:v>0</x:v>
      </x:c>
      <x:c r="M129" s="61" t="n">
        <x:v>0</x:v>
      </x:c>
      <x:c r="N129" s="61" t="n">
        <x:v>0</x:v>
      </x:c>
      <x:c r="O129" s="61" t="n">
        <x:v>659.1792932823054</x:v>
      </x:c>
      <x:c r="P129" s="61" t="n">
        <x:v>0</x:v>
      </x:c>
      <x:c r="Q129" s="61" t="n">
        <x:v>659.1792932823054</x:v>
      </x:c>
      <x:c r="R129" s="61" t="n">
        <x:v>4877.321705534116</x:v>
      </x:c>
      <x:c r="S129" s="61" t="n">
        <x:v>1348.1802466767576</x:v>
      </x:c>
      <x:c r="T129" s="61" t="n">
        <x:v>6225.501952210874</x:v>
      </x:c>
    </x:row>
    <x:row r="130">
      <x:c r="A130" s="59" t="str">
        <x:v>20|lower</x:v>
      </x:c>
      <x:c r="B130" s="59" t="str">
        <x:v>20</x:v>
      </x:c>
      <x:c r="C130" s="59" t="str">
        <x:v>Test building 4</x:v>
      </x:c>
      <x:c r="D130" s="59" t="str">
        <x:v>lower</x:v>
      </x:c>
      <x:c r="E130" s="59" t="str">
        <x:v>2023-09</x:v>
      </x:c>
      <x:c r="F130" s="61" t="n">
        <x:v>0</x:v>
      </x:c>
      <x:c r="G130" s="61" t="n">
        <x:v>0</x:v>
      </x:c>
      <x:c r="H130" s="61" t="n">
        <x:v>0</x:v>
      </x:c>
      <x:c r="I130" s="61" t="n">
        <x:v>72.5082859971435</x:v>
      </x:c>
      <x:c r="J130" s="61" t="n">
        <x:v>0</x:v>
      </x:c>
      <x:c r="K130" s="61" t="n">
        <x:v>72.5082859971435</x:v>
      </x:c>
      <x:c r="L130" s="61" t="n">
        <x:v>0</x:v>
      </x:c>
      <x:c r="M130" s="61" t="n">
        <x:v>0</x:v>
      </x:c>
      <x:c r="N130" s="61" t="n">
        <x:v>0</x:v>
      </x:c>
      <x:c r="O130" s="61" t="n">
        <x:v>98.72478789265315</x:v>
      </x:c>
      <x:c r="P130" s="61" t="n">
        <x:v>0</x:v>
      </x:c>
      <x:c r="Q130" s="61" t="n">
        <x:v>98.72478789265315</x:v>
      </x:c>
      <x:c r="R130" s="61" t="n">
        <x:v>3686.287267706055</x:v>
      </x:c>
      <x:c r="S130" s="61" t="n">
        <x:v>1312.4119109003907</x:v>
      </x:c>
      <x:c r="T130" s="61" t="n">
        <x:v>4998.6991786064455</x:v>
      </x:c>
    </x:row>
    <x:row r="131">
      <x:c r="A131" s="59" t="str">
        <x:v>20|lower</x:v>
      </x:c>
      <x:c r="B131" s="59" t="str">
        <x:v>20</x:v>
      </x:c>
      <x:c r="C131" s="59" t="str">
        <x:v>Test building 4</x:v>
      </x:c>
      <x:c r="D131" s="59" t="str">
        <x:v>lower</x:v>
      </x:c>
      <x:c r="E131" s="59" t="str">
        <x:v>2023-10</x:v>
      </x:c>
      <x:c r="F131" s="61" t="n">
        <x:v>9218.936095915104</x:v>
      </x:c>
      <x:c r="G131" s="61" t="n">
        <x:v>0</x:v>
      </x:c>
      <x:c r="H131" s="61" t="n">
        <x:v>9218.936095915104</x:v>
      </x:c>
      <x:c r="I131" s="61" t="n">
        <x:v>0</x:v>
      </x:c>
      <x:c r="J131" s="61" t="n">
        <x:v>0</x:v>
      </x:c>
      <x:c r="K131" s="61" t="n">
        <x:v>0</x:v>
      </x:c>
      <x:c r="L131" s="61" t="n">
        <x:v>10703.018999517932</x:v>
      </x:c>
      <x:c r="M131" s="61" t="n">
        <x:v>0</x:v>
      </x:c>
      <x:c r="N131" s="61" t="n">
        <x:v>10703.018999517932</x:v>
      </x:c>
      <x:c r="O131" s="61" t="n">
        <x:v>0</x:v>
      </x:c>
      <x:c r="P131" s="61" t="n">
        <x:v>0</x:v>
      </x:c>
      <x:c r="Q131" s="61" t="n">
        <x:v>0</x:v>
      </x:c>
      <x:c r="R131" s="61" t="n">
        <x:v>2410.5317759533987</x:v>
      </x:c>
      <x:c r="S131" s="61" t="n">
        <x:v>1354.3177296923827</x:v>
      </x:c>
      <x:c r="T131" s="61" t="n">
        <x:v>3764.849505645782</x:v>
      </x:c>
    </x:row>
    <x:row r="132">
      <x:c r="A132" s="59" t="str">
        <x:v>20|lower</x:v>
      </x:c>
      <x:c r="B132" s="59" t="str">
        <x:v>20</x:v>
      </x:c>
      <x:c r="C132" s="59" t="str">
        <x:v>Test building 4</x:v>
      </x:c>
      <x:c r="D132" s="59" t="str">
        <x:v>lower</x:v>
      </x:c>
      <x:c r="E132" s="59" t="str">
        <x:v>2023-11</x:v>
      </x:c>
      <x:c r="F132" s="61" t="n">
        <x:v>40024.49765327423</x:v>
      </x:c>
      <x:c r="G132" s="61" t="n">
        <x:v>0</x:v>
      </x:c>
      <x:c r="H132" s="61" t="n">
        <x:v>40024.49765327423</x:v>
      </x:c>
      <x:c r="I132" s="61" t="n">
        <x:v>0</x:v>
      </x:c>
      <x:c r="J132" s="61" t="n">
        <x:v>0</x:v>
      </x:c>
      <x:c r="K132" s="61" t="n">
        <x:v>0</x:v>
      </x:c>
      <x:c r="L132" s="61" t="n">
        <x:v>40041.899677658905</x:v>
      </x:c>
      <x:c r="M132" s="61" t="n">
        <x:v>0</x:v>
      </x:c>
      <x:c r="N132" s="61" t="n">
        <x:v>40041.899677658905</x:v>
      </x:c>
      <x:c r="O132" s="61" t="n">
        <x:v>0</x:v>
      </x:c>
      <x:c r="P132" s="61" t="n">
        <x:v>0</x:v>
      </x:c>
      <x:c r="Q132" s="61" t="n">
        <x:v>0</x:v>
      </x:c>
      <x:c r="R132" s="61" t="n">
        <x:v>977.5509511891318</x:v>
      </x:c>
      <x:c r="S132" s="61" t="n">
        <x:v>1306.2744278847658</x:v>
      </x:c>
      <x:c r="T132" s="61" t="n">
        <x:v>2283.8253790738977</x:v>
      </x:c>
    </x:row>
    <x:row r="133">
      <x:c r="A133" s="59" t="str">
        <x:v>20|lower</x:v>
      </x:c>
      <x:c r="B133" s="59" t="str">
        <x:v>20</x:v>
      </x:c>
      <x:c r="C133" s="59" t="str">
        <x:v>Test building 4</x:v>
      </x:c>
      <x:c r="D133" s="59" t="str">
        <x:v>lower</x:v>
      </x:c>
      <x:c r="E133" s="59" t="str">
        <x:v>2023-12</x:v>
      </x:c>
      <x:c r="F133" s="61" t="n">
        <x:v>59693.7181091042</x:v>
      </x:c>
      <x:c r="G133" s="61" t="n">
        <x:v>0</x:v>
      </x:c>
      <x:c r="H133" s="61" t="n">
        <x:v>59693.7181091042</x:v>
      </x:c>
      <x:c r="I133" s="61" t="n">
        <x:v>0</x:v>
      </x:c>
      <x:c r="J133" s="61" t="n">
        <x:v>0</x:v>
      </x:c>
      <x:c r="K133" s="61" t="n">
        <x:v>0</x:v>
      </x:c>
      <x:c r="L133" s="61" t="n">
        <x:v>59718.106334009586</x:v>
      </x:c>
      <x:c r="M133" s="61" t="n">
        <x:v>0</x:v>
      </x:c>
      <x:c r="N133" s="61" t="n">
        <x:v>59718.106334009586</x:v>
      </x:c>
      <x:c r="O133" s="61" t="n">
        <x:v>0</x:v>
      </x:c>
      <x:c r="P133" s="61" t="n">
        <x:v>0</x:v>
      </x:c>
      <x:c r="Q133" s="61" t="n">
        <x:v>0</x:v>
      </x:c>
      <x:c r="R133" s="61" t="n">
        <x:v>772.7356230269137</x:v>
      </x:c>
      <x:c r="S133" s="61" t="n">
        <x:v>1360.4552127080078</x:v>
      </x:c>
      <x:c r="T133" s="61" t="n">
        <x:v>2133.1908357349216</x:v>
      </x:c>
    </x:row>
    <x:row r="134">
      <x:c r="A134" s="59" t="str">
        <x:v>20|upper</x:v>
      </x:c>
      <x:c r="B134" s="59" t="str">
        <x:v>20</x:v>
      </x:c>
      <x:c r="C134" s="59" t="str">
        <x:v>Test building 4</x:v>
      </x:c>
      <x:c r="D134" s="59" t="str">
        <x:v>upper</x:v>
      </x:c>
      <x:c r="E134" s="59" t="str">
        <x:v>2023-01</x:v>
      </x:c>
      <x:c r="F134" s="61" t="n">
        <x:v>112301.47814443386</x:v>
      </x:c>
      <x:c r="G134" s="61" t="n">
        <x:v>75614.62738834265</x:v>
      </x:c>
      <x:c r="H134" s="61" t="n">
        <x:v>187916.1055327765</x:v>
      </x:c>
      <x:c r="I134" s="61" t="n">
        <x:v>0</x:v>
      </x:c>
      <x:c r="J134" s="61" t="n">
        <x:v>0</x:v>
      </x:c>
      <x:c r="K134" s="61" t="n">
        <x:v>0</x:v>
      </x:c>
      <x:c r="L134" s="61" t="n">
        <x:v>112338.41871594737</x:v>
      </x:c>
      <x:c r="M134" s="61" t="n">
        <x:v>75689.86582355495</x:v>
      </x:c>
      <x:c r="N134" s="61" t="n">
        <x:v>188028.28453950232</x:v>
      </x:c>
      <x:c r="O134" s="61" t="n">
        <x:v>0</x:v>
      </x:c>
      <x:c r="P134" s="61" t="n">
        <x:v>0</x:v>
      </x:c>
      <x:c r="Q134" s="61" t="n">
        <x:v>0</x:v>
      </x:c>
      <x:c r="R134" s="61" t="n">
        <x:v>5926.311736724527</x:v>
      </x:c>
      <x:c r="S134" s="61" t="n">
        <x:v>7040.177557054687</x:v>
      </x:c>
      <x:c r="T134" s="61" t="n">
        <x:v>12966.489293779214</x:v>
      </x:c>
    </x:row>
    <x:row r="135">
      <x:c r="A135" s="59" t="str">
        <x:v>20|upper</x:v>
      </x:c>
      <x:c r="B135" s="59" t="str">
        <x:v>20</x:v>
      </x:c>
      <x:c r="C135" s="59" t="str">
        <x:v>Test building 4</x:v>
      </x:c>
      <x:c r="D135" s="59" t="str">
        <x:v>upper</x:v>
      </x:c>
      <x:c r="E135" s="59" t="str">
        <x:v>2023-02</x:v>
      </x:c>
      <x:c r="F135" s="61" t="n">
        <x:v>88868.14795254123</x:v>
      </x:c>
      <x:c r="G135" s="61" t="n">
        <x:v>64473.54810018708</x:v>
      </x:c>
      <x:c r="H135" s="61" t="n">
        <x:v>153341.6960527283</x:v>
      </x:c>
      <x:c r="I135" s="61" t="n">
        <x:v>0</x:v>
      </x:c>
      <x:c r="J135" s="61" t="n">
        <x:v>0</x:v>
      </x:c>
      <x:c r="K135" s="61" t="n">
        <x:v>0</x:v>
      </x:c>
      <x:c r="L135" s="61" t="n">
        <x:v>88895.94870873954</x:v>
      </x:c>
      <x:c r="M135" s="61" t="n">
        <x:v>64537.70088436638</x:v>
      </x:c>
      <x:c r="N135" s="61" t="n">
        <x:v>153433.64959310592</x:v>
      </x:c>
      <x:c r="O135" s="61" t="n">
        <x:v>0</x:v>
      </x:c>
      <x:c r="P135" s="61" t="n">
        <x:v>0</x:v>
      </x:c>
      <x:c r="Q135" s="61" t="n">
        <x:v>0</x:v>
      </x:c>
      <x:c r="R135" s="61" t="n">
        <x:v>8579.868005003986</x:v>
      </x:c>
      <x:c r="S135" s="61" t="n">
        <x:v>6453.496093966796</x:v>
      </x:c>
      <x:c r="T135" s="61" t="n">
        <x:v>15033.364098970782</x:v>
      </x:c>
    </x:row>
    <x:row r="136">
      <x:c r="A136" s="59" t="str">
        <x:v>20|upper</x:v>
      </x:c>
      <x:c r="B136" s="59" t="str">
        <x:v>20</x:v>
      </x:c>
      <x:c r="C136" s="59" t="str">
        <x:v>Test building 4</x:v>
      </x:c>
      <x:c r="D136" s="59" t="str">
        <x:v>upper</x:v>
      </x:c>
      <x:c r="E136" s="59" t="str">
        <x:v>2023-03</x:v>
      </x:c>
      <x:c r="F136" s="61" t="n">
        <x:v>54184.21031375704</x:v>
      </x:c>
      <x:c r="G136" s="61" t="n">
        <x:v>58340.568704993864</x:v>
      </x:c>
      <x:c r="H136" s="61" t="n">
        <x:v>112524.77901875091</x:v>
      </x:c>
      <x:c r="I136" s="61" t="n">
        <x:v>0</x:v>
      </x:c>
      <x:c r="J136" s="61" t="n">
        <x:v>0</x:v>
      </x:c>
      <x:c r="K136" s="61" t="n">
        <x:v>0</x:v>
      </x:c>
      <x:c r="L136" s="61" t="n">
        <x:v>54156.824047767266</x:v>
      </x:c>
      <x:c r="M136" s="61" t="n">
        <x:v>58398.619022113264</x:v>
      </x:c>
      <x:c r="N136" s="61" t="n">
        <x:v>112555.44306988054</x:v>
      </x:c>
      <x:c r="O136" s="61" t="n">
        <x:v>0</x:v>
      </x:c>
      <x:c r="P136" s="61" t="n">
        <x:v>0</x:v>
      </x:c>
      <x:c r="Q136" s="61" t="n">
        <x:v>0</x:v>
      </x:c>
      <x:c r="R136" s="61" t="n">
        <x:v>22559.086983996713</x:v>
      </x:c>
      <x:c r="S136" s="61" t="n">
        <x:v>7333.518288598633</x:v>
      </x:c>
      <x:c r="T136" s="61" t="n">
        <x:v>29892.605272595345</x:v>
      </x:c>
    </x:row>
    <x:row r="137">
      <x:c r="A137" s="59" t="str">
        <x:v>20|upper</x:v>
      </x:c>
      <x:c r="B137" s="59" t="str">
        <x:v>20</x:v>
      </x:c>
      <x:c r="C137" s="59" t="str">
        <x:v>Test building 4</x:v>
      </x:c>
      <x:c r="D137" s="59" t="str">
        <x:v>upper</x:v>
      </x:c>
      <x:c r="E137" s="59" t="str">
        <x:v>2023-04</x:v>
      </x:c>
      <x:c r="F137" s="61" t="n">
        <x:v>15294.20136519007</x:v>
      </x:c>
      <x:c r="G137" s="61" t="n">
        <x:v>42441.36274659389</x:v>
      </x:c>
      <x:c r="H137" s="61" t="n">
        <x:v>57735.56411178396</x:v>
      </x:c>
      <x:c r="I137" s="61" t="n">
        <x:v>0</x:v>
      </x:c>
      <x:c r="J137" s="61" t="n">
        <x:v>0</x:v>
      </x:c>
      <x:c r="K137" s="61" t="n">
        <x:v>0</x:v>
      </x:c>
      <x:c r="L137" s="61" t="n">
        <x:v>15147.08655879526</x:v>
      </x:c>
      <x:c r="M137" s="61" t="n">
        <x:v>42483.592958282046</x:v>
      </x:c>
      <x:c r="N137" s="61" t="n">
        <x:v>57630.679517077304</x:v>
      </x:c>
      <x:c r="O137" s="61" t="n">
        <x:v>0</x:v>
      </x:c>
      <x:c r="P137" s="61" t="n">
        <x:v>0</x:v>
      </x:c>
      <x:c r="Q137" s="61" t="n">
        <x:v>0</x:v>
      </x:c>
      <x:c r="R137" s="61" t="n">
        <x:v>30551.875129727112</x:v>
      </x:c>
      <x:c r="S137" s="61" t="n">
        <x:v>6600.16645973877</x:v>
      </x:c>
      <x:c r="T137" s="61" t="n">
        <x:v>37152.04158946588</x:v>
      </x:c>
    </x:row>
    <x:row r="138">
      <x:c r="A138" s="59" t="str">
        <x:v>20|upper</x:v>
      </x:c>
      <x:c r="B138" s="59" t="str">
        <x:v>20</x:v>
      </x:c>
      <x:c r="C138" s="59" t="str">
        <x:v>Test building 4</x:v>
      </x:c>
      <x:c r="D138" s="59" t="str">
        <x:v>upper</x:v>
      </x:c>
      <x:c r="E138" s="59" t="str">
        <x:v>2023-05</x:v>
      </x:c>
      <x:c r="F138" s="61" t="n">
        <x:v>0</x:v>
      </x:c>
      <x:c r="G138" s="61" t="n">
        <x:v>19463.36961758964</x:v>
      </x:c>
      <x:c r="H138" s="61" t="n">
        <x:v>19463.36961758964</x:v>
      </x:c>
      <x:c r="I138" s="61" t="n">
        <x:v>0</x:v>
      </x:c>
      <x:c r="J138" s="61" t="n">
        <x:v>0</x:v>
      </x:c>
      <x:c r="K138" s="61" t="n">
        <x:v>0</x:v>
      </x:c>
      <x:c r="L138" s="61" t="n">
        <x:v>0</x:v>
      </x:c>
      <x:c r="M138" s="61" t="n">
        <x:v>19541.87952506449</x:v>
      </x:c>
      <x:c r="N138" s="61" t="n">
        <x:v>19541.87952506449</x:v>
      </x:c>
      <x:c r="O138" s="61" t="n">
        <x:v>0</x:v>
      </x:c>
      <x:c r="P138" s="61" t="n">
        <x:v>59.143370541937415</x:v>
      </x:c>
      <x:c r="Q138" s="61" t="n">
        <x:v>59.143370541937415</x:v>
      </x:c>
      <x:c r="R138" s="61" t="n">
        <x:v>40851.79415063037</x:v>
      </x:c>
      <x:c r="S138" s="61" t="n">
        <x:v>7333.518288598633</x:v>
      </x:c>
      <x:c r="T138" s="61" t="n">
        <x:v>48185.31243922899</x:v>
      </x:c>
    </x:row>
    <x:row r="139">
      <x:c r="A139" s="59" t="str">
        <x:v>20|upper</x:v>
      </x:c>
      <x:c r="B139" s="59" t="str">
        <x:v>20</x:v>
      </x:c>
      <x:c r="C139" s="59" t="str">
        <x:v>Test building 4</x:v>
      </x:c>
      <x:c r="D139" s="59" t="str">
        <x:v>upper</x:v>
      </x:c>
      <x:c r="E139" s="59" t="str">
        <x:v>2023-06</x:v>
      </x:c>
      <x:c r="F139" s="61" t="n">
        <x:v>0</x:v>
      </x:c>
      <x:c r="G139" s="61" t="n">
        <x:v>0</x:v>
      </x:c>
      <x:c r="H139" s="61" t="n">
        <x:v>0</x:v>
      </x:c>
      <x:c r="I139" s="61" t="n">
        <x:v>6493.17647419362</x:v>
      </x:c>
      <x:c r="J139" s="61" t="n">
        <x:v>7389.662960311731</x:v>
      </x:c>
      <x:c r="K139" s="61" t="n">
        <x:v>13882.839434505351</x:v>
      </x:c>
      <x:c r="L139" s="61" t="n">
        <x:v>0</x:v>
      </x:c>
      <x:c r="M139" s="61" t="n">
        <x:v>2163.737463826575</x:v>
      </x:c>
      <x:c r="N139" s="61" t="n">
        <x:v>2163.737463826575</x:v>
      </x:c>
      <x:c r="O139" s="61" t="n">
        <x:v>6286.806668655531</x:v>
      </x:c>
      <x:c r="P139" s="61" t="n">
        <x:v>9560.753322606282</x:v>
      </x:c>
      <x:c r="Q139" s="61" t="n">
        <x:v>15847.559991261813</x:v>
      </x:c>
      <x:c r="R139" s="61" t="n">
        <x:v>41976.44984030117</x:v>
      </x:c>
      <x:c r="S139" s="61" t="n">
        <x:v>7040.177557054687</x:v>
      </x:c>
      <x:c r="T139" s="61" t="n">
        <x:v>49016.62739735586</x:v>
      </x:c>
    </x:row>
    <x:row r="140">
      <x:c r="A140" s="59" t="str">
        <x:v>20|upper</x:v>
      </x:c>
      <x:c r="B140" s="59" t="str">
        <x:v>20</x:v>
      </x:c>
      <x:c r="C140" s="59" t="str">
        <x:v>Test building 4</x:v>
      </x:c>
      <x:c r="D140" s="59" t="str">
        <x:v>upper</x:v>
      </x:c>
      <x:c r="E140" s="59" t="str">
        <x:v>2023-07</x:v>
      </x:c>
      <x:c r="F140" s="61" t="n">
        <x:v>0</x:v>
      </x:c>
      <x:c r="G140" s="61" t="n">
        <x:v>0</x:v>
      </x:c>
      <x:c r="H140" s="61" t="n">
        <x:v>0</x:v>
      </x:c>
      <x:c r="I140" s="61" t="n">
        <x:v>16204.545005648375</x:v>
      </x:c>
      <x:c r="J140" s="61" t="n">
        <x:v>18003.52599691668</x:v>
      </x:c>
      <x:c r="K140" s="61" t="n">
        <x:v>34208.071002565055</x:v>
      </x:c>
      <x:c r="L140" s="61" t="n">
        <x:v>0</x:v>
      </x:c>
      <x:c r="M140" s="61" t="n">
        <x:v>473.1469643355</x:v>
      </x:c>
      <x:c r="N140" s="61" t="n">
        <x:v>473.1469643355</x:v>
      </x:c>
      <x:c r="O140" s="61" t="n">
        <x:v>16008.72724047086</x:v>
      </x:c>
      <x:c r="P140" s="61" t="n">
        <x:v>18494.586917468027</x:v>
      </x:c>
      <x:c r="Q140" s="61" t="n">
        <x:v>34503.31415793888</x:v>
      </x:c>
      <x:c r="R140" s="61" t="n">
        <x:v>45392.457939164444</x:v>
      </x:c>
      <x:c r="S140" s="61" t="n">
        <x:v>6893.507191282714</x:v>
      </x:c>
      <x:c r="T140" s="61" t="n">
        <x:v>52285.965130447155</x:v>
      </x:c>
    </x:row>
    <x:row r="141">
      <x:c r="A141" s="59" t="str">
        <x:v>20|upper</x:v>
      </x:c>
      <x:c r="B141" s="59" t="str">
        <x:v>20</x:v>
      </x:c>
      <x:c r="C141" s="59" t="str">
        <x:v>Test building 4</x:v>
      </x:c>
      <x:c r="D141" s="59" t="str">
        <x:v>upper</x:v>
      </x:c>
      <x:c r="E141" s="59" t="str">
        <x:v>2023-08</x:v>
      </x:c>
      <x:c r="F141" s="61" t="n">
        <x:v>0</x:v>
      </x:c>
      <x:c r="G141" s="61" t="n">
        <x:v>0</x:v>
      </x:c>
      <x:c r="H141" s="61" t="n">
        <x:v>0</x:v>
      </x:c>
      <x:c r="I141" s="61" t="n">
        <x:v>8947.946521333179</x:v>
      </x:c>
      <x:c r="J141" s="61" t="n">
        <x:v>14361.643390300173</x:v>
      </x:c>
      <x:c r="K141" s="61" t="n">
        <x:v>23309.589911633353</x:v>
      </x:c>
      <x:c r="L141" s="61" t="n">
        <x:v>0</x:v>
      </x:c>
      <x:c r="M141" s="61" t="n">
        <x:v>357.134968272469</x:v>
      </x:c>
      <x:c r="N141" s="61" t="n">
        <x:v>357.134968272469</x:v>
      </x:c>
      <x:c r="O141" s="61" t="n">
        <x:v>8744.11384734946</x:v>
      </x:c>
      <x:c r="P141" s="61" t="n">
        <x:v>14733.068551000802</x:v>
      </x:c>
      <x:c r="Q141" s="61" t="n">
        <x:v>23477.18239835026</x:v>
      </x:c>
      <x:c r="R141" s="61" t="n">
        <x:v>39300.73251799848</x:v>
      </x:c>
      <x:c r="S141" s="61" t="n">
        <x:v>7333.518288598633</x:v>
      </x:c>
      <x:c r="T141" s="61" t="n">
        <x:v>46634.25080659711</x:v>
      </x:c>
    </x:row>
    <x:row r="142">
      <x:c r="A142" s="59" t="str">
        <x:v>20|upper</x:v>
      </x:c>
      <x:c r="B142" s="59" t="str">
        <x:v>20</x:v>
      </x:c>
      <x:c r="C142" s="59" t="str">
        <x:v>Test building 4</x:v>
      </x:c>
      <x:c r="D142" s="59" t="str">
        <x:v>upper</x:v>
      </x:c>
      <x:c r="E142" s="59" t="str">
        <x:v>2023-09</x:v>
      </x:c>
      <x:c r="F142" s="61" t="n">
        <x:v>0</x:v>
      </x:c>
      <x:c r="G142" s="61" t="n">
        <x:v>0</x:v>
      </x:c>
      <x:c r="H142" s="61" t="n">
        <x:v>0</x:v>
      </x:c>
      <x:c r="I142" s="61" t="n">
        <x:v>1651.2718085974338</x:v>
      </x:c>
      <x:c r="J142" s="61" t="n">
        <x:v>3653.2450258309673</x:v>
      </x:c>
      <x:c r="K142" s="61" t="n">
        <x:v>5304.516834428401</x:v>
      </x:c>
      <x:c r="L142" s="61" t="n">
        <x:v>0</x:v>
      </x:c>
      <x:c r="M142" s="61" t="n">
        <x:v>2877.5524513673445</x:v>
      </x:c>
      <x:c r="N142" s="61" t="n">
        <x:v>2877.5524513673445</x:v>
      </x:c>
      <x:c r="O142" s="61" t="n">
        <x:v>1554.9785538667127</x:v>
      </x:c>
      <x:c r="P142" s="61" t="n">
        <x:v>6534.432546875757</x:v>
      </x:c>
      <x:c r="Q142" s="61" t="n">
        <x:v>8089.411100742469</x:v>
      </x:c>
      <x:c r="R142" s="61" t="n">
        <x:v>28763.9148361928</x:v>
      </x:c>
      <x:c r="S142" s="61" t="n">
        <x:v>6893.507191282714</x:v>
      </x:c>
      <x:c r="T142" s="61" t="n">
        <x:v>35657.42202747551</x:v>
      </x:c>
    </x:row>
    <x:row r="143">
      <x:c r="A143" s="59" t="str">
        <x:v>20|upper</x:v>
      </x:c>
      <x:c r="B143" s="59" t="str">
        <x:v>20</x:v>
      </x:c>
      <x:c r="C143" s="59" t="str">
        <x:v>Test building 4</x:v>
      </x:c>
      <x:c r="D143" s="59" t="str">
        <x:v>upper</x:v>
      </x:c>
      <x:c r="E143" s="59" t="str">
        <x:v>2023-10</x:v>
      </x:c>
      <x:c r="F143" s="61" t="n">
        <x:v>2286.1125300241038</x:v>
      </x:c>
      <x:c r="G143" s="61" t="n">
        <x:v>34391.31598153814</x:v>
      </x:c>
      <x:c r="H143" s="61" t="n">
        <x:v>36677.42851156224</x:v>
      </x:c>
      <x:c r="I143" s="61" t="n">
        <x:v>0</x:v>
      </x:c>
      <x:c r="J143" s="61" t="n">
        <x:v>0</x:v>
      </x:c>
      <x:c r="K143" s="61" t="n">
        <x:v>0</x:v>
      </x:c>
      <x:c r="L143" s="61" t="n">
        <x:v>3595.8247280486194</x:v>
      </x:c>
      <x:c r="M143" s="61" t="n">
        <x:v>34425.536196445144</x:v>
      </x:c>
      <x:c r="N143" s="61" t="n">
        <x:v>38021.36092449376</x:v>
      </x:c>
      <x:c r="O143" s="61" t="n">
        <x:v>0</x:v>
      </x:c>
      <x:c r="P143" s="61" t="n">
        <x:v>0</x:v>
      </x:c>
      <x:c r="Q143" s="61" t="n">
        <x:v>0</x:v>
      </x:c>
      <x:c r="R143" s="61" t="n">
        <x:v>17725.29721453172</x:v>
      </x:c>
      <x:c r="S143" s="61" t="n">
        <x:v>7040.177557054687</x:v>
      </x:c>
      <x:c r="T143" s="61" t="n">
        <x:v>24765.474771586407</x:v>
      </x:c>
    </x:row>
    <x:row r="144">
      <x:c r="A144" s="59" t="str">
        <x:v>20|upper</x:v>
      </x:c>
      <x:c r="B144" s="59" t="str">
        <x:v>20</x:v>
      </x:c>
      <x:c r="C144" s="59" t="str">
        <x:v>Test building 4</x:v>
      </x:c>
      <x:c r="D144" s="59" t="str">
        <x:v>upper</x:v>
      </x:c>
      <x:c r="E144" s="59" t="str">
        <x:v>2023-11</x:v>
      </x:c>
      <x:c r="F144" s="61" t="n">
        <x:v>60245.05578059765</x:v>
      </x:c>
      <x:c r="G144" s="61" t="n">
        <x:v>53392.4623854838</x:v>
      </x:c>
      <x:c r="H144" s="61" t="n">
        <x:v>113637.51816608146</x:v>
      </x:c>
      <x:c r="I144" s="61" t="n">
        <x:v>0</x:v>
      </x:c>
      <x:c r="J144" s="61" t="n">
        <x:v>0</x:v>
      </x:c>
      <x:c r="K144" s="61" t="n">
        <x:v>0</x:v>
      </x:c>
      <x:c r="L144" s="61" t="n">
        <x:v>60258.92751136254</x:v>
      </x:c>
      <x:c r="M144" s="61" t="n">
        <x:v>53445.58921372809</x:v>
      </x:c>
      <x:c r="N144" s="61" t="n">
        <x:v>113704.51672509064</x:v>
      </x:c>
      <x:c r="O144" s="61" t="n">
        <x:v>0</x:v>
      </x:c>
      <x:c r="P144" s="61" t="n">
        <x:v>0</x:v>
      </x:c>
      <x:c r="Q144" s="61" t="n">
        <x:v>0</x:v>
      </x:c>
      <x:c r="R144" s="61" t="n">
        <x:v>6063.969551443404</x:v>
      </x:c>
      <x:c r="S144" s="61" t="n">
        <x:v>7040.177557054687</x:v>
      </x:c>
      <x:c r="T144" s="61" t="n">
        <x:v>13104.14710849809</x:v>
      </x:c>
    </x:row>
    <x:row r="145">
      <x:c r="A145" s="59" t="str">
        <x:v>20|upper</x:v>
      </x:c>
      <x:c r="B145" s="59" t="str">
        <x:v>20</x:v>
      </x:c>
      <x:c r="C145" s="59" t="str">
        <x:v>Test building 4</x:v>
      </x:c>
      <x:c r="D145" s="59" t="str">
        <x:v>upper</x:v>
      </x:c>
      <x:c r="E145" s="59" t="str">
        <x:v>2023-12</x:v>
      </x:c>
      <x:c r="F145" s="61" t="n">
        <x:v>102937.70672019754</x:v>
      </x:c>
      <x:c r="G145" s="61" t="n">
        <x:v>71022.84653539785</x:v>
      </x:c>
      <x:c r="H145" s="61" t="n">
        <x:v>173960.55325559538</x:v>
      </x:c>
      <x:c r="I145" s="61" t="n">
        <x:v>0</x:v>
      </x:c>
      <x:c r="J145" s="61" t="n">
        <x:v>0</x:v>
      </x:c>
      <x:c r="K145" s="61" t="n">
        <x:v>0</x:v>
      </x:c>
      <x:c r="L145" s="61" t="n">
        <x:v>102970.61852328929</x:v>
      </x:c>
      <x:c r="M145" s="61" t="n">
        <x:v>71093.51603443806</x:v>
      </x:c>
      <x:c r="N145" s="61" t="n">
        <x:v>174064.13455772735</x:v>
      </x:c>
      <x:c r="O145" s="61" t="n">
        <x:v>0</x:v>
      </x:c>
      <x:c r="P145" s="61" t="n">
        <x:v>0</x:v>
      </x:c>
      <x:c r="Q145" s="61" t="n">
        <x:v>0</x:v>
      </x:c>
      <x:c r="R145" s="61" t="n">
        <x:v>4315.339337538382</x:v>
      </x:c>
      <x:c r="S145" s="61" t="n">
        <x:v>6893.507191282714</x:v>
      </x:c>
      <x:c r="T145" s="61" t="n">
        <x:v>11208.846528821095</x:v>
      </x:c>
    </x:row>
    <x:row r="146">
      <x:c r="A146" s="59" t="str">
        <x:v>21|aggregate</x:v>
      </x:c>
      <x:c r="B146" s="59" t="str">
        <x:v>21</x:v>
      </x:c>
      <x:c r="C146" s="59" t="str">
        <x:v>Test building 5</x:v>
      </x:c>
      <x:c r="D146" s="59" t="str">
        <x:v>aggregate</x:v>
      </x:c>
      <x:c r="E146" s="59" t="str">
        <x:v>2023-01</x:v>
      </x:c>
      <x:c r="F146" s="61" t="n">
        <x:v>354281.47974434163</x:v>
      </x:c>
      <x:c r="G146" s="61" t="n">
        <x:v>280888.45515213185</x:v>
      </x:c>
      <x:c r="H146" s="61" t="n">
        <x:v>635169.9348964735</x:v>
      </x:c>
      <x:c r="I146" s="61" t="n">
        <x:v>0</x:v>
      </x:c>
      <x:c r="J146" s="61" t="n">
        <x:v>0</x:v>
      </x:c>
      <x:c r="K146" s="61" t="n">
        <x:v>0</x:v>
      </x:c>
      <x:c r="L146" s="61" t="n">
        <x:v>354326.4615070899</x:v>
      </x:c>
      <x:c r="M146" s="61" t="n">
        <x:v>281167.9461522833</x:v>
      </x:c>
      <x:c r="N146" s="61" t="n">
        <x:v>635494.4076593731</x:v>
      </x:c>
      <x:c r="O146" s="61" t="n">
        <x:v>0</x:v>
      </x:c>
      <x:c r="P146" s="61" t="n">
        <x:v>0</x:v>
      </x:c>
      <x:c r="Q146" s="61" t="n">
        <x:v>0</x:v>
      </x:c>
      <x:c r="R146" s="61" t="n">
        <x:v>22211.506267692777</x:v>
      </x:c>
      <x:c r="S146" s="61" t="n">
        <x:v>26152.408155656252</x:v>
      </x:c>
      <x:c r="T146" s="61" t="n">
        <x:v>48363.91442334903</x:v>
      </x:c>
    </x:row>
    <x:row r="147">
      <x:c r="A147" s="59" t="str">
        <x:v>21|aggregate</x:v>
      </x:c>
      <x:c r="B147" s="59" t="str">
        <x:v>21</x:v>
      </x:c>
      <x:c r="C147" s="59" t="str">
        <x:v>Test building 5</x:v>
      </x:c>
      <x:c r="D147" s="59" t="str">
        <x:v>aggregate</x:v>
      </x:c>
      <x:c r="E147" s="59" t="str">
        <x:v>2023-02</x:v>
      </x:c>
      <x:c r="F147" s="61" t="n">
        <x:v>278457.60658780916</x:v>
      </x:c>
      <x:c r="G147" s="61" t="n">
        <x:v>239502.2755455669</x:v>
      </x:c>
      <x:c r="H147" s="61" t="n">
        <x:v>517959.8821333761</x:v>
      </x:c>
      <x:c r="I147" s="61" t="n">
        <x:v>0</x:v>
      </x:c>
      <x:c r="J147" s="61" t="n">
        <x:v>0</x:v>
      </x:c>
      <x:c r="K147" s="61" t="n">
        <x:v>0</x:v>
      </x:c>
      <x:c r="L147" s="61" t="n">
        <x:v>278467.8699817955</x:v>
      </x:c>
      <x:c r="M147" s="61" t="n">
        <x:v>239740.5862675028</x:v>
      </x:c>
      <x:c r="N147" s="61" t="n">
        <x:v>518208.45624929835</x:v>
      </x:c>
      <x:c r="O147" s="61" t="n">
        <x:v>0</x:v>
      </x:c>
      <x:c r="P147" s="61" t="n">
        <x:v>0</x:v>
      </x:c>
      <x:c r="Q147" s="61" t="n">
        <x:v>0</x:v>
      </x:c>
      <x:c r="R147" s="61" t="n">
        <x:v>30994.274929156807</x:v>
      </x:c>
      <x:c r="S147" s="61" t="n">
        <x:v>23973.040809351565</x:v>
      </x:c>
      <x:c r="T147" s="61" t="n">
        <x:v>54967.31573850837</x:v>
      </x:c>
    </x:row>
    <x:row r="148">
      <x:c r="A148" s="59" t="str">
        <x:v>21|aggregate</x:v>
      </x:c>
      <x:c r="B148" s="59" t="str">
        <x:v>21</x:v>
      </x:c>
      <x:c r="C148" s="59" t="str">
        <x:v>Test building 5</x:v>
      </x:c>
      <x:c r="D148" s="59" t="str">
        <x:v>aggregate</x:v>
      </x:c>
      <x:c r="E148" s="59" t="str">
        <x:v>2023-03</x:v>
      </x:c>
      <x:c r="F148" s="61" t="n">
        <x:v>164648.2959967086</x:v>
      </x:c>
      <x:c r="G148" s="61" t="n">
        <x:v>216719.8699807243</x:v>
      </x:c>
      <x:c r="H148" s="61" t="n">
        <x:v>381368.16597743286</x:v>
      </x:c>
      <x:c r="I148" s="61" t="n">
        <x:v>0</x:v>
      </x:c>
      <x:c r="J148" s="61" t="n">
        <x:v>0</x:v>
      </x:c>
      <x:c r="K148" s="61" t="n">
        <x:v>0</x:v>
      </x:c>
      <x:c r="L148" s="61" t="n">
        <x:v>164109.33963270244</x:v>
      </x:c>
      <x:c r="M148" s="61" t="n">
        <x:v>216935.51164239665</x:v>
      </x:c>
      <x:c r="N148" s="61" t="n">
        <x:v>381044.8512750991</x:v>
      </x:c>
      <x:c r="O148" s="61" t="n">
        <x:v>0</x:v>
      </x:c>
      <x:c r="P148" s="61" t="n">
        <x:v>0</x:v>
      </x:c>
      <x:c r="Q148" s="61" t="n">
        <x:v>0</x:v>
      </x:c>
      <x:c r="R148" s="61" t="n">
        <x:v>76074.28941190452</x:v>
      </x:c>
      <x:c r="S148" s="61" t="n">
        <x:v>27242.091828808592</x:v>
      </x:c>
      <x:c r="T148" s="61" t="n">
        <x:v>103316.3812407131</x:v>
      </x:c>
    </x:row>
    <x:row r="149">
      <x:c r="A149" s="59" t="str">
        <x:v>21|aggregate</x:v>
      </x:c>
      <x:c r="B149" s="59" t="str">
        <x:v>21</x:v>
      </x:c>
      <x:c r="C149" s="59" t="str">
        <x:v>Test building 5</x:v>
      </x:c>
      <x:c r="D149" s="59" t="str">
        <x:v>aggregate</x:v>
      </x:c>
      <x:c r="E149" s="59" t="str">
        <x:v>2023-04</x:v>
      </x:c>
      <x:c r="F149" s="61" t="n">
        <x:v>41632.06209910245</x:v>
      </x:c>
      <x:c r="G149" s="61" t="n">
        <x:v>157658.5011153527</x:v>
      </x:c>
      <x:c r="H149" s="61" t="n">
        <x:v>199290.56321445515</x:v>
      </x:c>
      <x:c r="I149" s="61" t="n">
        <x:v>0</x:v>
      </x:c>
      <x:c r="J149" s="61" t="n">
        <x:v>0</x:v>
      </x:c>
      <x:c r="K149" s="61" t="n">
        <x:v>0</x:v>
      </x:c>
      <x:c r="L149" s="61" t="n">
        <x:v>39888.896339966515</x:v>
      </x:c>
      <x:c r="M149" s="61" t="n">
        <x:v>157815.37524581573</x:v>
      </x:c>
      <x:c r="N149" s="61" t="n">
        <x:v>197704.27158578226</x:v>
      </x:c>
      <x:c r="O149" s="61" t="n">
        <x:v>0</x:v>
      </x:c>
      <x:c r="P149" s="61" t="n">
        <x:v>0</x:v>
      </x:c>
      <x:c r="Q149" s="61" t="n">
        <x:v>0</x:v>
      </x:c>
      <x:c r="R149" s="61" t="n">
        <x:v>100377.98714113451</x:v>
      </x:c>
      <x:c r="S149" s="61" t="n">
        <x:v>24517.882645927733</x:v>
      </x:c>
      <x:c r="T149" s="61" t="n">
        <x:v>124895.86978706226</x:v>
      </x:c>
    </x:row>
    <x:row r="150">
      <x:c r="A150" s="59" t="str">
        <x:v>21|aggregate</x:v>
      </x:c>
      <x:c r="B150" s="59" t="str">
        <x:v>21</x:v>
      </x:c>
      <x:c r="C150" s="59" t="str">
        <x:v>Test building 5</x:v>
      </x:c>
      <x:c r="D150" s="59" t="str">
        <x:v>aggregate</x:v>
      </x:c>
      <x:c r="E150" s="59" t="str">
        <x:v>2023-05</x:v>
      </x:c>
      <x:c r="F150" s="61" t="n">
        <x:v>0</x:v>
      </x:c>
      <x:c r="G150" s="61" t="n">
        <x:v>72301.29953377956</x:v>
      </x:c>
      <x:c r="H150" s="61" t="n">
        <x:v>72301.29953377956</x:v>
      </x:c>
      <x:c r="I150" s="61" t="n">
        <x:v>0</x:v>
      </x:c>
      <x:c r="J150" s="61" t="n">
        <x:v>0</x:v>
      </x:c>
      <x:c r="K150" s="61" t="n">
        <x:v>0</x:v>
      </x:c>
      <x:c r="L150" s="61" t="n">
        <x:v>0</x:v>
      </x:c>
      <x:c r="M150" s="61" t="n">
        <x:v>72592.94319303465</x:v>
      </x:c>
      <x:c r="N150" s="61" t="n">
        <x:v>72592.94319303465</x:v>
      </x:c>
      <x:c r="O150" s="61" t="n">
        <x:v>0</x:v>
      </x:c>
      <x:c r="P150" s="61" t="n">
        <x:v>219.70206767924964</x:v>
      </x:c>
      <x:c r="Q150" s="61" t="n">
        <x:v>219.70206767924964</x:v>
      </x:c>
      <x:c r="R150" s="61" t="n">
        <x:v>131592.24272410534</x:v>
      </x:c>
      <x:c r="S150" s="61" t="n">
        <x:v>27242.091828808592</x:v>
      </x:c>
      <x:c r="T150" s="61" t="n">
        <x:v>158834.33455291393</x:v>
      </x:c>
    </x:row>
    <x:row r="151">
      <x:c r="A151" s="59" t="str">
        <x:v>21|aggregate</x:v>
      </x:c>
      <x:c r="B151" s="59" t="str">
        <x:v>21</x:v>
      </x:c>
      <x:c r="C151" s="59" t="str">
        <x:v>Test building 5</x:v>
      </x:c>
      <x:c r="D151" s="59" t="str">
        <x:v>aggregate</x:v>
      </x:c>
      <x:c r="E151" s="59" t="str">
        <x:v>2023-06</x:v>
      </x:c>
      <x:c r="F151" s="61" t="n">
        <x:v>0</x:v>
      </x:c>
      <x:c r="G151" s="61" t="n">
        <x:v>0</x:v>
      </x:c>
      <x:c r="H151" s="61" t="n">
        <x:v>0</x:v>
      </x:c>
      <x:c r="I151" s="61" t="n">
        <x:v>17417.04303847885</x:v>
      </x:c>
      <x:c r="J151" s="61" t="n">
        <x:v>27450.654518954798</x:v>
      </x:c>
      <x:c r="K151" s="61" t="n">
        <x:v>44867.69755743365</x:v>
      </x:c>
      <x:c r="L151" s="61" t="n">
        <x:v>0</x:v>
      </x:c>
      <x:c r="M151" s="61" t="n">
        <x:v>8037.715645250101</x:v>
      </x:c>
      <x:c r="N151" s="61" t="n">
        <x:v>8037.715645250101</x:v>
      </x:c>
      <x:c r="O151" s="61" t="n">
        <x:v>15318.42282103497</x:v>
      </x:c>
      <x:c r="P151" s="61" t="n">
        <x:v>35515.68424830337</x:v>
      </x:c>
      <x:c r="Q151" s="61" t="n">
        <x:v>50834.10706933834</x:v>
      </x:c>
      <x:c r="R151" s="61" t="n">
        <x:v>134221.0693993067</x:v>
      </x:c>
      <x:c r="S151" s="61" t="n">
        <x:v>26152.408155656252</x:v>
      </x:c>
      <x:c r="T151" s="61" t="n">
        <x:v>160373.47755496297</x:v>
      </x:c>
    </x:row>
    <x:row r="152">
      <x:c r="A152" s="59" t="str">
        <x:v>21|aggregate</x:v>
      </x:c>
      <x:c r="B152" s="59" t="str">
        <x:v>21</x:v>
      </x:c>
      <x:c r="C152" s="59" t="str">
        <x:v>Test building 5</x:v>
      </x:c>
      <x:c r="D152" s="59" t="str">
        <x:v>aggregate</x:v>
      </x:c>
      <x:c r="E152" s="59" t="str">
        <x:v>2023-07</x:v>
      </x:c>
      <x:c r="F152" s="61" t="n">
        <x:v>0</x:v>
      </x:c>
      <x:c r="G152" s="61" t="n">
        <x:v>0</x:v>
      </x:c>
      <x:c r="H152" s="61" t="n">
        <x:v>0</x:v>
      </x:c>
      <x:c r="I152" s="61" t="n">
        <x:v>45563.00010677861</x:v>
      </x:c>
      <x:c r="J152" s="61" t="n">
        <x:v>66878.36440155223</x:v>
      </x:c>
      <x:c r="K152" s="61" t="n">
        <x:v>112441.36450833084</x:v>
      </x:c>
      <x:c r="L152" s="61" t="n">
        <x:v>0</x:v>
      </x:c>
      <x:c r="M152" s="61" t="n">
        <x:v>1757.616541434</x:v>
      </x:c>
      <x:c r="N152" s="61" t="n">
        <x:v>1757.616541434</x:v>
      </x:c>
      <x:c r="O152" s="61" t="n">
        <x:v>43390.58248808823</x:v>
      </x:c>
      <x:c r="P152" s="61" t="n">
        <x:v>68702.5265792067</x:v>
      </x:c>
      <x:c r="Q152" s="61" t="n">
        <x:v>112093.10906729492</x:v>
      </x:c>
      <x:c r="R152" s="61" t="n">
        <x:v>145157.65005266902</x:v>
      </x:c>
      <x:c r="S152" s="61" t="n">
        <x:v>25607.566319080077</x:v>
      </x:c>
      <x:c r="T152" s="61" t="n">
        <x:v>170765.2163717491</x:v>
      </x:c>
    </x:row>
    <x:row r="153">
      <x:c r="A153" s="59" t="str">
        <x:v>21|aggregate</x:v>
      </x:c>
      <x:c r="B153" s="59" t="str">
        <x:v>21</x:v>
      </x:c>
      <x:c r="C153" s="59" t="str">
        <x:v>Test building 5</x:v>
      </x:c>
      <x:c r="D153" s="59" t="str">
        <x:v>aggregate</x:v>
      </x:c>
      <x:c r="E153" s="59" t="str">
        <x:v>2023-08</x:v>
      </x:c>
      <x:c r="F153" s="61" t="n">
        <x:v>0</x:v>
      </x:c>
      <x:c r="G153" s="61" t="n">
        <x:v>0</x:v>
      </x:c>
      <x:c r="H153" s="61" t="n">
        <x:v>0</x:v>
      </x:c>
      <x:c r="I153" s="61" t="n">
        <x:v>25387.088483815576</x:v>
      </x:c>
      <x:c r="J153" s="61" t="n">
        <x:v>53349.72828245607</x:v>
      </x:c>
      <x:c r="K153" s="61" t="n">
        <x:v>78736.81676627164</x:v>
      </x:c>
      <x:c r="L153" s="61" t="n">
        <x:v>0</x:v>
      </x:c>
      <x:c r="M153" s="61" t="n">
        <x:v>1326.6624856016253</x:v>
      </x:c>
      <x:c r="N153" s="61" t="n">
        <x:v>1326.6624856016253</x:v>
      </x:c>
      <x:c r="O153" s="61" t="n">
        <x:v>23199.60170033686</x:v>
      </x:c>
      <x:c r="P153" s="61" t="n">
        <x:v>54729.47507480639</x:v>
      </x:c>
      <x:c r="Q153" s="61" t="n">
        <x:v>77929.07677514326</x:v>
      </x:c>
      <x:c r="R153" s="61" t="n">
        <x:v>127661.00827493797</x:v>
      </x:c>
      <x:c r="S153" s="61" t="n">
        <x:v>27242.091828808592</x:v>
      </x:c>
      <x:c r="T153" s="61" t="n">
        <x:v>154903.10010374658</x:v>
      </x:c>
    </x:row>
    <x:row r="154">
      <x:c r="A154" s="59" t="str">
        <x:v>21|aggregate</x:v>
      </x:c>
      <x:c r="B154" s="59" t="str">
        <x:v>21</x:v>
      </x:c>
      <x:c r="C154" s="59" t="str">
        <x:v>Test building 5</x:v>
      </x:c>
      <x:c r="D154" s="59" t="str">
        <x:v>aggregate</x:v>
      </x:c>
      <x:c r="E154" s="59" t="str">
        <x:v>2023-09</x:v>
      </x:c>
      <x:c r="F154" s="61" t="n">
        <x:v>0</x:v>
      </x:c>
      <x:c r="G154" s="61" t="n">
        <x:v>0</x:v>
      </x:c>
      <x:c r="H154" s="61" t="n">
        <x:v>0</x:v>
      </x:c>
      <x:c r="I154" s="61" t="n">
        <x:v>4698.29263484056</x:v>
      </x:c>
      <x:c r="J154" s="61" t="n">
        <x:v>13570.844518319618</x:v>
      </x:c>
      <x:c r="K154" s="61" t="n">
        <x:v>18269.137153160176</x:v>
      </x:c>
      <x:c r="L154" s="61" t="n">
        <x:v>0</x:v>
      </x:c>
      <x:c r="M154" s="61" t="n">
        <x:v>10689.350600548125</x:v>
      </x:c>
      <x:c r="N154" s="61" t="n">
        <x:v>10689.350600548125</x:v>
      </x:c>
      <x:c r="O154" s="61" t="n">
        <x:v>3739.4141703012933</x:v>
      </x:c>
      <x:c r="P154" s="61" t="n">
        <x:v>24273.698446746672</x:v>
      </x:c>
      <x:c r="Q154" s="61" t="n">
        <x:v>28013.112617047966</x:v>
      </x:c>
      <x:c r="R154" s="61" t="n">
        <x:v>95650.59615804514</x:v>
      </x:c>
      <x:c r="S154" s="61" t="n">
        <x:v>25607.566319080077</x:v>
      </x:c>
      <x:c r="T154" s="61" t="n">
        <x:v>121258.16247712522</x:v>
      </x:c>
    </x:row>
    <x:row r="155">
      <x:c r="A155" s="59" t="str">
        <x:v>21|aggregate</x:v>
      </x:c>
      <x:c r="B155" s="59" t="str">
        <x:v>21</x:v>
      </x:c>
      <x:c r="C155" s="59" t="str">
        <x:v>Test building 5</x:v>
      </x:c>
      <x:c r="D155" s="59" t="str">
        <x:v>aggregate</x:v>
      </x:c>
      <x:c r="E155" s="59" t="str">
        <x:v>2023-10</x:v>
      </x:c>
      <x:c r="F155" s="61" t="n">
        <x:v>4515.473560339931</x:v>
      </x:c>
      <x:c r="G155" s="61" t="n">
        <x:v>127754.69443353167</x:v>
      </x:c>
      <x:c r="H155" s="61" t="n">
        <x:v>132270.1679938716</x:v>
      </x:c>
      <x:c r="I155" s="61" t="n">
        <x:v>0</x:v>
      </x:c>
      <x:c r="J155" s="61" t="n">
        <x:v>0</x:v>
      </x:c>
      <x:c r="K155" s="61" t="n">
        <x:v>0</x:v>
      </x:c>
      <x:c r="L155" s="61" t="n">
        <x:v>5876.460500268012</x:v>
      </x:c>
      <x:c r="M155" s="61" t="n">
        <x:v>127881.81353247052</x:v>
      </x:c>
      <x:c r="N155" s="61" t="n">
        <x:v>133758.27403273853</x:v>
      </x:c>
      <x:c r="O155" s="61" t="n">
        <x:v>0</x:v>
      </x:c>
      <x:c r="P155" s="61" t="n">
        <x:v>0</x:v>
      </x:c>
      <x:c r="Q155" s="61" t="n">
        <x:v>0</x:v>
      </x:c>
      <x:c r="R155" s="61" t="n">
        <x:v>61103.123228165125</x:v>
      </x:c>
      <x:c r="S155" s="61" t="n">
        <x:v>26152.408155656252</x:v>
      </x:c>
      <x:c r="T155" s="61" t="n">
        <x:v>87255.53138382136</x:v>
      </x:c>
    </x:row>
    <x:row r="156">
      <x:c r="A156" s="59" t="str">
        <x:v>21|aggregate</x:v>
      </x:c>
      <x:c r="B156" s="59" t="str">
        <x:v>21</x:v>
      </x:c>
      <x:c r="C156" s="59" t="str">
        <x:v>Test building 5</x:v>
      </x:c>
      <x:c r="D156" s="59" t="str">
        <x:v>aggregate</x:v>
      </x:c>
      <x:c r="E156" s="59" t="str">
        <x:v>2023-11</x:v>
      </x:c>
      <x:c r="F156" s="61" t="n">
        <x:v>184231.44579678233</x:v>
      </x:c>
      <x:c r="G156" s="61" t="n">
        <x:v>198338.95628690172</x:v>
      </x:c>
      <x:c r="H156" s="61" t="n">
        <x:v>382570.40208368405</x:v>
      </x:c>
      <x:c r="I156" s="61" t="n">
        <x:v>0</x:v>
      </x:c>
      <x:c r="J156" s="61" t="n">
        <x:v>0</x:v>
      </x:c>
      <x:c r="K156" s="61" t="n">
        <x:v>0</x:v>
      </x:c>
      <x:c r="L156" s="61" t="n">
        <x:v>184188.71583049762</x:v>
      </x:c>
      <x:c r="M156" s="61" t="n">
        <x:v>198536.30848221207</x:v>
      </x:c>
      <x:c r="N156" s="61" t="n">
        <x:v>382725.0243127097</x:v>
      </x:c>
      <x:c r="O156" s="61" t="n">
        <x:v>0</x:v>
      </x:c>
      <x:c r="P156" s="61" t="n">
        <x:v>0</x:v>
      </x:c>
      <x:c r="Q156" s="61" t="n">
        <x:v>0</x:v>
      </x:c>
      <x:c r="R156" s="61" t="n">
        <x:v>22566.79008835378</x:v>
      </x:c>
      <x:c r="S156" s="61" t="n">
        <x:v>26152.408155656252</x:v>
      </x:c>
      <x:c r="T156" s="61" t="n">
        <x:v>48719.19824401003</x:v>
      </x:c>
    </x:row>
    <x:row r="157">
      <x:c r="A157" s="59" t="str">
        <x:v>21|aggregate</x:v>
      </x:c>
      <x:c r="B157" s="59" t="str">
        <x:v>21</x:v>
      </x:c>
      <x:c r="C157" s="59" t="str">
        <x:v>Test building 5</x:v>
      </x:c>
      <x:c r="D157" s="59" t="str">
        <x:v>aggregate</x:v>
      </x:c>
      <x:c r="E157" s="59" t="str">
        <x:v>2023-12</x:v>
      </x:c>
      <x:c r="F157" s="61" t="n">
        <x:v>323716.2902843732</x:v>
      </x:c>
      <x:c r="G157" s="61" t="n">
        <x:v>263831.1968579563</x:v>
      </x:c>
      <x:c r="H157" s="61" t="n">
        <x:v>587547.4871423296</x:v>
      </x:c>
      <x:c r="I157" s="61" t="n">
        <x:v>0</x:v>
      </x:c>
      <x:c r="J157" s="61" t="n">
        <x:v>0</x:v>
      </x:c>
      <x:c r="K157" s="61" t="n">
        <x:v>0</x:v>
      </x:c>
      <x:c r="L157" s="61" t="n">
        <x:v>323754.3146510594</x:v>
      </x:c>
      <x:c r="M157" s="61" t="n">
        <x:v>264093.7154617951</x:v>
      </x:c>
      <x:c r="N157" s="61" t="n">
        <x:v>587848.0301128544</x:v>
      </x:c>
      <x:c r="O157" s="61" t="n">
        <x:v>0</x:v>
      </x:c>
      <x:c r="P157" s="61" t="n">
        <x:v>0</x:v>
      </x:c>
      <x:c r="Q157" s="61" t="n">
        <x:v>0</x:v>
      </x:c>
      <x:c r="R157" s="61" t="n">
        <x:v>16913.016081209338</x:v>
      </x:c>
      <x:c r="S157" s="61" t="n">
        <x:v>25607.566319080077</x:v>
      </x:c>
      <x:c r="T157" s="61" t="n">
        <x:v>42520.582400289415</x:v>
      </x:c>
    </x:row>
  </x:sheetData>
  <x:pageMargins left="0.7" right="0.7" top="0.75" bottom="0.75" header="0.3" footer="0.3"/>
  <x:tableParts count="1">
    <x:tablePart xmlns:r="http://schemas.openxmlformats.org/officeDocument/2006/relationships" r:id="Rdc9f6c216177437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14" hidden="0" customWidth="1"/>
  </x:cols>
  <x:sheetData>
    <x:row r="1" ht="25" customHeight="1">
      <x:c r="A1" s="2" t="str">
        <x:v>Spreadsheet/Python reproduction check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0" customHeight="1">
      <x:c r="A3" s="33" t="str">
        <x:v>Metric</x:v>
      </x:c>
      <x:c r="B3" s="33" t="str">
        <x:v>Value</x:v>
      </x:c>
    </x:row>
    <x:row r="4">
      <x:c r="A4" s="69" t="str">
        <x:v>Max absolute total-gain difference (kWh/month)</x:v>
      </x:c>
      <x:c r="B4" s="71" t="n">
        <x:f>MAX(MAX(C11:C166),-MIN(C11:C166))</x:f>
        <x:v>2.9103830456733704e-11</x:v>
      </x:c>
    </x:row>
    <x:row r="5">
      <x:c r="A5" s="69" t="str">
        <x:v>Max absolute heating difference (kWh/month)</x:v>
      </x:c>
      <x:c r="B5" s="71" t="n">
        <x:f>MAX(MAX(F11:F166),-MIN(F11:F166),MAX(D11:D166),-MIN(D11:D166),MAX(E11:E166),-MIN(E11:E166))</x:f>
        <x:v>3.092281986027956e-11</x:v>
      </x:c>
    </x:row>
    <x:row r="6">
      <x:c r="A6" s="69" t="str">
        <x:v>Max absolute cooling difference (kWh/month)</x:v>
      </x:c>
      <x:c r="B6" s="71" t="n">
        <x:f>MAX(MAX(I11:I166),-MIN(I11:I166),MAX(G11:G166),-MIN(G11:G166),MAX(H11:H166),-MIN(H11:H166))</x:f>
        <x:v>1.4551915228366852e-11</x:v>
      </x:c>
    </x:row>
    <x:row r="7">
      <x:c r="A7" s="69" t="str">
        <x:v>Tolerance (kWh)</x:v>
      </x:c>
      <x:c r="B7" s="71" t="n">
        <x:f>'Settings_General'!B6</x:f>
        <x:v>0.000001</x:v>
      </x:c>
    </x:row>
    <x:row r="8">
      <x:c r="A8" s="69" t="str">
        <x:v>Overall status</x:v>
      </x:c>
      <x:c r="B8" s="70" t="str">
        <x:f>IF(MAX(B4:B6)&lt;=B7,"PASS","CHECK")</x:f>
        <x:v>PASS</x:v>
      </x:c>
    </x:row>
    <x:row r="10" ht="30" customHeight="1">
      <x:c r="A10" s="33" t="str">
        <x:v>case_id</x:v>
      </x:c>
      <x:c r="B10" s="33" t="str">
        <x:v>period_id</x:v>
      </x:c>
      <x:c r="C10" s="33" t="str">
        <x:v>delta_total_gain_kWh</x:v>
      </x:c>
      <x:c r="D10" s="33" t="str">
        <x:v>delta_zone_H_kWh</x:v>
      </x:c>
      <x:c r="E10" s="33" t="str">
        <x:v>delta_AHU_H_kWh</x:v>
      </x:c>
      <x:c r="F10" s="33" t="str">
        <x:v>delta_total_H_kWh</x:v>
      </x:c>
      <x:c r="G10" s="33" t="str">
        <x:v>delta_zone_C_kWh</x:v>
      </x:c>
      <x:c r="H10" s="33" t="str">
        <x:v>delta_AHU_C_kWh</x:v>
      </x:c>
      <x:c r="I10" s="33" t="str">
        <x:v>delta_total_C_kWh</x:v>
      </x:c>
      <x:c r="J10" s="33" t="str">
        <x:v>status</x:v>
      </x:c>
    </x:row>
    <x:row r="11">
      <x:c r="A11" s="38" t="str">
        <x:f>'Calc_Monthly'!A2</x:f>
        <x:v>1|aggregate</x:v>
      </x:c>
      <x:c r="B11" s="38" t="str">
        <x:f>'Calc_Monthly'!E2</x:f>
        <x:v>2023-01</x:v>
      </x:c>
      <x:c r="C11" s="72" t="n">
        <x:f>'Calc_Monthly'!K2-'Tested_Results'!T2</x:f>
        <x:v>-7.275957614183426e-12</x:v>
      </x:c>
      <x:c r="D11" s="72" t="n">
        <x:f>'Calc_Monthly'!Q2-'Tested_Results'!F2</x:f>
        <x:v>7.275957614183426e-12</x:v>
      </x:c>
      <x:c r="E11" s="72" t="n">
        <x:f>'Calc_Monthly'!AC2-'Tested_Results'!G2</x:f>
        <x:v>0</x:v>
      </x:c>
      <x:c r="F11" s="72" t="n">
        <x:f>'Calc_Monthly'!AE2-'Tested_Results'!H2</x:f>
        <x:v>7.275957614183426e-12</x:v>
      </x:c>
      <x:c r="G11" s="72" t="n">
        <x:f>'Calc_Monthly'!U2-'Tested_Results'!I2</x:f>
        <x:v>0</x:v>
      </x:c>
      <x:c r="H11" s="72" t="n">
        <x:f>'Calc_Monthly'!AD2-'Tested_Results'!J2</x:f>
        <x:v>0</x:v>
      </x:c>
      <x:c r="I11" s="72" t="n">
        <x:f>'Calc_Monthly'!AF2-'Tested_Results'!K2</x:f>
        <x:v>0</x:v>
      </x:c>
      <x:c r="J11" s="38" t="str">
        <x:f>IF(MAX(ABS(C11),ABS(D11),ABS(E11),ABS(F11),ABS(G11),ABS(H11),ABS(I11))&lt;='Settings_General'!$B$6,"PASS","CHECK")</x:f>
        <x:v>PASS</x:v>
      </x:c>
    </x:row>
    <x:row r="12">
      <x:c r="A12" s="39" t="str">
        <x:f>'Calc_Monthly'!A3</x:f>
        <x:v>1|aggregate</x:v>
      </x:c>
      <x:c r="B12" s="39" t="str">
        <x:f>'Calc_Monthly'!E3</x:f>
        <x:v>2023-02</x:v>
      </x:c>
      <x:c r="C12" s="73" t="n">
        <x:f>'Calc_Monthly'!K3-'Tested_Results'!T3</x:f>
        <x:v>3.637978807091713e-12</x:v>
      </x:c>
      <x:c r="D12" s="73" t="n">
        <x:f>'Calc_Monthly'!Q3-'Tested_Results'!F3</x:f>
        <x:v>-3.637978807091713e-12</x:v>
      </x:c>
      <x:c r="E12" s="73" t="n">
        <x:f>'Calc_Monthly'!AC3-'Tested_Results'!G3</x:f>
        <x:v>0</x:v>
      </x:c>
      <x:c r="F12" s="73" t="n">
        <x:f>'Calc_Monthly'!AE3-'Tested_Results'!H3</x:f>
        <x:v>-7.275957614183426e-12</x:v>
      </x:c>
      <x:c r="G12" s="73" t="n">
        <x:f>'Calc_Monthly'!U3-'Tested_Results'!I3</x:f>
        <x:v>0</x:v>
      </x:c>
      <x:c r="H12" s="73" t="n">
        <x:f>'Calc_Monthly'!AD3-'Tested_Results'!J3</x:f>
        <x:v>0</x:v>
      </x:c>
      <x:c r="I12" s="73" t="n">
        <x:f>'Calc_Monthly'!AF3-'Tested_Results'!K3</x:f>
        <x:v>0</x:v>
      </x:c>
      <x:c r="J12" s="39" t="str">
        <x:f>IF(MAX(ABS(C12),ABS(D12),ABS(E12),ABS(F12),ABS(G12),ABS(H12),ABS(I12))&lt;='Settings_General'!$B$6,"PASS","CHECK")</x:f>
        <x:v>PASS</x:v>
      </x:c>
    </x:row>
    <x:row r="13">
      <x:c r="A13" s="39" t="str">
        <x:f>'Calc_Monthly'!A4</x:f>
        <x:v>1|aggregate</x:v>
      </x:c>
      <x:c r="B13" s="39" t="str">
        <x:f>'Calc_Monthly'!E4</x:f>
        <x:v>2023-03</x:v>
      </x:c>
      <x:c r="C13" s="73" t="n">
        <x:f>'Calc_Monthly'!K4-'Tested_Results'!T4</x:f>
        <x:v>7.275957614183426e-12</x:v>
      </x:c>
      <x:c r="D13" s="73" t="n">
        <x:f>'Calc_Monthly'!Q4-'Tested_Results'!F4</x:f>
        <x:v>-7.275957614183426e-12</x:v>
      </x:c>
      <x:c r="E13" s="73" t="n">
        <x:f>'Calc_Monthly'!AC4-'Tested_Results'!G4</x:f>
        <x:v>0</x:v>
      </x:c>
      <x:c r="F13" s="73" t="n">
        <x:f>'Calc_Monthly'!AE4-'Tested_Results'!H4</x:f>
        <x:v>-1.4551915228366852e-11</x:v>
      </x:c>
      <x:c r="G13" s="73" t="n">
        <x:f>'Calc_Monthly'!U4-'Tested_Results'!I4</x:f>
        <x:v>0</x:v>
      </x:c>
      <x:c r="H13" s="73" t="n">
        <x:f>'Calc_Monthly'!AD4-'Tested_Results'!J4</x:f>
        <x:v>0</x:v>
      </x:c>
      <x:c r="I13" s="73" t="n">
        <x:f>'Calc_Monthly'!AF4-'Tested_Results'!K4</x:f>
        <x:v>0</x:v>
      </x:c>
      <x:c r="J13" s="39" t="str">
        <x:f>IF(MAX(ABS(C13),ABS(D13),ABS(E13),ABS(F13),ABS(G13),ABS(H13),ABS(I13))&lt;='Settings_General'!$B$6,"PASS","CHECK")</x:f>
        <x:v>PASS</x:v>
      </x:c>
    </x:row>
    <x:row r="14">
      <x:c r="A14" s="39" t="str">
        <x:f>'Calc_Monthly'!A5</x:f>
        <x:v>1|aggregate</x:v>
      </x:c>
      <x:c r="B14" s="39" t="str">
        <x:f>'Calc_Monthly'!E5</x:f>
        <x:v>2023-04</x:v>
      </x:c>
      <x:c r="C14" s="73" t="n">
        <x:f>'Calc_Monthly'!K5-'Tested_Results'!T5</x:f>
        <x:v>0</x:v>
      </x:c>
      <x:c r="D14" s="73" t="n">
        <x:f>'Calc_Monthly'!Q5-'Tested_Results'!F5</x:f>
        <x:v>0</x:v>
      </x:c>
      <x:c r="E14" s="73" t="n">
        <x:f>'Calc_Monthly'!AC5-'Tested_Results'!G5</x:f>
        <x:v>0</x:v>
      </x:c>
      <x:c r="F14" s="73" t="n">
        <x:f>'Calc_Monthly'!AE5-'Tested_Results'!H5</x:f>
        <x:v>0</x:v>
      </x:c>
      <x:c r="G14" s="73" t="n">
        <x:f>'Calc_Monthly'!U5-'Tested_Results'!I5</x:f>
        <x:v>0</x:v>
      </x:c>
      <x:c r="H14" s="73" t="n">
        <x:f>'Calc_Monthly'!AD5-'Tested_Results'!J5</x:f>
        <x:v>0</x:v>
      </x:c>
      <x:c r="I14" s="73" t="n">
        <x:f>'Calc_Monthly'!AF5-'Tested_Results'!K5</x:f>
        <x:v>0</x:v>
      </x:c>
      <x:c r="J14" s="39" t="str">
        <x:f>IF(MAX(ABS(C14),ABS(D14),ABS(E14),ABS(F14),ABS(G14),ABS(H14),ABS(I14))&lt;='Settings_General'!$B$6,"PASS","CHECK")</x:f>
        <x:v>PASS</x:v>
      </x:c>
    </x:row>
    <x:row r="15">
      <x:c r="A15" s="39" t="str">
        <x:f>'Calc_Monthly'!A6</x:f>
        <x:v>1|aggregate</x:v>
      </x:c>
      <x:c r="B15" s="39" t="str">
        <x:f>'Calc_Monthly'!E6</x:f>
        <x:v>2023-05</x:v>
      </x:c>
      <x:c r="C15" s="73" t="n">
        <x:f>'Calc_Monthly'!K6-'Tested_Results'!T6</x:f>
        <x:v>1.0913936421275139e-11</x:v>
      </x:c>
      <x:c r="D15" s="73" t="n">
        <x:f>'Calc_Monthly'!Q6-'Tested_Results'!F6</x:f>
        <x:v>0</x:v>
      </x:c>
      <x:c r="E15" s="73" t="n">
        <x:f>'Calc_Monthly'!AC6-'Tested_Results'!G6</x:f>
        <x:v>0</x:v>
      </x:c>
      <x:c r="F15" s="73" t="n">
        <x:f>'Calc_Monthly'!AE6-'Tested_Results'!H6</x:f>
        <x:v>0</x:v>
      </x:c>
      <x:c r="G15" s="73" t="n">
        <x:f>'Calc_Monthly'!U6-'Tested_Results'!I6</x:f>
        <x:v>0</x:v>
      </x:c>
      <x:c r="H15" s="73" t="n">
        <x:f>'Calc_Monthly'!AD6-'Tested_Results'!J6</x:f>
        <x:v>0</x:v>
      </x:c>
      <x:c r="I15" s="73" t="n">
        <x:f>'Calc_Monthly'!AF6-'Tested_Results'!K6</x:f>
        <x:v>0</x:v>
      </x:c>
      <x:c r="J15" s="39" t="str">
        <x:f>IF(MAX(ABS(C15),ABS(D15),ABS(E15),ABS(F15),ABS(G15),ABS(H15),ABS(I15))&lt;='Settings_General'!$B$6,"PASS","CHECK")</x:f>
        <x:v>PASS</x:v>
      </x:c>
    </x:row>
    <x:row r="16">
      <x:c r="A16" s="39" t="str">
        <x:f>'Calc_Monthly'!A7</x:f>
        <x:v>1|aggregate</x:v>
      </x:c>
      <x:c r="B16" s="39" t="str">
        <x:f>'Calc_Monthly'!E7</x:f>
        <x:v>2023-06</x:v>
      </x:c>
      <x:c r="C16" s="73" t="n">
        <x:f>'Calc_Monthly'!K7-'Tested_Results'!T7</x:f>
        <x:v>3.637978807091713e-12</x:v>
      </x:c>
      <x:c r="D16" s="73" t="n">
        <x:f>'Calc_Monthly'!Q7-'Tested_Results'!F7</x:f>
        <x:v>0</x:v>
      </x:c>
      <x:c r="E16" s="73" t="n">
        <x:f>'Calc_Monthly'!AC7-'Tested_Results'!G7</x:f>
        <x:v>0</x:v>
      </x:c>
      <x:c r="F16" s="73" t="n">
        <x:f>'Calc_Monthly'!AE7-'Tested_Results'!H7</x:f>
        <x:v>0</x:v>
      </x:c>
      <x:c r="G16" s="73" t="n">
        <x:f>'Calc_Monthly'!U7-'Tested_Results'!I7</x:f>
        <x:v>0</x:v>
      </x:c>
      <x:c r="H16" s="73" t="n">
        <x:f>'Calc_Monthly'!AD7-'Tested_Results'!J7</x:f>
        <x:v>0</x:v>
      </x:c>
      <x:c r="I16" s="73" t="n">
        <x:f>'Calc_Monthly'!AF7-'Tested_Results'!K7</x:f>
        <x:v>0</x:v>
      </x:c>
      <x:c r="J16" s="39" t="str">
        <x:f>IF(MAX(ABS(C16),ABS(D16),ABS(E16),ABS(F16),ABS(G16),ABS(H16),ABS(I16))&lt;='Settings_General'!$B$6,"PASS","CHECK")</x:f>
        <x:v>PASS</x:v>
      </x:c>
    </x:row>
    <x:row r="17">
      <x:c r="A17" s="39" t="str">
        <x:f>'Calc_Monthly'!A8</x:f>
        <x:v>1|aggregate</x:v>
      </x:c>
      <x:c r="B17" s="39" t="str">
        <x:f>'Calc_Monthly'!E8</x:f>
        <x:v>2023-07</x:v>
      </x:c>
      <x:c r="C17" s="73" t="n">
        <x:f>'Calc_Monthly'!K8-'Tested_Results'!T8</x:f>
        <x:v>7.275957614183426e-12</x:v>
      </x:c>
      <x:c r="D17" s="73" t="n">
        <x:f>'Calc_Monthly'!Q8-'Tested_Results'!F8</x:f>
        <x:v>0</x:v>
      </x:c>
      <x:c r="E17" s="73" t="n">
        <x:f>'Calc_Monthly'!AC8-'Tested_Results'!G8</x:f>
        <x:v>0</x:v>
      </x:c>
      <x:c r="F17" s="73" t="n">
        <x:f>'Calc_Monthly'!AE8-'Tested_Results'!H8</x:f>
        <x:v>0</x:v>
      </x:c>
      <x:c r="G17" s="73" t="n">
        <x:f>'Calc_Monthly'!U8-'Tested_Results'!I8</x:f>
        <x:v>0</x:v>
      </x:c>
      <x:c r="H17" s="73" t="n">
        <x:f>'Calc_Monthly'!AD8-'Tested_Results'!J8</x:f>
        <x:v>0</x:v>
      </x:c>
      <x:c r="I17" s="73" t="n">
        <x:f>'Calc_Monthly'!AF8-'Tested_Results'!K8</x:f>
        <x:v>0</x:v>
      </x:c>
      <x:c r="J17" s="39" t="str">
        <x:f>IF(MAX(ABS(C17),ABS(D17),ABS(E17),ABS(F17),ABS(G17),ABS(H17),ABS(I17))&lt;='Settings_General'!$B$6,"PASS","CHECK")</x:f>
        <x:v>PASS</x:v>
      </x:c>
    </x:row>
    <x:row r="18">
      <x:c r="A18" s="39" t="str">
        <x:f>'Calc_Monthly'!A9</x:f>
        <x:v>1|aggregate</x:v>
      </x:c>
      <x:c r="B18" s="39" t="str">
        <x:f>'Calc_Monthly'!E9</x:f>
        <x:v>2023-08</x:v>
      </x:c>
      <x:c r="C18" s="73" t="n">
        <x:f>'Calc_Monthly'!K9-'Tested_Results'!T9</x:f>
        <x:v>3.637978807091713e-12</x:v>
      </x:c>
      <x:c r="D18" s="73" t="n">
        <x:f>'Calc_Monthly'!Q9-'Tested_Results'!F9</x:f>
        <x:v>0</x:v>
      </x:c>
      <x:c r="E18" s="73" t="n">
        <x:f>'Calc_Monthly'!AC9-'Tested_Results'!G9</x:f>
        <x:v>0</x:v>
      </x:c>
      <x:c r="F18" s="73" t="n">
        <x:f>'Calc_Monthly'!AE9-'Tested_Results'!H9</x:f>
        <x:v>0</x:v>
      </x:c>
      <x:c r="G18" s="73" t="n">
        <x:f>'Calc_Monthly'!U9-'Tested_Results'!I9</x:f>
        <x:v>3.637978807091713e-12</x:v>
      </x:c>
      <x:c r="H18" s="73" t="n">
        <x:f>'Calc_Monthly'!AD9-'Tested_Results'!J9</x:f>
        <x:v>0</x:v>
      </x:c>
      <x:c r="I18" s="73" t="n">
        <x:f>'Calc_Monthly'!AF9-'Tested_Results'!K9</x:f>
        <x:v>3.637978807091713e-12</x:v>
      </x:c>
      <x:c r="J18" s="39" t="str">
        <x:f>IF(MAX(ABS(C18),ABS(D18),ABS(E18),ABS(F18),ABS(G18),ABS(H18),ABS(I18))&lt;='Settings_General'!$B$6,"PASS","CHECK")</x:f>
        <x:v>PASS</x:v>
      </x:c>
    </x:row>
    <x:row r="19">
      <x:c r="A19" s="39" t="str">
        <x:f>'Calc_Monthly'!A10</x:f>
        <x:v>1|aggregate</x:v>
      </x:c>
      <x:c r="B19" s="39" t="str">
        <x:f>'Calc_Monthly'!E10</x:f>
        <x:v>2023-09</x:v>
      </x:c>
      <x:c r="C19" s="73" t="n">
        <x:f>'Calc_Monthly'!K10-'Tested_Results'!T10</x:f>
        <x:v>-3.637978807091713e-12</x:v>
      </x:c>
      <x:c r="D19" s="73" t="n">
        <x:f>'Calc_Monthly'!Q10-'Tested_Results'!F10</x:f>
        <x:v>0</x:v>
      </x:c>
      <x:c r="E19" s="73" t="n">
        <x:f>'Calc_Monthly'!AC10-'Tested_Results'!G10</x:f>
        <x:v>0</x:v>
      </x:c>
      <x:c r="F19" s="73" t="n">
        <x:f>'Calc_Monthly'!AE10-'Tested_Results'!H10</x:f>
        <x:v>0</x:v>
      </x:c>
      <x:c r="G19" s="73" t="n">
        <x:f>'Calc_Monthly'!U10-'Tested_Results'!I10</x:f>
        <x:v>0</x:v>
      </x:c>
      <x:c r="H19" s="73" t="n">
        <x:f>'Calc_Monthly'!AD10-'Tested_Results'!J10</x:f>
        <x:v>0</x:v>
      </x:c>
      <x:c r="I19" s="73" t="n">
        <x:f>'Calc_Monthly'!AF10-'Tested_Results'!K10</x:f>
        <x:v>0</x:v>
      </x:c>
      <x:c r="J19" s="39" t="str">
        <x:f>IF(MAX(ABS(C19),ABS(D19),ABS(E19),ABS(F19),ABS(G19),ABS(H19),ABS(I19))&lt;='Settings_General'!$B$6,"PASS","CHECK")</x:f>
        <x:v>PASS</x:v>
      </x:c>
    </x:row>
    <x:row r="20">
      <x:c r="A20" s="39" t="str">
        <x:f>'Calc_Monthly'!A11</x:f>
        <x:v>1|aggregate</x:v>
      </x:c>
      <x:c r="B20" s="39" t="str">
        <x:f>'Calc_Monthly'!E11</x:f>
        <x:v>2023-10</x:v>
      </x:c>
      <x:c r="C20" s="73" t="n">
        <x:f>'Calc_Monthly'!K11-'Tested_Results'!T11</x:f>
        <x:v>-7.275957614183426e-12</x:v>
      </x:c>
      <x:c r="D20" s="73" t="n">
        <x:f>'Calc_Monthly'!Q11-'Tested_Results'!F11</x:f>
        <x:v>0</x:v>
      </x:c>
      <x:c r="E20" s="73" t="n">
        <x:f>'Calc_Monthly'!AC11-'Tested_Results'!G11</x:f>
        <x:v>0</x:v>
      </x:c>
      <x:c r="F20" s="73" t="n">
        <x:f>'Calc_Monthly'!AE11-'Tested_Results'!H11</x:f>
        <x:v>0</x:v>
      </x:c>
      <x:c r="G20" s="73" t="n">
        <x:f>'Calc_Monthly'!U11-'Tested_Results'!I11</x:f>
        <x:v>0</x:v>
      </x:c>
      <x:c r="H20" s="73" t="n">
        <x:f>'Calc_Monthly'!AD11-'Tested_Results'!J11</x:f>
        <x:v>0</x:v>
      </x:c>
      <x:c r="I20" s="73" t="n">
        <x:f>'Calc_Monthly'!AF11-'Tested_Results'!K11</x:f>
        <x:v>0</x:v>
      </x:c>
      <x:c r="J20" s="39" t="str">
        <x:f>IF(MAX(ABS(C20),ABS(D20),ABS(E20),ABS(F20),ABS(G20),ABS(H20),ABS(I20))&lt;='Settings_General'!$B$6,"PASS","CHECK")</x:f>
        <x:v>PASS</x:v>
      </x:c>
    </x:row>
    <x:row r="21">
      <x:c r="A21" s="39" t="str">
        <x:f>'Calc_Monthly'!A12</x:f>
        <x:v>1|aggregate</x:v>
      </x:c>
      <x:c r="B21" s="39" t="str">
        <x:f>'Calc_Monthly'!E12</x:f>
        <x:v>2023-11</x:v>
      </x:c>
      <x:c r="C21" s="73" t="n">
        <x:f>'Calc_Monthly'!K12-'Tested_Results'!T12</x:f>
        <x:v>3.637978807091713e-12</x:v>
      </x:c>
      <x:c r="D21" s="73" t="n">
        <x:f>'Calc_Monthly'!Q12-'Tested_Results'!F12</x:f>
        <x:v>-3.637978807091713e-12</x:v>
      </x:c>
      <x:c r="E21" s="73" t="n">
        <x:f>'Calc_Monthly'!AC12-'Tested_Results'!G12</x:f>
        <x:v>0</x:v>
      </x:c>
      <x:c r="F21" s="73" t="n">
        <x:f>'Calc_Monthly'!AE12-'Tested_Results'!H12</x:f>
        <x:v>-7.275957614183426e-12</x:v>
      </x:c>
      <x:c r="G21" s="73" t="n">
        <x:f>'Calc_Monthly'!U12-'Tested_Results'!I12</x:f>
        <x:v>0</x:v>
      </x:c>
      <x:c r="H21" s="73" t="n">
        <x:f>'Calc_Monthly'!AD12-'Tested_Results'!J12</x:f>
        <x:v>0</x:v>
      </x:c>
      <x:c r="I21" s="73" t="n">
        <x:f>'Calc_Monthly'!AF12-'Tested_Results'!K12</x:f>
        <x:v>0</x:v>
      </x:c>
      <x:c r="J21" s="39" t="str">
        <x:f>IF(MAX(ABS(C21),ABS(D21),ABS(E21),ABS(F21),ABS(G21),ABS(H21),ABS(I21))&lt;='Settings_General'!$B$6,"PASS","CHECK")</x:f>
        <x:v>PASS</x:v>
      </x:c>
    </x:row>
    <x:row r="22">
      <x:c r="A22" s="39" t="str">
        <x:f>'Calc_Monthly'!A13</x:f>
        <x:v>1|aggregate</x:v>
      </x:c>
      <x:c r="B22" s="39" t="str">
        <x:f>'Calc_Monthly'!E13</x:f>
        <x:v>2023-12</x:v>
      </x:c>
      <x:c r="C22" s="73" t="n">
        <x:f>'Calc_Monthly'!K13-'Tested_Results'!T13</x:f>
        <x:v>0</x:v>
      </x:c>
      <x:c r="D22" s="73" t="n">
        <x:f>'Calc_Monthly'!Q13-'Tested_Results'!F13</x:f>
        <x:v>0</x:v>
      </x:c>
      <x:c r="E22" s="73" t="n">
        <x:f>'Calc_Monthly'!AC13-'Tested_Results'!G13</x:f>
        <x:v>0</x:v>
      </x:c>
      <x:c r="F22" s="73" t="n">
        <x:f>'Calc_Monthly'!AE13-'Tested_Results'!H13</x:f>
        <x:v>0</x:v>
      </x:c>
      <x:c r="G22" s="73" t="n">
        <x:f>'Calc_Monthly'!U13-'Tested_Results'!I13</x:f>
        <x:v>0</x:v>
      </x:c>
      <x:c r="H22" s="73" t="n">
        <x:f>'Calc_Monthly'!AD13-'Tested_Results'!J13</x:f>
        <x:v>0</x:v>
      </x:c>
      <x:c r="I22" s="73" t="n">
        <x:f>'Calc_Monthly'!AF13-'Tested_Results'!K13</x:f>
        <x:v>0</x:v>
      </x:c>
      <x:c r="J22" s="39" t="str">
        <x:f>IF(MAX(ABS(C22),ABS(D22),ABS(E22),ABS(F22),ABS(G22),ABS(H22),ABS(I22))&lt;='Settings_General'!$B$6,"PASS","CHECK")</x:f>
        <x:v>PASS</x:v>
      </x:c>
    </x:row>
    <x:row r="23">
      <x:c r="A23" s="39" t="str">
        <x:f>'Calc_Monthly'!A14</x:f>
        <x:v>1|lower</x:v>
      </x:c>
      <x:c r="B23" s="39" t="str">
        <x:f>'Calc_Monthly'!E14</x:f>
        <x:v>2023-01</x:v>
      </x:c>
      <x:c r="C23" s="73" t="n">
        <x:f>'Calc_Monthly'!K14-'Tested_Results'!T14</x:f>
        <x:v>-3.637978807091713e-12</x:v>
      </x:c>
      <x:c r="D23" s="73" t="n">
        <x:f>'Calc_Monthly'!Q14-'Tested_Results'!F14</x:f>
        <x:v>0</x:v>
      </x:c>
      <x:c r="E23" s="73" t="n">
        <x:f>'Calc_Monthly'!AC14-'Tested_Results'!G14</x:f>
        <x:v>0</x:v>
      </x:c>
      <x:c r="F23" s="73" t="n">
        <x:f>'Calc_Monthly'!AE14-'Tested_Results'!H14</x:f>
        <x:v>0</x:v>
      </x:c>
      <x:c r="G23" s="73" t="n">
        <x:f>'Calc_Monthly'!U14-'Tested_Results'!I14</x:f>
        <x:v>0</x:v>
      </x:c>
      <x:c r="H23" s="73" t="n">
        <x:f>'Calc_Monthly'!AD14-'Tested_Results'!J14</x:f>
        <x:v>0</x:v>
      </x:c>
      <x:c r="I23" s="73" t="n">
        <x:f>'Calc_Monthly'!AF14-'Tested_Results'!K14</x:f>
        <x:v>0</x:v>
      </x:c>
      <x:c r="J23" s="39" t="str">
        <x:f>IF(MAX(ABS(C23),ABS(D23),ABS(E23),ABS(F23),ABS(G23),ABS(H23),ABS(I23))&lt;='Settings_General'!$B$6,"PASS","CHECK")</x:f>
        <x:v>PASS</x:v>
      </x:c>
    </x:row>
    <x:row r="24">
      <x:c r="A24" s="39" t="str">
        <x:f>'Calc_Monthly'!A15</x:f>
        <x:v>1|lower</x:v>
      </x:c>
      <x:c r="B24" s="39" t="str">
        <x:f>'Calc_Monthly'!E15</x:f>
        <x:v>2023-02</x:v>
      </x:c>
      <x:c r="C24" s="73" t="n">
        <x:f>'Calc_Monthly'!K15-'Tested_Results'!T15</x:f>
        <x:v>1.8189894035458565e-12</x:v>
      </x:c>
      <x:c r="D24" s="73" t="n">
        <x:f>'Calc_Monthly'!Q15-'Tested_Results'!F15</x:f>
        <x:v>-1.8189894035458565e-12</x:v>
      </x:c>
      <x:c r="E24" s="73" t="n">
        <x:f>'Calc_Monthly'!AC15-'Tested_Results'!G15</x:f>
        <x:v>0</x:v>
      </x:c>
      <x:c r="F24" s="73" t="n">
        <x:f>'Calc_Monthly'!AE15-'Tested_Results'!H15</x:f>
        <x:v>0</x:v>
      </x:c>
      <x:c r="G24" s="73" t="n">
        <x:f>'Calc_Monthly'!U15-'Tested_Results'!I15</x:f>
        <x:v>0</x:v>
      </x:c>
      <x:c r="H24" s="73" t="n">
        <x:f>'Calc_Monthly'!AD15-'Tested_Results'!J15</x:f>
        <x:v>0</x:v>
      </x:c>
      <x:c r="I24" s="73" t="n">
        <x:f>'Calc_Monthly'!AF15-'Tested_Results'!K15</x:f>
        <x:v>0</x:v>
      </x:c>
      <x:c r="J24" s="39" t="str">
        <x:f>IF(MAX(ABS(C24),ABS(D24),ABS(E24),ABS(F24),ABS(G24),ABS(H24),ABS(I24))&lt;='Settings_General'!$B$6,"PASS","CHECK")</x:f>
        <x:v>PASS</x:v>
      </x:c>
    </x:row>
    <x:row r="25">
      <x:c r="A25" s="39" t="str">
        <x:f>'Calc_Monthly'!A16</x:f>
        <x:v>1|lower</x:v>
      </x:c>
      <x:c r="B25" s="39" t="str">
        <x:f>'Calc_Monthly'!E16</x:f>
        <x:v>2023-03</x:v>
      </x:c>
      <x:c r="C25" s="73" t="n">
        <x:f>'Calc_Monthly'!K16-'Tested_Results'!T16</x:f>
        <x:v>3.637978807091713e-12</x:v>
      </x:c>
      <x:c r="D25" s="73" t="n">
        <x:f>'Calc_Monthly'!Q16-'Tested_Results'!F16</x:f>
        <x:v>3.092281986027956e-11</x:v>
      </x:c>
      <x:c r="E25" s="73" t="n">
        <x:f>'Calc_Monthly'!AC16-'Tested_Results'!G16</x:f>
        <x:v>0</x:v>
      </x:c>
      <x:c r="F25" s="73" t="n">
        <x:f>'Calc_Monthly'!AE16-'Tested_Results'!H16</x:f>
        <x:v>3.092281986027956e-11</x:v>
      </x:c>
      <x:c r="G25" s="73" t="n">
        <x:f>'Calc_Monthly'!U16-'Tested_Results'!I16</x:f>
        <x:v>0</x:v>
      </x:c>
      <x:c r="H25" s="73" t="n">
        <x:f>'Calc_Monthly'!AD16-'Tested_Results'!J16</x:f>
        <x:v>0</x:v>
      </x:c>
      <x:c r="I25" s="73" t="n">
        <x:f>'Calc_Monthly'!AF16-'Tested_Results'!K16</x:f>
        <x:v>0</x:v>
      </x:c>
      <x:c r="J25" s="39" t="str">
        <x:f>IF(MAX(ABS(C25),ABS(D25),ABS(E25),ABS(F25),ABS(G25),ABS(H25),ABS(I25))&lt;='Settings_General'!$B$6,"PASS","CHECK")</x:f>
        <x:v>PASS</x:v>
      </x:c>
    </x:row>
    <x:row r="26">
      <x:c r="A26" s="39" t="str">
        <x:f>'Calc_Monthly'!A17</x:f>
        <x:v>1|lower</x:v>
      </x:c>
      <x:c r="B26" s="39" t="str">
        <x:f>'Calc_Monthly'!E17</x:f>
        <x:v>2023-04</x:v>
      </x:c>
      <x:c r="C26" s="73" t="n">
        <x:f>'Calc_Monthly'!K17-'Tested_Results'!T17</x:f>
        <x:v>0</x:v>
      </x:c>
      <x:c r="D26" s="73" t="n">
        <x:f>'Calc_Monthly'!Q17-'Tested_Results'!F17</x:f>
        <x:v>0</x:v>
      </x:c>
      <x:c r="E26" s="73" t="n">
        <x:f>'Calc_Monthly'!AC17-'Tested_Results'!G17</x:f>
        <x:v>0</x:v>
      </x:c>
      <x:c r="F26" s="73" t="n">
        <x:f>'Calc_Monthly'!AE17-'Tested_Results'!H17</x:f>
        <x:v>0</x:v>
      </x:c>
      <x:c r="G26" s="73" t="n">
        <x:f>'Calc_Monthly'!U17-'Tested_Results'!I17</x:f>
        <x:v>0</x:v>
      </x:c>
      <x:c r="H26" s="73" t="n">
        <x:f>'Calc_Monthly'!AD17-'Tested_Results'!J17</x:f>
        <x:v>0</x:v>
      </x:c>
      <x:c r="I26" s="73" t="n">
        <x:f>'Calc_Monthly'!AF17-'Tested_Results'!K17</x:f>
        <x:v>0</x:v>
      </x:c>
      <x:c r="J26" s="39" t="str">
        <x:f>IF(MAX(ABS(C26),ABS(D26),ABS(E26),ABS(F26),ABS(G26),ABS(H26),ABS(I26))&lt;='Settings_General'!$B$6,"PASS","CHECK")</x:f>
        <x:v>PASS</x:v>
      </x:c>
    </x:row>
    <x:row r="27">
      <x:c r="A27" s="39" t="str">
        <x:f>'Calc_Monthly'!A18</x:f>
        <x:v>1|lower</x:v>
      </x:c>
      <x:c r="B27" s="39" t="str">
        <x:f>'Calc_Monthly'!E18</x:f>
        <x:v>2023-05</x:v>
      </x:c>
      <x:c r="C27" s="73" t="n">
        <x:f>'Calc_Monthly'!K18-'Tested_Results'!T18</x:f>
        <x:v>7.275957614183426e-12</x:v>
      </x:c>
      <x:c r="D27" s="73" t="n">
        <x:f>'Calc_Monthly'!Q18-'Tested_Results'!F18</x:f>
        <x:v>0</x:v>
      </x:c>
      <x:c r="E27" s="73" t="n">
        <x:f>'Calc_Monthly'!AC18-'Tested_Results'!G18</x:f>
        <x:v>0</x:v>
      </x:c>
      <x:c r="F27" s="73" t="n">
        <x:f>'Calc_Monthly'!AE18-'Tested_Results'!H18</x:f>
        <x:v>0</x:v>
      </x:c>
      <x:c r="G27" s="73" t="n">
        <x:f>'Calc_Monthly'!U18-'Tested_Results'!I18</x:f>
        <x:v>0</x:v>
      </x:c>
      <x:c r="H27" s="73" t="n">
        <x:f>'Calc_Monthly'!AD18-'Tested_Results'!J18</x:f>
        <x:v>0</x:v>
      </x:c>
      <x:c r="I27" s="73" t="n">
        <x:f>'Calc_Monthly'!AF18-'Tested_Results'!K18</x:f>
        <x:v>0</x:v>
      </x:c>
      <x:c r="J27" s="39" t="str">
        <x:f>IF(MAX(ABS(C27),ABS(D27),ABS(E27),ABS(F27),ABS(G27),ABS(H27),ABS(I27))&lt;='Settings_General'!$B$6,"PASS","CHECK")</x:f>
        <x:v>PASS</x:v>
      </x:c>
    </x:row>
    <x:row r="28">
      <x:c r="A28" s="39" t="str">
        <x:f>'Calc_Monthly'!A19</x:f>
        <x:v>1|lower</x:v>
      </x:c>
      <x:c r="B28" s="39" t="str">
        <x:f>'Calc_Monthly'!E19</x:f>
        <x:v>2023-06</x:v>
      </x:c>
      <x:c r="C28" s="73" t="n">
        <x:f>'Calc_Monthly'!K19-'Tested_Results'!T19</x:f>
        <x:v>0</x:v>
      </x:c>
      <x:c r="D28" s="73" t="n">
        <x:f>'Calc_Monthly'!Q19-'Tested_Results'!F19</x:f>
        <x:v>0</x:v>
      </x:c>
      <x:c r="E28" s="73" t="n">
        <x:f>'Calc_Monthly'!AC19-'Tested_Results'!G19</x:f>
        <x:v>0</x:v>
      </x:c>
      <x:c r="F28" s="73" t="n">
        <x:f>'Calc_Monthly'!AE19-'Tested_Results'!H19</x:f>
        <x:v>0</x:v>
      </x:c>
      <x:c r="G28" s="73" t="n">
        <x:f>'Calc_Monthly'!U19-'Tested_Results'!I19</x:f>
        <x:v>0</x:v>
      </x:c>
      <x:c r="H28" s="73" t="n">
        <x:f>'Calc_Monthly'!AD19-'Tested_Results'!J19</x:f>
        <x:v>0</x:v>
      </x:c>
      <x:c r="I28" s="73" t="n">
        <x:f>'Calc_Monthly'!AF19-'Tested_Results'!K19</x:f>
        <x:v>0</x:v>
      </x:c>
      <x:c r="J28" s="39" t="str">
        <x:f>IF(MAX(ABS(C28),ABS(D28),ABS(E28),ABS(F28),ABS(G28),ABS(H28),ABS(I28))&lt;='Settings_General'!$B$6,"PASS","CHECK")</x:f>
        <x:v>PASS</x:v>
      </x:c>
    </x:row>
    <x:row r="29">
      <x:c r="A29" s="39" t="str">
        <x:f>'Calc_Monthly'!A20</x:f>
        <x:v>1|lower</x:v>
      </x:c>
      <x:c r="B29" s="39" t="str">
        <x:f>'Calc_Monthly'!E20</x:f>
        <x:v>2023-07</x:v>
      </x:c>
      <x:c r="C29" s="73" t="n">
        <x:f>'Calc_Monthly'!K20-'Tested_Results'!T20</x:f>
        <x:v>-3.637978807091713e-12</x:v>
      </x:c>
      <x:c r="D29" s="73" t="n">
        <x:f>'Calc_Monthly'!Q20-'Tested_Results'!F20</x:f>
        <x:v>0</x:v>
      </x:c>
      <x:c r="E29" s="73" t="n">
        <x:f>'Calc_Monthly'!AC20-'Tested_Results'!G20</x:f>
        <x:v>0</x:v>
      </x:c>
      <x:c r="F29" s="73" t="n">
        <x:f>'Calc_Monthly'!AE20-'Tested_Results'!H20</x:f>
        <x:v>0</x:v>
      </x:c>
      <x:c r="G29" s="73" t="n">
        <x:f>'Calc_Monthly'!U20-'Tested_Results'!I20</x:f>
        <x:v>-1.8189894035458565e-12</x:v>
      </x:c>
      <x:c r="H29" s="73" t="n">
        <x:f>'Calc_Monthly'!AD20-'Tested_Results'!J20</x:f>
        <x:v>0</x:v>
      </x:c>
      <x:c r="I29" s="73" t="n">
        <x:f>'Calc_Monthly'!AF20-'Tested_Results'!K20</x:f>
        <x:v>-1.8189894035458565e-12</x:v>
      </x:c>
      <x:c r="J29" s="39" t="str">
        <x:f>IF(MAX(ABS(C29),ABS(D29),ABS(E29),ABS(F29),ABS(G29),ABS(H29),ABS(I29))&lt;='Settings_General'!$B$6,"PASS","CHECK")</x:f>
        <x:v>PASS</x:v>
      </x:c>
    </x:row>
    <x:row r="30">
      <x:c r="A30" s="39" t="str">
        <x:f>'Calc_Monthly'!A21</x:f>
        <x:v>1|lower</x:v>
      </x:c>
      <x:c r="B30" s="39" t="str">
        <x:f>'Calc_Monthly'!E21</x:f>
        <x:v>2023-08</x:v>
      </x:c>
      <x:c r="C30" s="73" t="n">
        <x:f>'Calc_Monthly'!K21-'Tested_Results'!T21</x:f>
        <x:v>7.275957614183426e-12</x:v>
      </x:c>
      <x:c r="D30" s="73" t="n">
        <x:f>'Calc_Monthly'!Q21-'Tested_Results'!F21</x:f>
        <x:v>0</x:v>
      </x:c>
      <x:c r="E30" s="73" t="n">
        <x:f>'Calc_Monthly'!AC21-'Tested_Results'!G21</x:f>
        <x:v>0</x:v>
      </x:c>
      <x:c r="F30" s="73" t="n">
        <x:f>'Calc_Monthly'!AE21-'Tested_Results'!H21</x:f>
        <x:v>0</x:v>
      </x:c>
      <x:c r="G30" s="73" t="n">
        <x:f>'Calc_Monthly'!U21-'Tested_Results'!I21</x:f>
        <x:v>7.275957614183426e-12</x:v>
      </x:c>
      <x:c r="H30" s="73" t="n">
        <x:f>'Calc_Monthly'!AD21-'Tested_Results'!J21</x:f>
        <x:v>0</x:v>
      </x:c>
      <x:c r="I30" s="73" t="n">
        <x:f>'Calc_Monthly'!AF21-'Tested_Results'!K21</x:f>
        <x:v>7.275957614183426e-12</x:v>
      </x:c>
      <x:c r="J30" s="39" t="str">
        <x:f>IF(MAX(ABS(C30),ABS(D30),ABS(E30),ABS(F30),ABS(G30),ABS(H30),ABS(I30))&lt;='Settings_General'!$B$6,"PASS","CHECK")</x:f>
        <x:v>PASS</x:v>
      </x:c>
    </x:row>
    <x:row r="31">
      <x:c r="A31" s="39" t="str">
        <x:f>'Calc_Monthly'!A22</x:f>
        <x:v>1|lower</x:v>
      </x:c>
      <x:c r="B31" s="39" t="str">
        <x:f>'Calc_Monthly'!E22</x:f>
        <x:v>2023-09</x:v>
      </x:c>
      <x:c r="C31" s="73" t="n">
        <x:f>'Calc_Monthly'!K22-'Tested_Results'!T22</x:f>
        <x:v>3.637978807091713e-12</x:v>
      </x:c>
      <x:c r="D31" s="73" t="n">
        <x:f>'Calc_Monthly'!Q22-'Tested_Results'!F22</x:f>
        <x:v>0</x:v>
      </x:c>
      <x:c r="E31" s="73" t="n">
        <x:f>'Calc_Monthly'!AC22-'Tested_Results'!G22</x:f>
        <x:v>0</x:v>
      </x:c>
      <x:c r="F31" s="73" t="n">
        <x:f>'Calc_Monthly'!AE22-'Tested_Results'!H22</x:f>
        <x:v>0</x:v>
      </x:c>
      <x:c r="G31" s="73" t="n">
        <x:f>'Calc_Monthly'!U22-'Tested_Results'!I22</x:f>
        <x:v>1.8189894035458565e-12</x:v>
      </x:c>
      <x:c r="H31" s="73" t="n">
        <x:f>'Calc_Monthly'!AD22-'Tested_Results'!J22</x:f>
        <x:v>0</x:v>
      </x:c>
      <x:c r="I31" s="73" t="n">
        <x:f>'Calc_Monthly'!AF22-'Tested_Results'!K22</x:f>
        <x:v>1.8189894035458565e-12</x:v>
      </x:c>
      <x:c r="J31" s="39" t="str">
        <x:f>IF(MAX(ABS(C31),ABS(D31),ABS(E31),ABS(F31),ABS(G31),ABS(H31),ABS(I31))&lt;='Settings_General'!$B$6,"PASS","CHECK")</x:f>
        <x:v>PASS</x:v>
      </x:c>
    </x:row>
    <x:row r="32">
      <x:c r="A32" s="39" t="str">
        <x:f>'Calc_Monthly'!A23</x:f>
        <x:v>1|lower</x:v>
      </x:c>
      <x:c r="B32" s="39" t="str">
        <x:f>'Calc_Monthly'!E23</x:f>
        <x:v>2023-10</x:v>
      </x:c>
      <x:c r="C32" s="73" t="n">
        <x:f>'Calc_Monthly'!K23-'Tested_Results'!T23</x:f>
        <x:v>-3.637978807091713e-12</x:v>
      </x:c>
      <x:c r="D32" s="73" t="n">
        <x:f>'Calc_Monthly'!Q23-'Tested_Results'!F23</x:f>
        <x:v>-9.094947017729282e-13</x:v>
      </x:c>
      <x:c r="E32" s="73" t="n">
        <x:f>'Calc_Monthly'!AC23-'Tested_Results'!G23</x:f>
        <x:v>0</x:v>
      </x:c>
      <x:c r="F32" s="73" t="n">
        <x:f>'Calc_Monthly'!AE23-'Tested_Results'!H23</x:f>
        <x:v>-9.094947017729282e-13</x:v>
      </x:c>
      <x:c r="G32" s="73" t="n">
        <x:f>'Calc_Monthly'!U23-'Tested_Results'!I23</x:f>
        <x:v>0</x:v>
      </x:c>
      <x:c r="H32" s="73" t="n">
        <x:f>'Calc_Monthly'!AD23-'Tested_Results'!J23</x:f>
        <x:v>0</x:v>
      </x:c>
      <x:c r="I32" s="73" t="n">
        <x:f>'Calc_Monthly'!AF23-'Tested_Results'!K23</x:f>
        <x:v>0</x:v>
      </x:c>
      <x:c r="J32" s="39" t="str">
        <x:f>IF(MAX(ABS(C32),ABS(D32),ABS(E32),ABS(F32),ABS(G32),ABS(H32),ABS(I32))&lt;='Settings_General'!$B$6,"PASS","CHECK")</x:f>
        <x:v>PASS</x:v>
      </x:c>
    </x:row>
    <x:row r="33">
      <x:c r="A33" s="39" t="str">
        <x:f>'Calc_Monthly'!A24</x:f>
        <x:v>1|lower</x:v>
      </x:c>
      <x:c r="B33" s="39" t="str">
        <x:f>'Calc_Monthly'!E24</x:f>
        <x:v>2023-11</x:v>
      </x:c>
      <x:c r="C33" s="73" t="n">
        <x:f>'Calc_Monthly'!K24-'Tested_Results'!T24</x:f>
        <x:v>3.637978807091713e-12</x:v>
      </x:c>
      <x:c r="D33" s="73" t="n">
        <x:f>'Calc_Monthly'!Q24-'Tested_Results'!F24</x:f>
        <x:v>1.4551915228366852e-11</x:v>
      </x:c>
      <x:c r="E33" s="73" t="n">
        <x:f>'Calc_Monthly'!AC24-'Tested_Results'!G24</x:f>
        <x:v>0</x:v>
      </x:c>
      <x:c r="F33" s="73" t="n">
        <x:f>'Calc_Monthly'!AE24-'Tested_Results'!H24</x:f>
        <x:v>1.4551915228366852e-11</x:v>
      </x:c>
      <x:c r="G33" s="73" t="n">
        <x:f>'Calc_Monthly'!U24-'Tested_Results'!I24</x:f>
        <x:v>0</x:v>
      </x:c>
      <x:c r="H33" s="73" t="n">
        <x:f>'Calc_Monthly'!AD24-'Tested_Results'!J24</x:f>
        <x:v>0</x:v>
      </x:c>
      <x:c r="I33" s="73" t="n">
        <x:f>'Calc_Monthly'!AF24-'Tested_Results'!K24</x:f>
        <x:v>0</x:v>
      </x:c>
      <x:c r="J33" s="39" t="str">
        <x:f>IF(MAX(ABS(C33),ABS(D33),ABS(E33),ABS(F33),ABS(G33),ABS(H33),ABS(I33))&lt;='Settings_General'!$B$6,"PASS","CHECK")</x:f>
        <x:v>PASS</x:v>
      </x:c>
    </x:row>
    <x:row r="34">
      <x:c r="A34" s="39" t="str">
        <x:f>'Calc_Monthly'!A25</x:f>
        <x:v>1|lower</x:v>
      </x:c>
      <x:c r="B34" s="39" t="str">
        <x:f>'Calc_Monthly'!E25</x:f>
        <x:v>2023-12</x:v>
      </x:c>
      <x:c r="C34" s="73" t="n">
        <x:f>'Calc_Monthly'!K25-'Tested_Results'!T25</x:f>
        <x:v>0</x:v>
      </x:c>
      <x:c r="D34" s="73" t="n">
        <x:f>'Calc_Monthly'!Q25-'Tested_Results'!F25</x:f>
        <x:v>0</x:v>
      </x:c>
      <x:c r="E34" s="73" t="n">
        <x:f>'Calc_Monthly'!AC25-'Tested_Results'!G25</x:f>
        <x:v>0</x:v>
      </x:c>
      <x:c r="F34" s="73" t="n">
        <x:f>'Calc_Monthly'!AE25-'Tested_Results'!H25</x:f>
        <x:v>0</x:v>
      </x:c>
      <x:c r="G34" s="73" t="n">
        <x:f>'Calc_Monthly'!U25-'Tested_Results'!I25</x:f>
        <x:v>0</x:v>
      </x:c>
      <x:c r="H34" s="73" t="n">
        <x:f>'Calc_Monthly'!AD25-'Tested_Results'!J25</x:f>
        <x:v>0</x:v>
      </x:c>
      <x:c r="I34" s="73" t="n">
        <x:f>'Calc_Monthly'!AF25-'Tested_Results'!K25</x:f>
        <x:v>0</x:v>
      </x:c>
      <x:c r="J34" s="39" t="str">
        <x:f>IF(MAX(ABS(C34),ABS(D34),ABS(E34),ABS(F34),ABS(G34),ABS(H34),ABS(I34))&lt;='Settings_General'!$B$6,"PASS","CHECK")</x:f>
        <x:v>PASS</x:v>
      </x:c>
    </x:row>
    <x:row r="35">
      <x:c r="A35" s="39" t="str">
        <x:f>'Calc_Monthly'!A26</x:f>
        <x:v>1|upper</x:v>
      </x:c>
      <x:c r="B35" s="39" t="str">
        <x:f>'Calc_Monthly'!E26</x:f>
        <x:v>2023-01</x:v>
      </x:c>
      <x:c r="C35" s="73" t="n">
        <x:f>'Calc_Monthly'!K26-'Tested_Results'!T26</x:f>
        <x:v>-4.547473508864641e-13</x:v>
      </x:c>
      <x:c r="D35" s="73" t="n">
        <x:f>'Calc_Monthly'!Q26-'Tested_Results'!F26</x:f>
        <x:v>0</x:v>
      </x:c>
      <x:c r="E35" s="73" t="n">
        <x:f>'Calc_Monthly'!AC26-'Tested_Results'!G26</x:f>
        <x:v>0</x:v>
      </x:c>
      <x:c r="F35" s="73" t="n">
        <x:f>'Calc_Monthly'!AE26-'Tested_Results'!H26</x:f>
        <x:v>0</x:v>
      </x:c>
      <x:c r="G35" s="73" t="n">
        <x:f>'Calc_Monthly'!U26-'Tested_Results'!I26</x:f>
        <x:v>0</x:v>
      </x:c>
      <x:c r="H35" s="73" t="n">
        <x:f>'Calc_Monthly'!AD26-'Tested_Results'!J26</x:f>
        <x:v>0</x:v>
      </x:c>
      <x:c r="I35" s="73" t="n">
        <x:f>'Calc_Monthly'!AF26-'Tested_Results'!K26</x:f>
        <x:v>0</x:v>
      </x:c>
      <x:c r="J35" s="39" t="str">
        <x:f>IF(MAX(ABS(C35),ABS(D35),ABS(E35),ABS(F35),ABS(G35),ABS(H35),ABS(I35))&lt;='Settings_General'!$B$6,"PASS","CHECK")</x:f>
        <x:v>PASS</x:v>
      </x:c>
    </x:row>
    <x:row r="36">
      <x:c r="A36" s="39" t="str">
        <x:f>'Calc_Monthly'!A27</x:f>
        <x:v>1|upper</x:v>
      </x:c>
      <x:c r="B36" s="39" t="str">
        <x:f>'Calc_Monthly'!E27</x:f>
        <x:v>2023-02</x:v>
      </x:c>
      <x:c r="C36" s="73" t="n">
        <x:f>'Calc_Monthly'!K27-'Tested_Results'!T27</x:f>
        <x:v>-4.547473508864641e-13</x:v>
      </x:c>
      <x:c r="D36" s="73" t="n">
        <x:f>'Calc_Monthly'!Q27-'Tested_Results'!F27</x:f>
        <x:v>0</x:v>
      </x:c>
      <x:c r="E36" s="73" t="n">
        <x:f>'Calc_Monthly'!AC27-'Tested_Results'!G27</x:f>
        <x:v>0</x:v>
      </x:c>
      <x:c r="F36" s="73" t="n">
        <x:f>'Calc_Monthly'!AE27-'Tested_Results'!H27</x:f>
        <x:v>0</x:v>
      </x:c>
      <x:c r="G36" s="73" t="n">
        <x:f>'Calc_Monthly'!U27-'Tested_Results'!I27</x:f>
        <x:v>0</x:v>
      </x:c>
      <x:c r="H36" s="73" t="n">
        <x:f>'Calc_Monthly'!AD27-'Tested_Results'!J27</x:f>
        <x:v>0</x:v>
      </x:c>
      <x:c r="I36" s="73" t="n">
        <x:f>'Calc_Monthly'!AF27-'Tested_Results'!K27</x:f>
        <x:v>0</x:v>
      </x:c>
      <x:c r="J36" s="39" t="str">
        <x:f>IF(MAX(ABS(C36),ABS(D36),ABS(E36),ABS(F36),ABS(G36),ABS(H36),ABS(I36))&lt;='Settings_General'!$B$6,"PASS","CHECK")</x:f>
        <x:v>PASS</x:v>
      </x:c>
    </x:row>
    <x:row r="37">
      <x:c r="A37" s="39" t="str">
        <x:f>'Calc_Monthly'!A28</x:f>
        <x:v>1|upper</x:v>
      </x:c>
      <x:c r="B37" s="39" t="str">
        <x:f>'Calc_Monthly'!E28</x:f>
        <x:v>2023-03</x:v>
      </x:c>
      <x:c r="C37" s="73" t="n">
        <x:f>'Calc_Monthly'!K28-'Tested_Results'!T28</x:f>
        <x:v>0</x:v>
      </x:c>
      <x:c r="D37" s="73" t="n">
        <x:f>'Calc_Monthly'!Q28-'Tested_Results'!F28</x:f>
        <x:v>0</x:v>
      </x:c>
      <x:c r="E37" s="73" t="n">
        <x:f>'Calc_Monthly'!AC28-'Tested_Results'!G28</x:f>
        <x:v>0</x:v>
      </x:c>
      <x:c r="F37" s="73" t="n">
        <x:f>'Calc_Monthly'!AE28-'Tested_Results'!H28</x:f>
        <x:v>0</x:v>
      </x:c>
      <x:c r="G37" s="73" t="n">
        <x:f>'Calc_Monthly'!U28-'Tested_Results'!I28</x:f>
        <x:v>0</x:v>
      </x:c>
      <x:c r="H37" s="73" t="n">
        <x:f>'Calc_Monthly'!AD28-'Tested_Results'!J28</x:f>
        <x:v>0</x:v>
      </x:c>
      <x:c r="I37" s="73" t="n">
        <x:f>'Calc_Monthly'!AF28-'Tested_Results'!K28</x:f>
        <x:v>0</x:v>
      </x:c>
      <x:c r="J37" s="39" t="str">
        <x:f>IF(MAX(ABS(C37),ABS(D37),ABS(E37),ABS(F37),ABS(G37),ABS(H37),ABS(I37))&lt;='Settings_General'!$B$6,"PASS","CHECK")</x:f>
        <x:v>PASS</x:v>
      </x:c>
    </x:row>
    <x:row r="38">
      <x:c r="A38" s="39" t="str">
        <x:f>'Calc_Monthly'!A29</x:f>
        <x:v>1|upper</x:v>
      </x:c>
      <x:c r="B38" s="39" t="str">
        <x:f>'Calc_Monthly'!E29</x:f>
        <x:v>2023-04</x:v>
      </x:c>
      <x:c r="C38" s="73" t="n">
        <x:f>'Calc_Monthly'!K29-'Tested_Results'!T29</x:f>
        <x:v>0</x:v>
      </x:c>
      <x:c r="D38" s="73" t="n">
        <x:f>'Calc_Monthly'!Q29-'Tested_Results'!F29</x:f>
        <x:v>0</x:v>
      </x:c>
      <x:c r="E38" s="73" t="n">
        <x:f>'Calc_Monthly'!AC29-'Tested_Results'!G29</x:f>
        <x:v>0</x:v>
      </x:c>
      <x:c r="F38" s="73" t="n">
        <x:f>'Calc_Monthly'!AE29-'Tested_Results'!H29</x:f>
        <x:v>0</x:v>
      </x:c>
      <x:c r="G38" s="73" t="n">
        <x:f>'Calc_Monthly'!U29-'Tested_Results'!I29</x:f>
        <x:v>0</x:v>
      </x:c>
      <x:c r="H38" s="73" t="n">
        <x:f>'Calc_Monthly'!AD29-'Tested_Results'!J29</x:f>
        <x:v>0</x:v>
      </x:c>
      <x:c r="I38" s="73" t="n">
        <x:f>'Calc_Monthly'!AF29-'Tested_Results'!K29</x:f>
        <x:v>0</x:v>
      </x:c>
      <x:c r="J38" s="39" t="str">
        <x:f>IF(MAX(ABS(C38),ABS(D38),ABS(E38),ABS(F38),ABS(G38),ABS(H38),ABS(I38))&lt;='Settings_General'!$B$6,"PASS","CHECK")</x:f>
        <x:v>PASS</x:v>
      </x:c>
    </x:row>
    <x:row r="39">
      <x:c r="A39" s="39" t="str">
        <x:f>'Calc_Monthly'!A30</x:f>
        <x:v>1|upper</x:v>
      </x:c>
      <x:c r="B39" s="39" t="str">
        <x:f>'Calc_Monthly'!E30</x:f>
        <x:v>2023-05</x:v>
      </x:c>
      <x:c r="C39" s="73" t="n">
        <x:f>'Calc_Monthly'!K30-'Tested_Results'!T30</x:f>
        <x:v>1.8189894035458565e-12</x:v>
      </x:c>
      <x:c r="D39" s="73" t="n">
        <x:f>'Calc_Monthly'!Q30-'Tested_Results'!F30</x:f>
        <x:v>0</x:v>
      </x:c>
      <x:c r="E39" s="73" t="n">
        <x:f>'Calc_Monthly'!AC30-'Tested_Results'!G30</x:f>
        <x:v>0</x:v>
      </x:c>
      <x:c r="F39" s="73" t="n">
        <x:f>'Calc_Monthly'!AE30-'Tested_Results'!H30</x:f>
        <x:v>0</x:v>
      </x:c>
      <x:c r="G39" s="73" t="n">
        <x:f>'Calc_Monthly'!U30-'Tested_Results'!I30</x:f>
        <x:v>0</x:v>
      </x:c>
      <x:c r="H39" s="73" t="n">
        <x:f>'Calc_Monthly'!AD30-'Tested_Results'!J30</x:f>
        <x:v>0</x:v>
      </x:c>
      <x:c r="I39" s="73" t="n">
        <x:f>'Calc_Monthly'!AF30-'Tested_Results'!K30</x:f>
        <x:v>0</x:v>
      </x:c>
      <x:c r="J39" s="39" t="str">
        <x:f>IF(MAX(ABS(C39),ABS(D39),ABS(E39),ABS(F39),ABS(G39),ABS(H39),ABS(I39))&lt;='Settings_General'!$B$6,"PASS","CHECK")</x:f>
        <x:v>PASS</x:v>
      </x:c>
    </x:row>
    <x:row r="40">
      <x:c r="A40" s="39" t="str">
        <x:f>'Calc_Monthly'!A31</x:f>
        <x:v>1|upper</x:v>
      </x:c>
      <x:c r="B40" s="39" t="str">
        <x:f>'Calc_Monthly'!E31</x:f>
        <x:v>2023-06</x:v>
      </x:c>
      <x:c r="C40" s="73" t="n">
        <x:f>'Calc_Monthly'!K31-'Tested_Results'!T31</x:f>
        <x:v>0</x:v>
      </x:c>
      <x:c r="D40" s="73" t="n">
        <x:f>'Calc_Monthly'!Q31-'Tested_Results'!F31</x:f>
        <x:v>0</x:v>
      </x:c>
      <x:c r="E40" s="73" t="n">
        <x:f>'Calc_Monthly'!AC31-'Tested_Results'!G31</x:f>
        <x:v>0</x:v>
      </x:c>
      <x:c r="F40" s="73" t="n">
        <x:f>'Calc_Monthly'!AE31-'Tested_Results'!H31</x:f>
        <x:v>0</x:v>
      </x:c>
      <x:c r="G40" s="73" t="n">
        <x:f>'Calc_Monthly'!U31-'Tested_Results'!I31</x:f>
        <x:v>0</x:v>
      </x:c>
      <x:c r="H40" s="73" t="n">
        <x:f>'Calc_Monthly'!AD31-'Tested_Results'!J31</x:f>
        <x:v>0</x:v>
      </x:c>
      <x:c r="I40" s="73" t="n">
        <x:f>'Calc_Monthly'!AF31-'Tested_Results'!K31</x:f>
        <x:v>0</x:v>
      </x:c>
      <x:c r="J40" s="39" t="str">
        <x:f>IF(MAX(ABS(C40),ABS(D40),ABS(E40),ABS(F40),ABS(G40),ABS(H40),ABS(I40))&lt;='Settings_General'!$B$6,"PASS","CHECK")</x:f>
        <x:v>PASS</x:v>
      </x:c>
    </x:row>
    <x:row r="41">
      <x:c r="A41" s="39" t="str">
        <x:f>'Calc_Monthly'!A32</x:f>
        <x:v>1|upper</x:v>
      </x:c>
      <x:c r="B41" s="39" t="str">
        <x:f>'Calc_Monthly'!E32</x:f>
        <x:v>2023-07</x:v>
      </x:c>
      <x:c r="C41" s="73" t="n">
        <x:f>'Calc_Monthly'!K32-'Tested_Results'!T32</x:f>
        <x:v>5.4569682106375694e-12</x:v>
      </x:c>
      <x:c r="D41" s="73" t="n">
        <x:f>'Calc_Monthly'!Q32-'Tested_Results'!F32</x:f>
        <x:v>0</x:v>
      </x:c>
      <x:c r="E41" s="73" t="n">
        <x:f>'Calc_Monthly'!AC32-'Tested_Results'!G32</x:f>
        <x:v>0</x:v>
      </x:c>
      <x:c r="F41" s="73" t="n">
        <x:f>'Calc_Monthly'!AE32-'Tested_Results'!H32</x:f>
        <x:v>0</x:v>
      </x:c>
      <x:c r="G41" s="73" t="n">
        <x:f>'Calc_Monthly'!U32-'Tested_Results'!I32</x:f>
        <x:v>4.547473508864641e-12</x:v>
      </x:c>
      <x:c r="H41" s="73" t="n">
        <x:f>'Calc_Monthly'!AD32-'Tested_Results'!J32</x:f>
        <x:v>0</x:v>
      </x:c>
      <x:c r="I41" s="73" t="n">
        <x:f>'Calc_Monthly'!AF32-'Tested_Results'!K32</x:f>
        <x:v>5.4569682106375694e-12</x:v>
      </x:c>
      <x:c r="J41" s="39" t="str">
        <x:f>IF(MAX(ABS(C41),ABS(D41),ABS(E41),ABS(F41),ABS(G41),ABS(H41),ABS(I41))&lt;='Settings_General'!$B$6,"PASS","CHECK")</x:f>
        <x:v>PASS</x:v>
      </x:c>
    </x:row>
    <x:row r="42">
      <x:c r="A42" s="39" t="str">
        <x:f>'Calc_Monthly'!A33</x:f>
        <x:v>1|upper</x:v>
      </x:c>
      <x:c r="B42" s="39" t="str">
        <x:f>'Calc_Monthly'!E33</x:f>
        <x:v>2023-08</x:v>
      </x:c>
      <x:c r="C42" s="73" t="n">
        <x:f>'Calc_Monthly'!K33-'Tested_Results'!T33</x:f>
        <x:v>0</x:v>
      </x:c>
      <x:c r="D42" s="73" t="n">
        <x:f>'Calc_Monthly'!Q33-'Tested_Results'!F33</x:f>
        <x:v>0</x:v>
      </x:c>
      <x:c r="E42" s="73" t="n">
        <x:f>'Calc_Monthly'!AC33-'Tested_Results'!G33</x:f>
        <x:v>0</x:v>
      </x:c>
      <x:c r="F42" s="73" t="n">
        <x:f>'Calc_Monthly'!AE33-'Tested_Results'!H33</x:f>
        <x:v>0</x:v>
      </x:c>
      <x:c r="G42" s="73" t="n">
        <x:f>'Calc_Monthly'!U33-'Tested_Results'!I33</x:f>
        <x:v>0</x:v>
      </x:c>
      <x:c r="H42" s="73" t="n">
        <x:f>'Calc_Monthly'!AD33-'Tested_Results'!J33</x:f>
        <x:v>0</x:v>
      </x:c>
      <x:c r="I42" s="73" t="n">
        <x:f>'Calc_Monthly'!AF33-'Tested_Results'!K33</x:f>
        <x:v>0</x:v>
      </x:c>
      <x:c r="J42" s="39" t="str">
        <x:f>IF(MAX(ABS(C42),ABS(D42),ABS(E42),ABS(F42),ABS(G42),ABS(H42),ABS(I42))&lt;='Settings_General'!$B$6,"PASS","CHECK")</x:f>
        <x:v>PASS</x:v>
      </x:c>
    </x:row>
    <x:row r="43">
      <x:c r="A43" s="39" t="str">
        <x:f>'Calc_Monthly'!A34</x:f>
        <x:v>1|upper</x:v>
      </x:c>
      <x:c r="B43" s="39" t="str">
        <x:f>'Calc_Monthly'!E34</x:f>
        <x:v>2023-09</x:v>
      </x:c>
      <x:c r="C43" s="73" t="n">
        <x:f>'Calc_Monthly'!K34-'Tested_Results'!T34</x:f>
        <x:v>3.637978807091713e-12</x:v>
      </x:c>
      <x:c r="D43" s="73" t="n">
        <x:f>'Calc_Monthly'!Q34-'Tested_Results'!F34</x:f>
        <x:v>0</x:v>
      </x:c>
      <x:c r="E43" s="73" t="n">
        <x:f>'Calc_Monthly'!AC34-'Tested_Results'!G34</x:f>
        <x:v>0</x:v>
      </x:c>
      <x:c r="F43" s="73" t="n">
        <x:f>'Calc_Monthly'!AE34-'Tested_Results'!H34</x:f>
        <x:v>0</x:v>
      </x:c>
      <x:c r="G43" s="73" t="n">
        <x:f>'Calc_Monthly'!U34-'Tested_Results'!I34</x:f>
        <x:v>9.094947017729282e-13</x:v>
      </x:c>
      <x:c r="H43" s="73" t="n">
        <x:f>'Calc_Monthly'!AD34-'Tested_Results'!J34</x:f>
        <x:v>0</x:v>
      </x:c>
      <x:c r="I43" s="73" t="n">
        <x:f>'Calc_Monthly'!AF34-'Tested_Results'!K34</x:f>
        <x:v>9.094947017729282e-13</x:v>
      </x:c>
      <x:c r="J43" s="39" t="str">
        <x:f>IF(MAX(ABS(C43),ABS(D43),ABS(E43),ABS(F43),ABS(G43),ABS(H43),ABS(I43))&lt;='Settings_General'!$B$6,"PASS","CHECK")</x:f>
        <x:v>PASS</x:v>
      </x:c>
    </x:row>
    <x:row r="44">
      <x:c r="A44" s="39" t="str">
        <x:f>'Calc_Monthly'!A35</x:f>
        <x:v>1|upper</x:v>
      </x:c>
      <x:c r="B44" s="39" t="str">
        <x:f>'Calc_Monthly'!E35</x:f>
        <x:v>2023-10</x:v>
      </x:c>
      <x:c r="C44" s="73" t="n">
        <x:f>'Calc_Monthly'!K35-'Tested_Results'!T35</x:f>
        <x:v>-9.094947017729282e-13</x:v>
      </x:c>
      <x:c r="D44" s="73" t="n">
        <x:f>'Calc_Monthly'!Q35-'Tested_Results'!F35</x:f>
        <x:v>-4.547473508864641e-13</x:v>
      </x:c>
      <x:c r="E44" s="73" t="n">
        <x:f>'Calc_Monthly'!AC35-'Tested_Results'!G35</x:f>
        <x:v>0</x:v>
      </x:c>
      <x:c r="F44" s="73" t="n">
        <x:f>'Calc_Monthly'!AE35-'Tested_Results'!H35</x:f>
        <x:v>-9.094947017729282e-13</x:v>
      </x:c>
      <x:c r="G44" s="73" t="n">
        <x:f>'Calc_Monthly'!U35-'Tested_Results'!I35</x:f>
        <x:v>0</x:v>
      </x:c>
      <x:c r="H44" s="73" t="n">
        <x:f>'Calc_Monthly'!AD35-'Tested_Results'!J35</x:f>
        <x:v>0</x:v>
      </x:c>
      <x:c r="I44" s="73" t="n">
        <x:f>'Calc_Monthly'!AF35-'Tested_Results'!K35</x:f>
        <x:v>0</x:v>
      </x:c>
      <x:c r="J44" s="39" t="str">
        <x:f>IF(MAX(ABS(C44),ABS(D44),ABS(E44),ABS(F44),ABS(G44),ABS(H44),ABS(I44))&lt;='Settings_General'!$B$6,"PASS","CHECK")</x:f>
        <x:v>PASS</x:v>
      </x:c>
    </x:row>
    <x:row r="45">
      <x:c r="A45" s="39" t="str">
        <x:f>'Calc_Monthly'!A36</x:f>
        <x:v>1|upper</x:v>
      </x:c>
      <x:c r="B45" s="39" t="str">
        <x:f>'Calc_Monthly'!E36</x:f>
        <x:v>2023-11</x:v>
      </x:c>
      <x:c r="C45" s="73" t="n">
        <x:f>'Calc_Monthly'!K36-'Tested_Results'!T36</x:f>
        <x:v>0</x:v>
      </x:c>
      <x:c r="D45" s="73" t="n">
        <x:f>'Calc_Monthly'!Q36-'Tested_Results'!F36</x:f>
        <x:v>0</x:v>
      </x:c>
      <x:c r="E45" s="73" t="n">
        <x:f>'Calc_Monthly'!AC36-'Tested_Results'!G36</x:f>
        <x:v>0</x:v>
      </x:c>
      <x:c r="F45" s="73" t="n">
        <x:f>'Calc_Monthly'!AE36-'Tested_Results'!H36</x:f>
        <x:v>0</x:v>
      </x:c>
      <x:c r="G45" s="73" t="n">
        <x:f>'Calc_Monthly'!U36-'Tested_Results'!I36</x:f>
        <x:v>0</x:v>
      </x:c>
      <x:c r="H45" s="73" t="n">
        <x:f>'Calc_Monthly'!AD36-'Tested_Results'!J36</x:f>
        <x:v>0</x:v>
      </x:c>
      <x:c r="I45" s="73" t="n">
        <x:f>'Calc_Monthly'!AF36-'Tested_Results'!K36</x:f>
        <x:v>0</x:v>
      </x:c>
      <x:c r="J45" s="39" t="str">
        <x:f>IF(MAX(ABS(C45),ABS(D45),ABS(E45),ABS(F45),ABS(G45),ABS(H45),ABS(I45))&lt;='Settings_General'!$B$6,"PASS","CHECK")</x:f>
        <x:v>PASS</x:v>
      </x:c>
    </x:row>
    <x:row r="46">
      <x:c r="A46" s="39" t="str">
        <x:f>'Calc_Monthly'!A37</x:f>
        <x:v>1|upper</x:v>
      </x:c>
      <x:c r="B46" s="39" t="str">
        <x:f>'Calc_Monthly'!E37</x:f>
        <x:v>2023-12</x:v>
      </x:c>
      <x:c r="C46" s="73" t="n">
        <x:f>'Calc_Monthly'!K37-'Tested_Results'!T37</x:f>
        <x:v>0</x:v>
      </x:c>
      <x:c r="D46" s="73" t="n">
        <x:f>'Calc_Monthly'!Q37-'Tested_Results'!F37</x:f>
        <x:v>0</x:v>
      </x:c>
      <x:c r="E46" s="73" t="n">
        <x:f>'Calc_Monthly'!AC37-'Tested_Results'!G37</x:f>
        <x:v>0</x:v>
      </x:c>
      <x:c r="F46" s="73" t="n">
        <x:f>'Calc_Monthly'!AE37-'Tested_Results'!H37</x:f>
        <x:v>0</x:v>
      </x:c>
      <x:c r="G46" s="73" t="n">
        <x:f>'Calc_Monthly'!U37-'Tested_Results'!I37</x:f>
        <x:v>0</x:v>
      </x:c>
      <x:c r="H46" s="73" t="n">
        <x:f>'Calc_Monthly'!AD37-'Tested_Results'!J37</x:f>
        <x:v>0</x:v>
      </x:c>
      <x:c r="I46" s="73" t="n">
        <x:f>'Calc_Monthly'!AF37-'Tested_Results'!K37</x:f>
        <x:v>0</x:v>
      </x:c>
      <x:c r="J46" s="39" t="str">
        <x:f>IF(MAX(ABS(C46),ABS(D46),ABS(E46),ABS(F46),ABS(G46),ABS(H46),ABS(I46))&lt;='Settings_General'!$B$6,"PASS","CHECK")</x:f>
        <x:v>PASS</x:v>
      </x:c>
    </x:row>
    <x:row r="47">
      <x:c r="A47" s="39" t="str">
        <x:f>'Calc_Monthly'!A38</x:f>
        <x:v>18|aggregate</x:v>
      </x:c>
      <x:c r="B47" s="39" t="str">
        <x:f>'Calc_Monthly'!E38</x:f>
        <x:v>2023-01</x:v>
      </x:c>
      <x:c r="C47" s="73" t="n">
        <x:f>'Calc_Monthly'!K38-'Tested_Results'!T38</x:f>
        <x:v>0</x:v>
      </x:c>
      <x:c r="D47" s="73" t="n">
        <x:f>'Calc_Monthly'!Q38-'Tested_Results'!F38</x:f>
        <x:v>0</x:v>
      </x:c>
      <x:c r="E47" s="73" t="n">
        <x:f>'Calc_Monthly'!AC38-'Tested_Results'!G38</x:f>
        <x:v>0</x:v>
      </x:c>
      <x:c r="F47" s="73" t="n">
        <x:f>'Calc_Monthly'!AE38-'Tested_Results'!H38</x:f>
        <x:v>0</x:v>
      </x:c>
      <x:c r="G47" s="73" t="n">
        <x:f>'Calc_Monthly'!U38-'Tested_Results'!I38</x:f>
        <x:v>0</x:v>
      </x:c>
      <x:c r="H47" s="73" t="n">
        <x:f>'Calc_Monthly'!AD38-'Tested_Results'!J38</x:f>
        <x:v>0</x:v>
      </x:c>
      <x:c r="I47" s="73" t="n">
        <x:f>'Calc_Monthly'!AF38-'Tested_Results'!K38</x:f>
        <x:v>0</x:v>
      </x:c>
      <x:c r="J47" s="39" t="str">
        <x:f>IF(MAX(ABS(C47),ABS(D47),ABS(E47),ABS(F47),ABS(G47),ABS(H47),ABS(I47))&lt;='Settings_General'!$B$6,"PASS","CHECK")</x:f>
        <x:v>PASS</x:v>
      </x:c>
    </x:row>
    <x:row r="48">
      <x:c r="A48" s="39" t="str">
        <x:f>'Calc_Monthly'!A39</x:f>
        <x:v>18|aggregate</x:v>
      </x:c>
      <x:c r="B48" s="39" t="str">
        <x:f>'Calc_Monthly'!E39</x:f>
        <x:v>2023-02</x:v>
      </x:c>
      <x:c r="C48" s="73" t="n">
        <x:f>'Calc_Monthly'!K39-'Tested_Results'!T39</x:f>
        <x:v>-1.8189894035458565e-12</x:v>
      </x:c>
      <x:c r="D48" s="73" t="n">
        <x:f>'Calc_Monthly'!Q39-'Tested_Results'!F39</x:f>
        <x:v>3.637978807091713e-12</x:v>
      </x:c>
      <x:c r="E48" s="73" t="n">
        <x:f>'Calc_Monthly'!AC39-'Tested_Results'!G39</x:f>
        <x:v>0</x:v>
      </x:c>
      <x:c r="F48" s="73" t="n">
        <x:f>'Calc_Monthly'!AE39-'Tested_Results'!H39</x:f>
        <x:v>3.637978807091713e-12</x:v>
      </x:c>
      <x:c r="G48" s="73" t="n">
        <x:f>'Calc_Monthly'!U39-'Tested_Results'!I39</x:f>
        <x:v>0</x:v>
      </x:c>
      <x:c r="H48" s="73" t="n">
        <x:f>'Calc_Monthly'!AD39-'Tested_Results'!J39</x:f>
        <x:v>0</x:v>
      </x:c>
      <x:c r="I48" s="73" t="n">
        <x:f>'Calc_Monthly'!AF39-'Tested_Results'!K39</x:f>
        <x:v>0</x:v>
      </x:c>
      <x:c r="J48" s="39" t="str">
        <x:f>IF(MAX(ABS(C48),ABS(D48),ABS(E48),ABS(F48),ABS(G48),ABS(H48),ABS(I48))&lt;='Settings_General'!$B$6,"PASS","CHECK")</x:f>
        <x:v>PASS</x:v>
      </x:c>
    </x:row>
    <x:row r="49">
      <x:c r="A49" s="39" t="str">
        <x:f>'Calc_Monthly'!A40</x:f>
        <x:v>18|aggregate</x:v>
      </x:c>
      <x:c r="B49" s="39" t="str">
        <x:f>'Calc_Monthly'!E40</x:f>
        <x:v>2023-03</x:v>
      </x:c>
      <x:c r="C49" s="73" t="n">
        <x:f>'Calc_Monthly'!K40-'Tested_Results'!T40</x:f>
        <x:v>-3.637978807091713e-12</x:v>
      </x:c>
      <x:c r="D49" s="73" t="n">
        <x:f>'Calc_Monthly'!Q40-'Tested_Results'!F40</x:f>
        <x:v>1.8189894035458565e-12</x:v>
      </x:c>
      <x:c r="E49" s="73" t="n">
        <x:f>'Calc_Monthly'!AC40-'Tested_Results'!G40</x:f>
        <x:v>0</x:v>
      </x:c>
      <x:c r="F49" s="73" t="n">
        <x:f>'Calc_Monthly'!AE40-'Tested_Results'!H40</x:f>
        <x:v>3.637978807091713e-12</x:v>
      </x:c>
      <x:c r="G49" s="73" t="n">
        <x:f>'Calc_Monthly'!U40-'Tested_Results'!I40</x:f>
        <x:v>0</x:v>
      </x:c>
      <x:c r="H49" s="73" t="n">
        <x:f>'Calc_Monthly'!AD40-'Tested_Results'!J40</x:f>
        <x:v>0</x:v>
      </x:c>
      <x:c r="I49" s="73" t="n">
        <x:f>'Calc_Monthly'!AF40-'Tested_Results'!K40</x:f>
        <x:v>0</x:v>
      </x:c>
      <x:c r="J49" s="39" t="str">
        <x:f>IF(MAX(ABS(C49),ABS(D49),ABS(E49),ABS(F49),ABS(G49),ABS(H49),ABS(I49))&lt;='Settings_General'!$B$6,"PASS","CHECK")</x:f>
        <x:v>PASS</x:v>
      </x:c>
    </x:row>
    <x:row r="50">
      <x:c r="A50" s="39" t="str">
        <x:f>'Calc_Monthly'!A41</x:f>
        <x:v>18|aggregate</x:v>
      </x:c>
      <x:c r="B50" s="39" t="str">
        <x:f>'Calc_Monthly'!E41</x:f>
        <x:v>2023-04</x:v>
      </x:c>
      <x:c r="C50" s="73" t="n">
        <x:f>'Calc_Monthly'!K41-'Tested_Results'!T41</x:f>
        <x:v>-1.8189894035458565e-12</x:v>
      </x:c>
      <x:c r="D50" s="73" t="n">
        <x:f>'Calc_Monthly'!Q41-'Tested_Results'!F41</x:f>
        <x:v>-1.8189894035458565e-12</x:v>
      </x:c>
      <x:c r="E50" s="73" t="n">
        <x:f>'Calc_Monthly'!AC41-'Tested_Results'!G41</x:f>
        <x:v>0</x:v>
      </x:c>
      <x:c r="F50" s="73" t="n">
        <x:f>'Calc_Monthly'!AE41-'Tested_Results'!H41</x:f>
        <x:v>-1.8189894035458565e-12</x:v>
      </x:c>
      <x:c r="G50" s="73" t="n">
        <x:f>'Calc_Monthly'!U41-'Tested_Results'!I41</x:f>
        <x:v>0</x:v>
      </x:c>
      <x:c r="H50" s="73" t="n">
        <x:f>'Calc_Monthly'!AD41-'Tested_Results'!J41</x:f>
        <x:v>0</x:v>
      </x:c>
      <x:c r="I50" s="73" t="n">
        <x:f>'Calc_Monthly'!AF41-'Tested_Results'!K41</x:f>
        <x:v>0</x:v>
      </x:c>
      <x:c r="J50" s="39" t="str">
        <x:f>IF(MAX(ABS(C50),ABS(D50),ABS(E50),ABS(F50),ABS(G50),ABS(H50),ABS(I50))&lt;='Settings_General'!$B$6,"PASS","CHECK")</x:f>
        <x:v>PASS</x:v>
      </x:c>
    </x:row>
    <x:row r="51">
      <x:c r="A51" s="39" t="str">
        <x:f>'Calc_Monthly'!A42</x:f>
        <x:v>18|aggregate</x:v>
      </x:c>
      <x:c r="B51" s="39" t="str">
        <x:f>'Calc_Monthly'!E42</x:f>
        <x:v>2023-05</x:v>
      </x:c>
      <x:c r="C51" s="73" t="n">
        <x:f>'Calc_Monthly'!K42-'Tested_Results'!T42</x:f>
        <x:v>1.8189894035458565e-12</x:v>
      </x:c>
      <x:c r="D51" s="73" t="n">
        <x:f>'Calc_Monthly'!Q42-'Tested_Results'!F42</x:f>
        <x:v>0</x:v>
      </x:c>
      <x:c r="E51" s="73" t="n">
        <x:f>'Calc_Monthly'!AC42-'Tested_Results'!G42</x:f>
        <x:v>0</x:v>
      </x:c>
      <x:c r="F51" s="73" t="n">
        <x:f>'Calc_Monthly'!AE42-'Tested_Results'!H42</x:f>
        <x:v>0</x:v>
      </x:c>
      <x:c r="G51" s="73" t="n">
        <x:f>'Calc_Monthly'!U42-'Tested_Results'!I42</x:f>
        <x:v>0</x:v>
      </x:c>
      <x:c r="H51" s="73" t="n">
        <x:f>'Calc_Monthly'!AD42-'Tested_Results'!J42</x:f>
        <x:v>0</x:v>
      </x:c>
      <x:c r="I51" s="73" t="n">
        <x:f>'Calc_Monthly'!AF42-'Tested_Results'!K42</x:f>
        <x:v>0</x:v>
      </x:c>
      <x:c r="J51" s="39" t="str">
        <x:f>IF(MAX(ABS(C51),ABS(D51),ABS(E51),ABS(F51),ABS(G51),ABS(H51),ABS(I51))&lt;='Settings_General'!$B$6,"PASS","CHECK")</x:f>
        <x:v>PASS</x:v>
      </x:c>
    </x:row>
    <x:row r="52">
      <x:c r="A52" s="39" t="str">
        <x:f>'Calc_Monthly'!A43</x:f>
        <x:v>18|aggregate</x:v>
      </x:c>
      <x:c r="B52" s="39" t="str">
        <x:f>'Calc_Monthly'!E43</x:f>
        <x:v>2023-06</x:v>
      </x:c>
      <x:c r="C52" s="73" t="n">
        <x:f>'Calc_Monthly'!K43-'Tested_Results'!T43</x:f>
        <x:v>-1.8189894035458565e-12</x:v>
      </x:c>
      <x:c r="D52" s="73" t="n">
        <x:f>'Calc_Monthly'!Q43-'Tested_Results'!F43</x:f>
        <x:v>0</x:v>
      </x:c>
      <x:c r="E52" s="73" t="n">
        <x:f>'Calc_Monthly'!AC43-'Tested_Results'!G43</x:f>
        <x:v>0</x:v>
      </x:c>
      <x:c r="F52" s="73" t="n">
        <x:f>'Calc_Monthly'!AE43-'Tested_Results'!H43</x:f>
        <x:v>0</x:v>
      </x:c>
      <x:c r="G52" s="73" t="n">
        <x:f>'Calc_Monthly'!U43-'Tested_Results'!I43</x:f>
        <x:v>0</x:v>
      </x:c>
      <x:c r="H52" s="73" t="n">
        <x:f>'Calc_Monthly'!AD43-'Tested_Results'!J43</x:f>
        <x:v>0</x:v>
      </x:c>
      <x:c r="I52" s="73" t="n">
        <x:f>'Calc_Monthly'!AF43-'Tested_Results'!K43</x:f>
        <x:v>0</x:v>
      </x:c>
      <x:c r="J52" s="39" t="str">
        <x:f>IF(MAX(ABS(C52),ABS(D52),ABS(E52),ABS(F52),ABS(G52),ABS(H52),ABS(I52))&lt;='Settings_General'!$B$6,"PASS","CHECK")</x:f>
        <x:v>PASS</x:v>
      </x:c>
    </x:row>
    <x:row r="53">
      <x:c r="A53" s="39" t="str">
        <x:f>'Calc_Monthly'!A44</x:f>
        <x:v>18|aggregate</x:v>
      </x:c>
      <x:c r="B53" s="39" t="str">
        <x:f>'Calc_Monthly'!E44</x:f>
        <x:v>2023-07</x:v>
      </x:c>
      <x:c r="C53" s="73" t="n">
        <x:f>'Calc_Monthly'!K44-'Tested_Results'!T44</x:f>
        <x:v>0</x:v>
      </x:c>
      <x:c r="D53" s="73" t="n">
        <x:f>'Calc_Monthly'!Q44-'Tested_Results'!F44</x:f>
        <x:v>0</x:v>
      </x:c>
      <x:c r="E53" s="73" t="n">
        <x:f>'Calc_Monthly'!AC44-'Tested_Results'!G44</x:f>
        <x:v>0</x:v>
      </x:c>
      <x:c r="F53" s="73" t="n">
        <x:f>'Calc_Monthly'!AE44-'Tested_Results'!H44</x:f>
        <x:v>0</x:v>
      </x:c>
      <x:c r="G53" s="73" t="n">
        <x:f>'Calc_Monthly'!U44-'Tested_Results'!I44</x:f>
        <x:v>0</x:v>
      </x:c>
      <x:c r="H53" s="73" t="n">
        <x:f>'Calc_Monthly'!AD44-'Tested_Results'!J44</x:f>
        <x:v>0</x:v>
      </x:c>
      <x:c r="I53" s="73" t="n">
        <x:f>'Calc_Monthly'!AF44-'Tested_Results'!K44</x:f>
        <x:v>0</x:v>
      </x:c>
      <x:c r="J53" s="39" t="str">
        <x:f>IF(MAX(ABS(C53),ABS(D53),ABS(E53),ABS(F53),ABS(G53),ABS(H53),ABS(I53))&lt;='Settings_General'!$B$6,"PASS","CHECK")</x:f>
        <x:v>PASS</x:v>
      </x:c>
    </x:row>
    <x:row r="54">
      <x:c r="A54" s="39" t="str">
        <x:f>'Calc_Monthly'!A45</x:f>
        <x:v>18|aggregate</x:v>
      </x:c>
      <x:c r="B54" s="39" t="str">
        <x:f>'Calc_Monthly'!E45</x:f>
        <x:v>2023-08</x:v>
      </x:c>
      <x:c r="C54" s="73" t="n">
        <x:f>'Calc_Monthly'!K45-'Tested_Results'!T45</x:f>
        <x:v>0</x:v>
      </x:c>
      <x:c r="D54" s="73" t="n">
        <x:f>'Calc_Monthly'!Q45-'Tested_Results'!F45</x:f>
        <x:v>0</x:v>
      </x:c>
      <x:c r="E54" s="73" t="n">
        <x:f>'Calc_Monthly'!AC45-'Tested_Results'!G45</x:f>
        <x:v>0</x:v>
      </x:c>
      <x:c r="F54" s="73" t="n">
        <x:f>'Calc_Monthly'!AE45-'Tested_Results'!H45</x:f>
        <x:v>0</x:v>
      </x:c>
      <x:c r="G54" s="73" t="n">
        <x:f>'Calc_Monthly'!U45-'Tested_Results'!I45</x:f>
        <x:v>0</x:v>
      </x:c>
      <x:c r="H54" s="73" t="n">
        <x:f>'Calc_Monthly'!AD45-'Tested_Results'!J45</x:f>
        <x:v>0</x:v>
      </x:c>
      <x:c r="I54" s="73" t="n">
        <x:f>'Calc_Monthly'!AF45-'Tested_Results'!K45</x:f>
        <x:v>0</x:v>
      </x:c>
      <x:c r="J54" s="39" t="str">
        <x:f>IF(MAX(ABS(C54),ABS(D54),ABS(E54),ABS(F54),ABS(G54),ABS(H54),ABS(I54))&lt;='Settings_General'!$B$6,"PASS","CHECK")</x:f>
        <x:v>PASS</x:v>
      </x:c>
    </x:row>
    <x:row r="55">
      <x:c r="A55" s="39" t="str">
        <x:f>'Calc_Monthly'!A46</x:f>
        <x:v>18|aggregate</x:v>
      </x:c>
      <x:c r="B55" s="39" t="str">
        <x:f>'Calc_Monthly'!E46</x:f>
        <x:v>2023-09</x:v>
      </x:c>
      <x:c r="C55" s="73" t="n">
        <x:f>'Calc_Monthly'!K46-'Tested_Results'!T46</x:f>
        <x:v>1.8189894035458565e-12</x:v>
      </x:c>
      <x:c r="D55" s="73" t="n">
        <x:f>'Calc_Monthly'!Q46-'Tested_Results'!F46</x:f>
        <x:v>0</x:v>
      </x:c>
      <x:c r="E55" s="73" t="n">
        <x:f>'Calc_Monthly'!AC46-'Tested_Results'!G46</x:f>
        <x:v>0</x:v>
      </x:c>
      <x:c r="F55" s="73" t="n">
        <x:f>'Calc_Monthly'!AE46-'Tested_Results'!H46</x:f>
        <x:v>0</x:v>
      </x:c>
      <x:c r="G55" s="73" t="n">
        <x:f>'Calc_Monthly'!U46-'Tested_Results'!I46</x:f>
        <x:v>0</x:v>
      </x:c>
      <x:c r="H55" s="73" t="n">
        <x:f>'Calc_Monthly'!AD46-'Tested_Results'!J46</x:f>
        <x:v>0</x:v>
      </x:c>
      <x:c r="I55" s="73" t="n">
        <x:f>'Calc_Monthly'!AF46-'Tested_Results'!K46</x:f>
        <x:v>0</x:v>
      </x:c>
      <x:c r="J55" s="39" t="str">
        <x:f>IF(MAX(ABS(C55),ABS(D55),ABS(E55),ABS(F55),ABS(G55),ABS(H55),ABS(I55))&lt;='Settings_General'!$B$6,"PASS","CHECK")</x:f>
        <x:v>PASS</x:v>
      </x:c>
    </x:row>
    <x:row r="56">
      <x:c r="A56" s="39" t="str">
        <x:f>'Calc_Monthly'!A47</x:f>
        <x:v>18|aggregate</x:v>
      </x:c>
      <x:c r="B56" s="39" t="str">
        <x:f>'Calc_Monthly'!E47</x:f>
        <x:v>2023-10</x:v>
      </x:c>
      <x:c r="C56" s="73" t="n">
        <x:f>'Calc_Monthly'!K47-'Tested_Results'!T47</x:f>
        <x:v>0</x:v>
      </x:c>
      <x:c r="D56" s="73" t="n">
        <x:f>'Calc_Monthly'!Q47-'Tested_Results'!F47</x:f>
        <x:v>0</x:v>
      </x:c>
      <x:c r="E56" s="73" t="n">
        <x:f>'Calc_Monthly'!AC47-'Tested_Results'!G47</x:f>
        <x:v>0</x:v>
      </x:c>
      <x:c r="F56" s="73" t="n">
        <x:f>'Calc_Monthly'!AE47-'Tested_Results'!H47</x:f>
        <x:v>0</x:v>
      </x:c>
      <x:c r="G56" s="73" t="n">
        <x:f>'Calc_Monthly'!U47-'Tested_Results'!I47</x:f>
        <x:v>0</x:v>
      </x:c>
      <x:c r="H56" s="73" t="n">
        <x:f>'Calc_Monthly'!AD47-'Tested_Results'!J47</x:f>
        <x:v>0</x:v>
      </x:c>
      <x:c r="I56" s="73" t="n">
        <x:f>'Calc_Monthly'!AF47-'Tested_Results'!K47</x:f>
        <x:v>0</x:v>
      </x:c>
      <x:c r="J56" s="39" t="str">
        <x:f>IF(MAX(ABS(C56),ABS(D56),ABS(E56),ABS(F56),ABS(G56),ABS(H56),ABS(I56))&lt;='Settings_General'!$B$6,"PASS","CHECK")</x:f>
        <x:v>PASS</x:v>
      </x:c>
    </x:row>
    <x:row r="57">
      <x:c r="A57" s="39" t="str">
        <x:f>'Calc_Monthly'!A48</x:f>
        <x:v>18|aggregate</x:v>
      </x:c>
      <x:c r="B57" s="39" t="str">
        <x:f>'Calc_Monthly'!E48</x:f>
        <x:v>2023-11</x:v>
      </x:c>
      <x:c r="C57" s="73" t="n">
        <x:f>'Calc_Monthly'!K48-'Tested_Results'!T48</x:f>
        <x:v>0</x:v>
      </x:c>
      <x:c r="D57" s="73" t="n">
        <x:f>'Calc_Monthly'!Q48-'Tested_Results'!F48</x:f>
        <x:v>0</x:v>
      </x:c>
      <x:c r="E57" s="73" t="n">
        <x:f>'Calc_Monthly'!AC48-'Tested_Results'!G48</x:f>
        <x:v>0</x:v>
      </x:c>
      <x:c r="F57" s="73" t="n">
        <x:f>'Calc_Monthly'!AE48-'Tested_Results'!H48</x:f>
        <x:v>0</x:v>
      </x:c>
      <x:c r="G57" s="73" t="n">
        <x:f>'Calc_Monthly'!U48-'Tested_Results'!I48</x:f>
        <x:v>0</x:v>
      </x:c>
      <x:c r="H57" s="73" t="n">
        <x:f>'Calc_Monthly'!AD48-'Tested_Results'!J48</x:f>
        <x:v>0</x:v>
      </x:c>
      <x:c r="I57" s="73" t="n">
        <x:f>'Calc_Monthly'!AF48-'Tested_Results'!K48</x:f>
        <x:v>0</x:v>
      </x:c>
      <x:c r="J57" s="39" t="str">
        <x:f>IF(MAX(ABS(C57),ABS(D57),ABS(E57),ABS(F57),ABS(G57),ABS(H57),ABS(I57))&lt;='Settings_General'!$B$6,"PASS","CHECK")</x:f>
        <x:v>PASS</x:v>
      </x:c>
    </x:row>
    <x:row r="58">
      <x:c r="A58" s="39" t="str">
        <x:f>'Calc_Monthly'!A49</x:f>
        <x:v>18|aggregate</x:v>
      </x:c>
      <x:c r="B58" s="39" t="str">
        <x:f>'Calc_Monthly'!E49</x:f>
        <x:v>2023-12</x:v>
      </x:c>
      <x:c r="C58" s="73" t="n">
        <x:f>'Calc_Monthly'!K49-'Tested_Results'!T49</x:f>
        <x:v>-1.8189894035458565e-12</x:v>
      </x:c>
      <x:c r="D58" s="73" t="n">
        <x:f>'Calc_Monthly'!Q49-'Tested_Results'!F49</x:f>
        <x:v>3.637978807091713e-12</x:v>
      </x:c>
      <x:c r="E58" s="73" t="n">
        <x:f>'Calc_Monthly'!AC49-'Tested_Results'!G49</x:f>
        <x:v>0</x:v>
      </x:c>
      <x:c r="F58" s="73" t="n">
        <x:f>'Calc_Monthly'!AE49-'Tested_Results'!H49</x:f>
        <x:v>3.637978807091713e-12</x:v>
      </x:c>
      <x:c r="G58" s="73" t="n">
        <x:f>'Calc_Monthly'!U49-'Tested_Results'!I49</x:f>
        <x:v>0</x:v>
      </x:c>
      <x:c r="H58" s="73" t="n">
        <x:f>'Calc_Monthly'!AD49-'Tested_Results'!J49</x:f>
        <x:v>0</x:v>
      </x:c>
      <x:c r="I58" s="73" t="n">
        <x:f>'Calc_Monthly'!AF49-'Tested_Results'!K49</x:f>
        <x:v>0</x:v>
      </x:c>
      <x:c r="J58" s="39" t="str">
        <x:f>IF(MAX(ABS(C58),ABS(D58),ABS(E58),ABS(F58),ABS(G58),ABS(H58),ABS(I58))&lt;='Settings_General'!$B$6,"PASS","CHECK")</x:f>
        <x:v>PASS</x:v>
      </x:c>
    </x:row>
    <x:row r="59">
      <x:c r="A59" s="39" t="str">
        <x:f>'Calc_Monthly'!A50</x:f>
        <x:v>18|lower</x:v>
      </x:c>
      <x:c r="B59" s="39" t="str">
        <x:f>'Calc_Monthly'!E50</x:f>
        <x:v>2023-01</x:v>
      </x:c>
      <x:c r="C59" s="73" t="n">
        <x:f>'Calc_Monthly'!K50-'Tested_Results'!T50</x:f>
        <x:v>0</x:v>
      </x:c>
      <x:c r="D59" s="73" t="n">
        <x:f>'Calc_Monthly'!Q50-'Tested_Results'!F50</x:f>
        <x:v>0</x:v>
      </x:c>
      <x:c r="E59" s="73" t="n">
        <x:f>'Calc_Monthly'!AC50-'Tested_Results'!G50</x:f>
        <x:v>0</x:v>
      </x:c>
      <x:c r="F59" s="73" t="n">
        <x:f>'Calc_Monthly'!AE50-'Tested_Results'!H50</x:f>
        <x:v>0</x:v>
      </x:c>
      <x:c r="G59" s="73" t="n">
        <x:f>'Calc_Monthly'!U50-'Tested_Results'!I50</x:f>
        <x:v>0</x:v>
      </x:c>
      <x:c r="H59" s="73" t="n">
        <x:f>'Calc_Monthly'!AD50-'Tested_Results'!J50</x:f>
        <x:v>0</x:v>
      </x:c>
      <x:c r="I59" s="73" t="n">
        <x:f>'Calc_Monthly'!AF50-'Tested_Results'!K50</x:f>
        <x:v>0</x:v>
      </x:c>
      <x:c r="J59" s="39" t="str">
        <x:f>IF(MAX(ABS(C59),ABS(D59),ABS(E59),ABS(F59),ABS(G59),ABS(H59),ABS(I59))&lt;='Settings_General'!$B$6,"PASS","CHECK")</x:f>
        <x:v>PASS</x:v>
      </x:c>
    </x:row>
    <x:row r="60">
      <x:c r="A60" s="39" t="str">
        <x:f>'Calc_Monthly'!A51</x:f>
        <x:v>18|lower</x:v>
      </x:c>
      <x:c r="B60" s="39" t="str">
        <x:f>'Calc_Monthly'!E51</x:f>
        <x:v>2023-02</x:v>
      </x:c>
      <x:c r="C60" s="73" t="n">
        <x:f>'Calc_Monthly'!K51-'Tested_Results'!T51</x:f>
        <x:v>-9.094947017729282e-13</x:v>
      </x:c>
      <x:c r="D60" s="73" t="n">
        <x:f>'Calc_Monthly'!Q51-'Tested_Results'!F51</x:f>
        <x:v>0</x:v>
      </x:c>
      <x:c r="E60" s="73" t="n">
        <x:f>'Calc_Monthly'!AC51-'Tested_Results'!G51</x:f>
        <x:v>0</x:v>
      </x:c>
      <x:c r="F60" s="73" t="n">
        <x:f>'Calc_Monthly'!AE51-'Tested_Results'!H51</x:f>
        <x:v>0</x:v>
      </x:c>
      <x:c r="G60" s="73" t="n">
        <x:f>'Calc_Monthly'!U51-'Tested_Results'!I51</x:f>
        <x:v>0</x:v>
      </x:c>
      <x:c r="H60" s="73" t="n">
        <x:f>'Calc_Monthly'!AD51-'Tested_Results'!J51</x:f>
        <x:v>0</x:v>
      </x:c>
      <x:c r="I60" s="73" t="n">
        <x:f>'Calc_Monthly'!AF51-'Tested_Results'!K51</x:f>
        <x:v>0</x:v>
      </x:c>
      <x:c r="J60" s="39" t="str">
        <x:f>IF(MAX(ABS(C60),ABS(D60),ABS(E60),ABS(F60),ABS(G60),ABS(H60),ABS(I60))&lt;='Settings_General'!$B$6,"PASS","CHECK")</x:f>
        <x:v>PASS</x:v>
      </x:c>
    </x:row>
    <x:row r="61">
      <x:c r="A61" s="39" t="str">
        <x:f>'Calc_Monthly'!A52</x:f>
        <x:v>18|lower</x:v>
      </x:c>
      <x:c r="B61" s="39" t="str">
        <x:f>'Calc_Monthly'!E52</x:f>
        <x:v>2023-03</x:v>
      </x:c>
      <x:c r="C61" s="73" t="n">
        <x:f>'Calc_Monthly'!K52-'Tested_Results'!T52</x:f>
        <x:v>-1.8189894035458565e-12</x:v>
      </x:c>
      <x:c r="D61" s="73" t="n">
        <x:f>'Calc_Monthly'!Q52-'Tested_Results'!F52</x:f>
        <x:v>2.7284841053187847e-12</x:v>
      </x:c>
      <x:c r="E61" s="73" t="n">
        <x:f>'Calc_Monthly'!AC52-'Tested_Results'!G52</x:f>
        <x:v>0</x:v>
      </x:c>
      <x:c r="F61" s="73" t="n">
        <x:f>'Calc_Monthly'!AE52-'Tested_Results'!H52</x:f>
        <x:v>2.7284841053187847e-12</x:v>
      </x:c>
      <x:c r="G61" s="73" t="n">
        <x:f>'Calc_Monthly'!U52-'Tested_Results'!I52</x:f>
        <x:v>0</x:v>
      </x:c>
      <x:c r="H61" s="73" t="n">
        <x:f>'Calc_Monthly'!AD52-'Tested_Results'!J52</x:f>
        <x:v>0</x:v>
      </x:c>
      <x:c r="I61" s="73" t="n">
        <x:f>'Calc_Monthly'!AF52-'Tested_Results'!K52</x:f>
        <x:v>0</x:v>
      </x:c>
      <x:c r="J61" s="39" t="str">
        <x:f>IF(MAX(ABS(C61),ABS(D61),ABS(E61),ABS(F61),ABS(G61),ABS(H61),ABS(I61))&lt;='Settings_General'!$B$6,"PASS","CHECK")</x:f>
        <x:v>PASS</x:v>
      </x:c>
    </x:row>
    <x:row r="62">
      <x:c r="A62" s="39" t="str">
        <x:f>'Calc_Monthly'!A53</x:f>
        <x:v>18|lower</x:v>
      </x:c>
      <x:c r="B62" s="39" t="str">
        <x:f>'Calc_Monthly'!E53</x:f>
        <x:v>2023-04</x:v>
      </x:c>
      <x:c r="C62" s="73" t="n">
        <x:f>'Calc_Monthly'!K53-'Tested_Results'!T53</x:f>
        <x:v>0</x:v>
      </x:c>
      <x:c r="D62" s="73" t="n">
        <x:f>'Calc_Monthly'!Q53-'Tested_Results'!F53</x:f>
        <x:v>0</x:v>
      </x:c>
      <x:c r="E62" s="73" t="n">
        <x:f>'Calc_Monthly'!AC53-'Tested_Results'!G53</x:f>
        <x:v>0</x:v>
      </x:c>
      <x:c r="F62" s="73" t="n">
        <x:f>'Calc_Monthly'!AE53-'Tested_Results'!H53</x:f>
        <x:v>0</x:v>
      </x:c>
      <x:c r="G62" s="73" t="n">
        <x:f>'Calc_Monthly'!U53-'Tested_Results'!I53</x:f>
        <x:v>0</x:v>
      </x:c>
      <x:c r="H62" s="73" t="n">
        <x:f>'Calc_Monthly'!AD53-'Tested_Results'!J53</x:f>
        <x:v>0</x:v>
      </x:c>
      <x:c r="I62" s="73" t="n">
        <x:f>'Calc_Monthly'!AF53-'Tested_Results'!K53</x:f>
        <x:v>0</x:v>
      </x:c>
      <x:c r="J62" s="39" t="str">
        <x:f>IF(MAX(ABS(C62),ABS(D62),ABS(E62),ABS(F62),ABS(G62),ABS(H62),ABS(I62))&lt;='Settings_General'!$B$6,"PASS","CHECK")</x:f>
        <x:v>PASS</x:v>
      </x:c>
    </x:row>
    <x:row r="63">
      <x:c r="A63" s="39" t="str">
        <x:f>'Calc_Monthly'!A54</x:f>
        <x:v>18|lower</x:v>
      </x:c>
      <x:c r="B63" s="39" t="str">
        <x:f>'Calc_Monthly'!E54</x:f>
        <x:v>2023-05</x:v>
      </x:c>
      <x:c r="C63" s="73" t="n">
        <x:f>'Calc_Monthly'!K54-'Tested_Results'!T54</x:f>
        <x:v>0</x:v>
      </x:c>
      <x:c r="D63" s="73" t="n">
        <x:f>'Calc_Monthly'!Q54-'Tested_Results'!F54</x:f>
        <x:v>0</x:v>
      </x:c>
      <x:c r="E63" s="73" t="n">
        <x:f>'Calc_Monthly'!AC54-'Tested_Results'!G54</x:f>
        <x:v>0</x:v>
      </x:c>
      <x:c r="F63" s="73" t="n">
        <x:f>'Calc_Monthly'!AE54-'Tested_Results'!H54</x:f>
        <x:v>0</x:v>
      </x:c>
      <x:c r="G63" s="73" t="n">
        <x:f>'Calc_Monthly'!U54-'Tested_Results'!I54</x:f>
        <x:v>0</x:v>
      </x:c>
      <x:c r="H63" s="73" t="n">
        <x:f>'Calc_Monthly'!AD54-'Tested_Results'!J54</x:f>
        <x:v>0</x:v>
      </x:c>
      <x:c r="I63" s="73" t="n">
        <x:f>'Calc_Monthly'!AF54-'Tested_Results'!K54</x:f>
        <x:v>0</x:v>
      </x:c>
      <x:c r="J63" s="39" t="str">
        <x:f>IF(MAX(ABS(C63),ABS(D63),ABS(E63),ABS(F63),ABS(G63),ABS(H63),ABS(I63))&lt;='Settings_General'!$B$6,"PASS","CHECK")</x:f>
        <x:v>PASS</x:v>
      </x:c>
    </x:row>
    <x:row r="64">
      <x:c r="A64" s="39" t="str">
        <x:f>'Calc_Monthly'!A55</x:f>
        <x:v>18|lower</x:v>
      </x:c>
      <x:c r="B64" s="39" t="str">
        <x:f>'Calc_Monthly'!E55</x:f>
        <x:v>2023-06</x:v>
      </x:c>
      <x:c r="C64" s="73" t="n">
        <x:f>'Calc_Monthly'!K55-'Tested_Results'!T55</x:f>
        <x:v>1.8189894035458565e-12</x:v>
      </x:c>
      <x:c r="D64" s="73" t="n">
        <x:f>'Calc_Monthly'!Q55-'Tested_Results'!F55</x:f>
        <x:v>0</x:v>
      </x:c>
      <x:c r="E64" s="73" t="n">
        <x:f>'Calc_Monthly'!AC55-'Tested_Results'!G55</x:f>
        <x:v>0</x:v>
      </x:c>
      <x:c r="F64" s="73" t="n">
        <x:f>'Calc_Monthly'!AE55-'Tested_Results'!H55</x:f>
        <x:v>0</x:v>
      </x:c>
      <x:c r="G64" s="73" t="n">
        <x:f>'Calc_Monthly'!U55-'Tested_Results'!I55</x:f>
        <x:v>1.8189894035458565e-12</x:v>
      </x:c>
      <x:c r="H64" s="73" t="n">
        <x:f>'Calc_Monthly'!AD55-'Tested_Results'!J55</x:f>
        <x:v>0</x:v>
      </x:c>
      <x:c r="I64" s="73" t="n">
        <x:f>'Calc_Monthly'!AF55-'Tested_Results'!K55</x:f>
        <x:v>1.8189894035458565e-12</x:v>
      </x:c>
      <x:c r="J64" s="39" t="str">
        <x:f>IF(MAX(ABS(C64),ABS(D64),ABS(E64),ABS(F64),ABS(G64),ABS(H64),ABS(I64))&lt;='Settings_General'!$B$6,"PASS","CHECK")</x:f>
        <x:v>PASS</x:v>
      </x:c>
    </x:row>
    <x:row r="65">
      <x:c r="A65" s="39" t="str">
        <x:f>'Calc_Monthly'!A56</x:f>
        <x:v>18|lower</x:v>
      </x:c>
      <x:c r="B65" s="39" t="str">
        <x:f>'Calc_Monthly'!E56</x:f>
        <x:v>2023-07</x:v>
      </x:c>
      <x:c r="C65" s="73" t="n">
        <x:f>'Calc_Monthly'!K56-'Tested_Results'!T56</x:f>
        <x:v>-1.8189894035458565e-12</x:v>
      </x:c>
      <x:c r="D65" s="73" t="n">
        <x:f>'Calc_Monthly'!Q56-'Tested_Results'!F56</x:f>
        <x:v>0</x:v>
      </x:c>
      <x:c r="E65" s="73" t="n">
        <x:f>'Calc_Monthly'!AC56-'Tested_Results'!G56</x:f>
        <x:v>0</x:v>
      </x:c>
      <x:c r="F65" s="73" t="n">
        <x:f>'Calc_Monthly'!AE56-'Tested_Results'!H56</x:f>
        <x:v>0</x:v>
      </x:c>
      <x:c r="G65" s="73" t="n">
        <x:f>'Calc_Monthly'!U56-'Tested_Results'!I56</x:f>
        <x:v>-1.8189894035458565e-12</x:v>
      </x:c>
      <x:c r="H65" s="73" t="n">
        <x:f>'Calc_Monthly'!AD56-'Tested_Results'!J56</x:f>
        <x:v>0</x:v>
      </x:c>
      <x:c r="I65" s="73" t="n">
        <x:f>'Calc_Monthly'!AF56-'Tested_Results'!K56</x:f>
        <x:v>-1.8189894035458565e-12</x:v>
      </x:c>
      <x:c r="J65" s="39" t="str">
        <x:f>IF(MAX(ABS(C65),ABS(D65),ABS(E65),ABS(F65),ABS(G65),ABS(H65),ABS(I65))&lt;='Settings_General'!$B$6,"PASS","CHECK")</x:f>
        <x:v>PASS</x:v>
      </x:c>
    </x:row>
    <x:row r="66">
      <x:c r="A66" s="39" t="str">
        <x:f>'Calc_Monthly'!A57</x:f>
        <x:v>18|lower</x:v>
      </x:c>
      <x:c r="B66" s="39" t="str">
        <x:f>'Calc_Monthly'!E57</x:f>
        <x:v>2023-08</x:v>
      </x:c>
      <x:c r="C66" s="73" t="n">
        <x:f>'Calc_Monthly'!K57-'Tested_Results'!T57</x:f>
        <x:v>0</x:v>
      </x:c>
      <x:c r="D66" s="73" t="n">
        <x:f>'Calc_Monthly'!Q57-'Tested_Results'!F57</x:f>
        <x:v>0</x:v>
      </x:c>
      <x:c r="E66" s="73" t="n">
        <x:f>'Calc_Monthly'!AC57-'Tested_Results'!G57</x:f>
        <x:v>0</x:v>
      </x:c>
      <x:c r="F66" s="73" t="n">
        <x:f>'Calc_Monthly'!AE57-'Tested_Results'!H57</x:f>
        <x:v>0</x:v>
      </x:c>
      <x:c r="G66" s="73" t="n">
        <x:f>'Calc_Monthly'!U57-'Tested_Results'!I57</x:f>
        <x:v>0</x:v>
      </x:c>
      <x:c r="H66" s="73" t="n">
        <x:f>'Calc_Monthly'!AD57-'Tested_Results'!J57</x:f>
        <x:v>0</x:v>
      </x:c>
      <x:c r="I66" s="73" t="n">
        <x:f>'Calc_Monthly'!AF57-'Tested_Results'!K57</x:f>
        <x:v>0</x:v>
      </x:c>
      <x:c r="J66" s="39" t="str">
        <x:f>IF(MAX(ABS(C66),ABS(D66),ABS(E66),ABS(F66),ABS(G66),ABS(H66),ABS(I66))&lt;='Settings_General'!$B$6,"PASS","CHECK")</x:f>
        <x:v>PASS</x:v>
      </x:c>
    </x:row>
    <x:row r="67">
      <x:c r="A67" s="39" t="str">
        <x:f>'Calc_Monthly'!A58</x:f>
        <x:v>18|lower</x:v>
      </x:c>
      <x:c r="B67" s="39" t="str">
        <x:f>'Calc_Monthly'!E58</x:f>
        <x:v>2023-09</x:v>
      </x:c>
      <x:c r="C67" s="73" t="n">
        <x:f>'Calc_Monthly'!K58-'Tested_Results'!T58</x:f>
        <x:v>0</x:v>
      </x:c>
      <x:c r="D67" s="73" t="n">
        <x:f>'Calc_Monthly'!Q58-'Tested_Results'!F58</x:f>
        <x:v>0</x:v>
      </x:c>
      <x:c r="E67" s="73" t="n">
        <x:f>'Calc_Monthly'!AC58-'Tested_Results'!G58</x:f>
        <x:v>0</x:v>
      </x:c>
      <x:c r="F67" s="73" t="n">
        <x:f>'Calc_Monthly'!AE58-'Tested_Results'!H58</x:f>
        <x:v>0</x:v>
      </x:c>
      <x:c r="G67" s="73" t="n">
        <x:f>'Calc_Monthly'!U58-'Tested_Results'!I58</x:f>
        <x:v>0</x:v>
      </x:c>
      <x:c r="H67" s="73" t="n">
        <x:f>'Calc_Monthly'!AD58-'Tested_Results'!J58</x:f>
        <x:v>0</x:v>
      </x:c>
      <x:c r="I67" s="73" t="n">
        <x:f>'Calc_Monthly'!AF58-'Tested_Results'!K58</x:f>
        <x:v>0</x:v>
      </x:c>
      <x:c r="J67" s="39" t="str">
        <x:f>IF(MAX(ABS(C67),ABS(D67),ABS(E67),ABS(F67),ABS(G67),ABS(H67),ABS(I67))&lt;='Settings_General'!$B$6,"PASS","CHECK")</x:f>
        <x:v>PASS</x:v>
      </x:c>
    </x:row>
    <x:row r="68">
      <x:c r="A68" s="39" t="str">
        <x:f>'Calc_Monthly'!A59</x:f>
        <x:v>18|lower</x:v>
      </x:c>
      <x:c r="B68" s="39" t="str">
        <x:f>'Calc_Monthly'!E59</x:f>
        <x:v>2023-10</x:v>
      </x:c>
      <x:c r="C68" s="73" t="n">
        <x:f>'Calc_Monthly'!K59-'Tested_Results'!T59</x:f>
        <x:v>0</x:v>
      </x:c>
      <x:c r="D68" s="73" t="n">
        <x:f>'Calc_Monthly'!Q59-'Tested_Results'!F59</x:f>
        <x:v>0</x:v>
      </x:c>
      <x:c r="E68" s="73" t="n">
        <x:f>'Calc_Monthly'!AC59-'Tested_Results'!G59</x:f>
        <x:v>0</x:v>
      </x:c>
      <x:c r="F68" s="73" t="n">
        <x:f>'Calc_Monthly'!AE59-'Tested_Results'!H59</x:f>
        <x:v>0</x:v>
      </x:c>
      <x:c r="G68" s="73" t="n">
        <x:f>'Calc_Monthly'!U59-'Tested_Results'!I59</x:f>
        <x:v>0</x:v>
      </x:c>
      <x:c r="H68" s="73" t="n">
        <x:f>'Calc_Monthly'!AD59-'Tested_Results'!J59</x:f>
        <x:v>0</x:v>
      </x:c>
      <x:c r="I68" s="73" t="n">
        <x:f>'Calc_Monthly'!AF59-'Tested_Results'!K59</x:f>
        <x:v>0</x:v>
      </x:c>
      <x:c r="J68" s="39" t="str">
        <x:f>IF(MAX(ABS(C68),ABS(D68),ABS(E68),ABS(F68),ABS(G68),ABS(H68),ABS(I68))&lt;='Settings_General'!$B$6,"PASS","CHECK")</x:f>
        <x:v>PASS</x:v>
      </x:c>
    </x:row>
    <x:row r="69">
      <x:c r="A69" s="39" t="str">
        <x:f>'Calc_Monthly'!A60</x:f>
        <x:v>18|lower</x:v>
      </x:c>
      <x:c r="B69" s="39" t="str">
        <x:f>'Calc_Monthly'!E60</x:f>
        <x:v>2023-11</x:v>
      </x:c>
      <x:c r="C69" s="73" t="n">
        <x:f>'Calc_Monthly'!K60-'Tested_Results'!T60</x:f>
        <x:v>9.094947017729282e-13</x:v>
      </x:c>
      <x:c r="D69" s="73" t="n">
        <x:f>'Calc_Monthly'!Q60-'Tested_Results'!F60</x:f>
        <x:v>0</x:v>
      </x:c>
      <x:c r="E69" s="73" t="n">
        <x:f>'Calc_Monthly'!AC60-'Tested_Results'!G60</x:f>
        <x:v>0</x:v>
      </x:c>
      <x:c r="F69" s="73" t="n">
        <x:f>'Calc_Monthly'!AE60-'Tested_Results'!H60</x:f>
        <x:v>0</x:v>
      </x:c>
      <x:c r="G69" s="73" t="n">
        <x:f>'Calc_Monthly'!U60-'Tested_Results'!I60</x:f>
        <x:v>0</x:v>
      </x:c>
      <x:c r="H69" s="73" t="n">
        <x:f>'Calc_Monthly'!AD60-'Tested_Results'!J60</x:f>
        <x:v>0</x:v>
      </x:c>
      <x:c r="I69" s="73" t="n">
        <x:f>'Calc_Monthly'!AF60-'Tested_Results'!K60</x:f>
        <x:v>0</x:v>
      </x:c>
      <x:c r="J69" s="39" t="str">
        <x:f>IF(MAX(ABS(C69),ABS(D69),ABS(E69),ABS(F69),ABS(G69),ABS(H69),ABS(I69))&lt;='Settings_General'!$B$6,"PASS","CHECK")</x:f>
        <x:v>PASS</x:v>
      </x:c>
    </x:row>
    <x:row r="70">
      <x:c r="A70" s="39" t="str">
        <x:f>'Calc_Monthly'!A61</x:f>
        <x:v>18|lower</x:v>
      </x:c>
      <x:c r="B70" s="39" t="str">
        <x:f>'Calc_Monthly'!E61</x:f>
        <x:v>2023-12</x:v>
      </x:c>
      <x:c r="C70" s="73" t="n">
        <x:f>'Calc_Monthly'!K61-'Tested_Results'!T61</x:f>
        <x:v>-1.8189894035458565e-12</x:v>
      </x:c>
      <x:c r="D70" s="73" t="n">
        <x:f>'Calc_Monthly'!Q61-'Tested_Results'!F61</x:f>
        <x:v>9.094947017729282e-13</x:v>
      </x:c>
      <x:c r="E70" s="73" t="n">
        <x:f>'Calc_Monthly'!AC61-'Tested_Results'!G61</x:f>
        <x:v>0</x:v>
      </x:c>
      <x:c r="F70" s="73" t="n">
        <x:f>'Calc_Monthly'!AE61-'Tested_Results'!H61</x:f>
        <x:v>1.8189894035458565e-12</x:v>
      </x:c>
      <x:c r="G70" s="73" t="n">
        <x:f>'Calc_Monthly'!U61-'Tested_Results'!I61</x:f>
        <x:v>0</x:v>
      </x:c>
      <x:c r="H70" s="73" t="n">
        <x:f>'Calc_Monthly'!AD61-'Tested_Results'!J61</x:f>
        <x:v>0</x:v>
      </x:c>
      <x:c r="I70" s="73" t="n">
        <x:f>'Calc_Monthly'!AF61-'Tested_Results'!K61</x:f>
        <x:v>0</x:v>
      </x:c>
      <x:c r="J70" s="39" t="str">
        <x:f>IF(MAX(ABS(C70),ABS(D70),ABS(E70),ABS(F70),ABS(G70),ABS(H70),ABS(I70))&lt;='Settings_General'!$B$6,"PASS","CHECK")</x:f>
        <x:v>PASS</x:v>
      </x:c>
    </x:row>
    <x:row r="71">
      <x:c r="A71" s="39" t="str">
        <x:f>'Calc_Monthly'!A62</x:f>
        <x:v>18|upper</x:v>
      </x:c>
      <x:c r="B71" s="39" t="str">
        <x:f>'Calc_Monthly'!E62</x:f>
        <x:v>2023-01</x:v>
      </x:c>
      <x:c r="C71" s="73" t="n">
        <x:f>'Calc_Monthly'!K62-'Tested_Results'!T62</x:f>
        <x:v>0</x:v>
      </x:c>
      <x:c r="D71" s="73" t="n">
        <x:f>'Calc_Monthly'!Q62-'Tested_Results'!F62</x:f>
        <x:v>0</x:v>
      </x:c>
      <x:c r="E71" s="73" t="n">
        <x:f>'Calc_Monthly'!AC62-'Tested_Results'!G62</x:f>
        <x:v>0</x:v>
      </x:c>
      <x:c r="F71" s="73" t="n">
        <x:f>'Calc_Monthly'!AE62-'Tested_Results'!H62</x:f>
        <x:v>0</x:v>
      </x:c>
      <x:c r="G71" s="73" t="n">
        <x:f>'Calc_Monthly'!U62-'Tested_Results'!I62</x:f>
        <x:v>0</x:v>
      </x:c>
      <x:c r="H71" s="73" t="n">
        <x:f>'Calc_Monthly'!AD62-'Tested_Results'!J62</x:f>
        <x:v>0</x:v>
      </x:c>
      <x:c r="I71" s="73" t="n">
        <x:f>'Calc_Monthly'!AF62-'Tested_Results'!K62</x:f>
        <x:v>0</x:v>
      </x:c>
      <x:c r="J71" s="39" t="str">
        <x:f>IF(MAX(ABS(C71),ABS(D71),ABS(E71),ABS(F71),ABS(G71),ABS(H71),ABS(I71))&lt;='Settings_General'!$B$6,"PASS","CHECK")</x:f>
        <x:v>PASS</x:v>
      </x:c>
    </x:row>
    <x:row r="72">
      <x:c r="A72" s="39" t="str">
        <x:f>'Calc_Monthly'!A63</x:f>
        <x:v>18|upper</x:v>
      </x:c>
      <x:c r="B72" s="39" t="str">
        <x:f>'Calc_Monthly'!E63</x:f>
        <x:v>2023-02</x:v>
      </x:c>
      <x:c r="C72" s="73" t="n">
        <x:f>'Calc_Monthly'!K63-'Tested_Results'!T63</x:f>
        <x:v>-2.2737367544323206e-13</x:v>
      </x:c>
      <x:c r="D72" s="73" t="n">
        <x:f>'Calc_Monthly'!Q63-'Tested_Results'!F63</x:f>
        <x:v>0</x:v>
      </x:c>
      <x:c r="E72" s="73" t="n">
        <x:f>'Calc_Monthly'!AC63-'Tested_Results'!G63</x:f>
        <x:v>0</x:v>
      </x:c>
      <x:c r="F72" s="73" t="n">
        <x:f>'Calc_Monthly'!AE63-'Tested_Results'!H63</x:f>
        <x:v>0</x:v>
      </x:c>
      <x:c r="G72" s="73" t="n">
        <x:f>'Calc_Monthly'!U63-'Tested_Results'!I63</x:f>
        <x:v>0</x:v>
      </x:c>
      <x:c r="H72" s="73" t="n">
        <x:f>'Calc_Monthly'!AD63-'Tested_Results'!J63</x:f>
        <x:v>0</x:v>
      </x:c>
      <x:c r="I72" s="73" t="n">
        <x:f>'Calc_Monthly'!AF63-'Tested_Results'!K63</x:f>
        <x:v>0</x:v>
      </x:c>
      <x:c r="J72" s="39" t="str">
        <x:f>IF(MAX(ABS(C72),ABS(D72),ABS(E72),ABS(F72),ABS(G72),ABS(H72),ABS(I72))&lt;='Settings_General'!$B$6,"PASS","CHECK")</x:f>
        <x:v>PASS</x:v>
      </x:c>
    </x:row>
    <x:row r="73">
      <x:c r="A73" s="39" t="str">
        <x:f>'Calc_Monthly'!A64</x:f>
        <x:v>18|upper</x:v>
      </x:c>
      <x:c r="B73" s="39" t="str">
        <x:f>'Calc_Monthly'!E64</x:f>
        <x:v>2023-03</x:v>
      </x:c>
      <x:c r="C73" s="73" t="n">
        <x:f>'Calc_Monthly'!K64-'Tested_Results'!T64</x:f>
        <x:v>4.547473508864641e-13</x:v>
      </x:c>
      <x:c r="D73" s="73" t="n">
        <x:f>'Calc_Monthly'!Q64-'Tested_Results'!F64</x:f>
        <x:v>0</x:v>
      </x:c>
      <x:c r="E73" s="73" t="n">
        <x:f>'Calc_Monthly'!AC64-'Tested_Results'!G64</x:f>
        <x:v>0</x:v>
      </x:c>
      <x:c r="F73" s="73" t="n">
        <x:f>'Calc_Monthly'!AE64-'Tested_Results'!H64</x:f>
        <x:v>0</x:v>
      </x:c>
      <x:c r="G73" s="73" t="n">
        <x:f>'Calc_Monthly'!U64-'Tested_Results'!I64</x:f>
        <x:v>0</x:v>
      </x:c>
      <x:c r="H73" s="73" t="n">
        <x:f>'Calc_Monthly'!AD64-'Tested_Results'!J64</x:f>
        <x:v>0</x:v>
      </x:c>
      <x:c r="I73" s="73" t="n">
        <x:f>'Calc_Monthly'!AF64-'Tested_Results'!K64</x:f>
        <x:v>0</x:v>
      </x:c>
      <x:c r="J73" s="39" t="str">
        <x:f>IF(MAX(ABS(C73),ABS(D73),ABS(E73),ABS(F73),ABS(G73),ABS(H73),ABS(I73))&lt;='Settings_General'!$B$6,"PASS","CHECK")</x:f>
        <x:v>PASS</x:v>
      </x:c>
    </x:row>
    <x:row r="74">
      <x:c r="A74" s="39" t="str">
        <x:f>'Calc_Monthly'!A65</x:f>
        <x:v>18|upper</x:v>
      </x:c>
      <x:c r="B74" s="39" t="str">
        <x:f>'Calc_Monthly'!E65</x:f>
        <x:v>2023-04</x:v>
      </x:c>
      <x:c r="C74" s="73" t="n">
        <x:f>'Calc_Monthly'!K65-'Tested_Results'!T65</x:f>
        <x:v>-9.094947017729282e-13</x:v>
      </x:c>
      <x:c r="D74" s="73" t="n">
        <x:f>'Calc_Monthly'!Q65-'Tested_Results'!F65</x:f>
        <x:v>9.094947017729282e-13</x:v>
      </x:c>
      <x:c r="E74" s="73" t="n">
        <x:f>'Calc_Monthly'!AC65-'Tested_Results'!G65</x:f>
        <x:v>0</x:v>
      </x:c>
      <x:c r="F74" s="73" t="n">
        <x:f>'Calc_Monthly'!AE65-'Tested_Results'!H65</x:f>
        <x:v>9.094947017729282e-13</x:v>
      </x:c>
      <x:c r="G74" s="73" t="n">
        <x:f>'Calc_Monthly'!U65-'Tested_Results'!I65</x:f>
        <x:v>0</x:v>
      </x:c>
      <x:c r="H74" s="73" t="n">
        <x:f>'Calc_Monthly'!AD65-'Tested_Results'!J65</x:f>
        <x:v>0</x:v>
      </x:c>
      <x:c r="I74" s="73" t="n">
        <x:f>'Calc_Monthly'!AF65-'Tested_Results'!K65</x:f>
        <x:v>0</x:v>
      </x:c>
      <x:c r="J74" s="39" t="str">
        <x:f>IF(MAX(ABS(C74),ABS(D74),ABS(E74),ABS(F74),ABS(G74),ABS(H74),ABS(I74))&lt;='Settings_General'!$B$6,"PASS","CHECK")</x:f>
        <x:v>PASS</x:v>
      </x:c>
    </x:row>
    <x:row r="75">
      <x:c r="A75" s="39" t="str">
        <x:f>'Calc_Monthly'!A66</x:f>
        <x:v>18|upper</x:v>
      </x:c>
      <x:c r="B75" s="39" t="str">
        <x:f>'Calc_Monthly'!E66</x:f>
        <x:v>2023-05</x:v>
      </x:c>
      <x:c r="C75" s="73" t="n">
        <x:f>'Calc_Monthly'!K66-'Tested_Results'!T66</x:f>
        <x:v>0</x:v>
      </x:c>
      <x:c r="D75" s="73" t="n">
        <x:f>'Calc_Monthly'!Q66-'Tested_Results'!F66</x:f>
        <x:v>0</x:v>
      </x:c>
      <x:c r="E75" s="73" t="n">
        <x:f>'Calc_Monthly'!AC66-'Tested_Results'!G66</x:f>
        <x:v>0</x:v>
      </x:c>
      <x:c r="F75" s="73" t="n">
        <x:f>'Calc_Monthly'!AE66-'Tested_Results'!H66</x:f>
        <x:v>0</x:v>
      </x:c>
      <x:c r="G75" s="73" t="n">
        <x:f>'Calc_Monthly'!U66-'Tested_Results'!I66</x:f>
        <x:v>0</x:v>
      </x:c>
      <x:c r="H75" s="73" t="n">
        <x:f>'Calc_Monthly'!AD66-'Tested_Results'!J66</x:f>
        <x:v>0</x:v>
      </x:c>
      <x:c r="I75" s="73" t="n">
        <x:f>'Calc_Monthly'!AF66-'Tested_Results'!K66</x:f>
        <x:v>0</x:v>
      </x:c>
      <x:c r="J75" s="39" t="str">
        <x:f>IF(MAX(ABS(C75),ABS(D75),ABS(E75),ABS(F75),ABS(G75),ABS(H75),ABS(I75))&lt;='Settings_General'!$B$6,"PASS","CHECK")</x:f>
        <x:v>PASS</x:v>
      </x:c>
    </x:row>
    <x:row r="76">
      <x:c r="A76" s="39" t="str">
        <x:f>'Calc_Monthly'!A67</x:f>
        <x:v>18|upper</x:v>
      </x:c>
      <x:c r="B76" s="39" t="str">
        <x:f>'Calc_Monthly'!E67</x:f>
        <x:v>2023-06</x:v>
      </x:c>
      <x:c r="C76" s="73" t="n">
        <x:f>'Calc_Monthly'!K67-'Tested_Results'!T67</x:f>
        <x:v>0</x:v>
      </x:c>
      <x:c r="D76" s="73" t="n">
        <x:f>'Calc_Monthly'!Q67-'Tested_Results'!F67</x:f>
        <x:v>0</x:v>
      </x:c>
      <x:c r="E76" s="73" t="n">
        <x:f>'Calc_Monthly'!AC67-'Tested_Results'!G67</x:f>
        <x:v>0</x:v>
      </x:c>
      <x:c r="F76" s="73" t="n">
        <x:f>'Calc_Monthly'!AE67-'Tested_Results'!H67</x:f>
        <x:v>0</x:v>
      </x:c>
      <x:c r="G76" s="73" t="n">
        <x:f>'Calc_Monthly'!U67-'Tested_Results'!I67</x:f>
        <x:v>0</x:v>
      </x:c>
      <x:c r="H76" s="73" t="n">
        <x:f>'Calc_Monthly'!AD67-'Tested_Results'!J67</x:f>
        <x:v>0</x:v>
      </x:c>
      <x:c r="I76" s="73" t="n">
        <x:f>'Calc_Monthly'!AF67-'Tested_Results'!K67</x:f>
        <x:v>0</x:v>
      </x:c>
      <x:c r="J76" s="39" t="str">
        <x:f>IF(MAX(ABS(C76),ABS(D76),ABS(E76),ABS(F76),ABS(G76),ABS(H76),ABS(I76))&lt;='Settings_General'!$B$6,"PASS","CHECK")</x:f>
        <x:v>PASS</x:v>
      </x:c>
    </x:row>
    <x:row r="77">
      <x:c r="A77" s="39" t="str">
        <x:f>'Calc_Monthly'!A68</x:f>
        <x:v>18|upper</x:v>
      </x:c>
      <x:c r="B77" s="39" t="str">
        <x:f>'Calc_Monthly'!E68</x:f>
        <x:v>2023-07</x:v>
      </x:c>
      <x:c r="C77" s="73" t="n">
        <x:f>'Calc_Monthly'!K68-'Tested_Results'!T68</x:f>
        <x:v>9.094947017729282e-13</x:v>
      </x:c>
      <x:c r="D77" s="73" t="n">
        <x:f>'Calc_Monthly'!Q68-'Tested_Results'!F68</x:f>
        <x:v>0</x:v>
      </x:c>
      <x:c r="E77" s="73" t="n">
        <x:f>'Calc_Monthly'!AC68-'Tested_Results'!G68</x:f>
        <x:v>0</x:v>
      </x:c>
      <x:c r="F77" s="73" t="n">
        <x:f>'Calc_Monthly'!AE68-'Tested_Results'!H68</x:f>
        <x:v>0</x:v>
      </x:c>
      <x:c r="G77" s="73" t="n">
        <x:f>'Calc_Monthly'!U68-'Tested_Results'!I68</x:f>
        <x:v>0</x:v>
      </x:c>
      <x:c r="H77" s="73" t="n">
        <x:f>'Calc_Monthly'!AD68-'Tested_Results'!J68</x:f>
        <x:v>0</x:v>
      </x:c>
      <x:c r="I77" s="73" t="n">
        <x:f>'Calc_Monthly'!AF68-'Tested_Results'!K68</x:f>
        <x:v>0</x:v>
      </x:c>
      <x:c r="J77" s="39" t="str">
        <x:f>IF(MAX(ABS(C77),ABS(D77),ABS(E77),ABS(F77),ABS(G77),ABS(H77),ABS(I77))&lt;='Settings_General'!$B$6,"PASS","CHECK")</x:f>
        <x:v>PASS</x:v>
      </x:c>
    </x:row>
    <x:row r="78">
      <x:c r="A78" s="39" t="str">
        <x:f>'Calc_Monthly'!A69</x:f>
        <x:v>18|upper</x:v>
      </x:c>
      <x:c r="B78" s="39" t="str">
        <x:f>'Calc_Monthly'!E69</x:f>
        <x:v>2023-08</x:v>
      </x:c>
      <x:c r="C78" s="73" t="n">
        <x:f>'Calc_Monthly'!K69-'Tested_Results'!T69</x:f>
        <x:v>0</x:v>
      </x:c>
      <x:c r="D78" s="73" t="n">
        <x:f>'Calc_Monthly'!Q69-'Tested_Results'!F69</x:f>
        <x:v>0</x:v>
      </x:c>
      <x:c r="E78" s="73" t="n">
        <x:f>'Calc_Monthly'!AC69-'Tested_Results'!G69</x:f>
        <x:v>0</x:v>
      </x:c>
      <x:c r="F78" s="73" t="n">
        <x:f>'Calc_Monthly'!AE69-'Tested_Results'!H69</x:f>
        <x:v>0</x:v>
      </x:c>
      <x:c r="G78" s="73" t="n">
        <x:f>'Calc_Monthly'!U69-'Tested_Results'!I69</x:f>
        <x:v>0</x:v>
      </x:c>
      <x:c r="H78" s="73" t="n">
        <x:f>'Calc_Monthly'!AD69-'Tested_Results'!J69</x:f>
        <x:v>0</x:v>
      </x:c>
      <x:c r="I78" s="73" t="n">
        <x:f>'Calc_Monthly'!AF69-'Tested_Results'!K69</x:f>
        <x:v>0</x:v>
      </x:c>
      <x:c r="J78" s="39" t="str">
        <x:f>IF(MAX(ABS(C78),ABS(D78),ABS(E78),ABS(F78),ABS(G78),ABS(H78),ABS(I78))&lt;='Settings_General'!$B$6,"PASS","CHECK")</x:f>
        <x:v>PASS</x:v>
      </x:c>
    </x:row>
    <x:row r="79">
      <x:c r="A79" s="39" t="str">
        <x:f>'Calc_Monthly'!A70</x:f>
        <x:v>18|upper</x:v>
      </x:c>
      <x:c r="B79" s="39" t="str">
        <x:f>'Calc_Monthly'!E70</x:f>
        <x:v>2023-09</x:v>
      </x:c>
      <x:c r="C79" s="73" t="n">
        <x:f>'Calc_Monthly'!K70-'Tested_Results'!T70</x:f>
        <x:v>0</x:v>
      </x:c>
      <x:c r="D79" s="73" t="n">
        <x:f>'Calc_Monthly'!Q70-'Tested_Results'!F70</x:f>
        <x:v>0</x:v>
      </x:c>
      <x:c r="E79" s="73" t="n">
        <x:f>'Calc_Monthly'!AC70-'Tested_Results'!G70</x:f>
        <x:v>0</x:v>
      </x:c>
      <x:c r="F79" s="73" t="n">
        <x:f>'Calc_Monthly'!AE70-'Tested_Results'!H70</x:f>
        <x:v>0</x:v>
      </x:c>
      <x:c r="G79" s="73" t="n">
        <x:f>'Calc_Monthly'!U70-'Tested_Results'!I70</x:f>
        <x:v>0</x:v>
      </x:c>
      <x:c r="H79" s="73" t="n">
        <x:f>'Calc_Monthly'!AD70-'Tested_Results'!J70</x:f>
        <x:v>0</x:v>
      </x:c>
      <x:c r="I79" s="73" t="n">
        <x:f>'Calc_Monthly'!AF70-'Tested_Results'!K70</x:f>
        <x:v>0</x:v>
      </x:c>
      <x:c r="J79" s="39" t="str">
        <x:f>IF(MAX(ABS(C79),ABS(D79),ABS(E79),ABS(F79),ABS(G79),ABS(H79),ABS(I79))&lt;='Settings_General'!$B$6,"PASS","CHECK")</x:f>
        <x:v>PASS</x:v>
      </x:c>
    </x:row>
    <x:row r="80">
      <x:c r="A80" s="39" t="str">
        <x:f>'Calc_Monthly'!A71</x:f>
        <x:v>18|upper</x:v>
      </x:c>
      <x:c r="B80" s="39" t="str">
        <x:f>'Calc_Monthly'!E71</x:f>
        <x:v>2023-10</x:v>
      </x:c>
      <x:c r="C80" s="73" t="n">
        <x:f>'Calc_Monthly'!K71-'Tested_Results'!T71</x:f>
        <x:v>0</x:v>
      </x:c>
      <x:c r="D80" s="73" t="n">
        <x:f>'Calc_Monthly'!Q71-'Tested_Results'!F71</x:f>
        <x:v>0</x:v>
      </x:c>
      <x:c r="E80" s="73" t="n">
        <x:f>'Calc_Monthly'!AC71-'Tested_Results'!G71</x:f>
        <x:v>0</x:v>
      </x:c>
      <x:c r="F80" s="73" t="n">
        <x:f>'Calc_Monthly'!AE71-'Tested_Results'!H71</x:f>
        <x:v>0</x:v>
      </x:c>
      <x:c r="G80" s="73" t="n">
        <x:f>'Calc_Monthly'!U71-'Tested_Results'!I71</x:f>
        <x:v>0</x:v>
      </x:c>
      <x:c r="H80" s="73" t="n">
        <x:f>'Calc_Monthly'!AD71-'Tested_Results'!J71</x:f>
        <x:v>0</x:v>
      </x:c>
      <x:c r="I80" s="73" t="n">
        <x:f>'Calc_Monthly'!AF71-'Tested_Results'!K71</x:f>
        <x:v>0</x:v>
      </x:c>
      <x:c r="J80" s="39" t="str">
        <x:f>IF(MAX(ABS(C80),ABS(D80),ABS(E80),ABS(F80),ABS(G80),ABS(H80),ABS(I80))&lt;='Settings_General'!$B$6,"PASS","CHECK")</x:f>
        <x:v>PASS</x:v>
      </x:c>
    </x:row>
    <x:row r="81">
      <x:c r="A81" s="39" t="str">
        <x:f>'Calc_Monthly'!A72</x:f>
        <x:v>18|upper</x:v>
      </x:c>
      <x:c r="B81" s="39" t="str">
        <x:f>'Calc_Monthly'!E72</x:f>
        <x:v>2023-11</x:v>
      </x:c>
      <x:c r="C81" s="73" t="n">
        <x:f>'Calc_Monthly'!K72-'Tested_Results'!T72</x:f>
        <x:v>0</x:v>
      </x:c>
      <x:c r="D81" s="73" t="n">
        <x:f>'Calc_Monthly'!Q72-'Tested_Results'!F72</x:f>
        <x:v>0</x:v>
      </x:c>
      <x:c r="E81" s="73" t="n">
        <x:f>'Calc_Monthly'!AC72-'Tested_Results'!G72</x:f>
        <x:v>0</x:v>
      </x:c>
      <x:c r="F81" s="73" t="n">
        <x:f>'Calc_Monthly'!AE72-'Tested_Results'!H72</x:f>
        <x:v>0</x:v>
      </x:c>
      <x:c r="G81" s="73" t="n">
        <x:f>'Calc_Monthly'!U72-'Tested_Results'!I72</x:f>
        <x:v>0</x:v>
      </x:c>
      <x:c r="H81" s="73" t="n">
        <x:f>'Calc_Monthly'!AD72-'Tested_Results'!J72</x:f>
        <x:v>0</x:v>
      </x:c>
      <x:c r="I81" s="73" t="n">
        <x:f>'Calc_Monthly'!AF72-'Tested_Results'!K72</x:f>
        <x:v>0</x:v>
      </x:c>
      <x:c r="J81" s="39" t="str">
        <x:f>IF(MAX(ABS(C81),ABS(D81),ABS(E81),ABS(F81),ABS(G81),ABS(H81),ABS(I81))&lt;='Settings_General'!$B$6,"PASS","CHECK")</x:f>
        <x:v>PASS</x:v>
      </x:c>
    </x:row>
    <x:row r="82">
      <x:c r="A82" s="39" t="str">
        <x:f>'Calc_Monthly'!A73</x:f>
        <x:v>18|upper</x:v>
      </x:c>
      <x:c r="B82" s="39" t="str">
        <x:f>'Calc_Monthly'!E73</x:f>
        <x:v>2023-12</x:v>
      </x:c>
      <x:c r="C82" s="73" t="n">
        <x:f>'Calc_Monthly'!K73-'Tested_Results'!T73</x:f>
        <x:v>2.2737367544323206e-13</x:v>
      </x:c>
      <x:c r="D82" s="73" t="n">
        <x:f>'Calc_Monthly'!Q73-'Tested_Results'!F73</x:f>
        <x:v>0</x:v>
      </x:c>
      <x:c r="E82" s="73" t="n">
        <x:f>'Calc_Monthly'!AC73-'Tested_Results'!G73</x:f>
        <x:v>0</x:v>
      </x:c>
      <x:c r="F82" s="73" t="n">
        <x:f>'Calc_Monthly'!AE73-'Tested_Results'!H73</x:f>
        <x:v>0</x:v>
      </x:c>
      <x:c r="G82" s="73" t="n">
        <x:f>'Calc_Monthly'!U73-'Tested_Results'!I73</x:f>
        <x:v>0</x:v>
      </x:c>
      <x:c r="H82" s="73" t="n">
        <x:f>'Calc_Monthly'!AD73-'Tested_Results'!J73</x:f>
        <x:v>0</x:v>
      </x:c>
      <x:c r="I82" s="73" t="n">
        <x:f>'Calc_Monthly'!AF73-'Tested_Results'!K73</x:f>
        <x:v>0</x:v>
      </x:c>
      <x:c r="J82" s="39" t="str">
        <x:f>IF(MAX(ABS(C82),ABS(D82),ABS(E82),ABS(F82),ABS(G82),ABS(H82),ABS(I82))&lt;='Settings_General'!$B$6,"PASS","CHECK")</x:f>
        <x:v>PASS</x:v>
      </x:c>
    </x:row>
    <x:row r="83">
      <x:c r="A83" s="39" t="str">
        <x:f>'Calc_Monthly'!A74</x:f>
        <x:v>19|aggregate</x:v>
      </x:c>
      <x:c r="B83" s="39" t="str">
        <x:f>'Calc_Monthly'!E74</x:f>
        <x:v>2023-01</x:v>
      </x:c>
      <x:c r="C83" s="73" t="n">
        <x:f>'Calc_Monthly'!K74-'Tested_Results'!T74</x:f>
        <x:v>0</x:v>
      </x:c>
      <x:c r="D83" s="73" t="n">
        <x:f>'Calc_Monthly'!Q74-'Tested_Results'!F74</x:f>
        <x:v>0</x:v>
      </x:c>
      <x:c r="E83" s="73" t="n">
        <x:f>'Calc_Monthly'!AC74-'Tested_Results'!G74</x:f>
        <x:v>0</x:v>
      </x:c>
      <x:c r="F83" s="73" t="n">
        <x:f>'Calc_Monthly'!AE74-'Tested_Results'!H74</x:f>
        <x:v>0</x:v>
      </x:c>
      <x:c r="G83" s="73" t="n">
        <x:f>'Calc_Monthly'!U74-'Tested_Results'!I74</x:f>
        <x:v>0</x:v>
      </x:c>
      <x:c r="H83" s="73" t="n">
        <x:f>'Calc_Monthly'!AD74-'Tested_Results'!J74</x:f>
        <x:v>0</x:v>
      </x:c>
      <x:c r="I83" s="73" t="n">
        <x:f>'Calc_Monthly'!AF74-'Tested_Results'!K74</x:f>
        <x:v>0</x:v>
      </x:c>
      <x:c r="J83" s="39" t="str">
        <x:f>IF(MAX(ABS(C83),ABS(D83),ABS(E83),ABS(F83),ABS(G83),ABS(H83),ABS(I83))&lt;='Settings_General'!$B$6,"PASS","CHECK")</x:f>
        <x:v>PASS</x:v>
      </x:c>
    </x:row>
    <x:row r="84">
      <x:c r="A84" s="39" t="str">
        <x:f>'Calc_Monthly'!A75</x:f>
        <x:v>19|aggregate</x:v>
      </x:c>
      <x:c r="B84" s="39" t="str">
        <x:f>'Calc_Monthly'!E75</x:f>
        <x:v>2023-02</x:v>
      </x:c>
      <x:c r="C84" s="73" t="n">
        <x:f>'Calc_Monthly'!K75-'Tested_Results'!T75</x:f>
        <x:v>1.8189894035458565e-12</x:v>
      </x:c>
      <x:c r="D84" s="73" t="n">
        <x:f>'Calc_Monthly'!Q75-'Tested_Results'!F75</x:f>
        <x:v>0</x:v>
      </x:c>
      <x:c r="E84" s="73" t="n">
        <x:f>'Calc_Monthly'!AC75-'Tested_Results'!G75</x:f>
        <x:v>0</x:v>
      </x:c>
      <x:c r="F84" s="73" t="n">
        <x:f>'Calc_Monthly'!AE75-'Tested_Results'!H75</x:f>
        <x:v>0</x:v>
      </x:c>
      <x:c r="G84" s="73" t="n">
        <x:f>'Calc_Monthly'!U75-'Tested_Results'!I75</x:f>
        <x:v>0</x:v>
      </x:c>
      <x:c r="H84" s="73" t="n">
        <x:f>'Calc_Monthly'!AD75-'Tested_Results'!J75</x:f>
        <x:v>0</x:v>
      </x:c>
      <x:c r="I84" s="73" t="n">
        <x:f>'Calc_Monthly'!AF75-'Tested_Results'!K75</x:f>
        <x:v>0</x:v>
      </x:c>
      <x:c r="J84" s="39" t="str">
        <x:f>IF(MAX(ABS(C84),ABS(D84),ABS(E84),ABS(F84),ABS(G84),ABS(H84),ABS(I84))&lt;='Settings_General'!$B$6,"PASS","CHECK")</x:f>
        <x:v>PASS</x:v>
      </x:c>
    </x:row>
    <x:row r="85">
      <x:c r="A85" s="39" t="str">
        <x:f>'Calc_Monthly'!A76</x:f>
        <x:v>19|aggregate</x:v>
      </x:c>
      <x:c r="B85" s="39" t="str">
        <x:f>'Calc_Monthly'!E76</x:f>
        <x:v>2023-03</x:v>
      </x:c>
      <x:c r="C85" s="73" t="n">
        <x:f>'Calc_Monthly'!K76-'Tested_Results'!T76</x:f>
        <x:v>3.637978807091713e-12</x:v>
      </x:c>
      <x:c r="D85" s="73" t="n">
        <x:f>'Calc_Monthly'!Q76-'Tested_Results'!F76</x:f>
        <x:v>0</x:v>
      </x:c>
      <x:c r="E85" s="73" t="n">
        <x:f>'Calc_Monthly'!AC76-'Tested_Results'!G76</x:f>
        <x:v>0</x:v>
      </x:c>
      <x:c r="F85" s="73" t="n">
        <x:f>'Calc_Monthly'!AE76-'Tested_Results'!H76</x:f>
        <x:v>0</x:v>
      </x:c>
      <x:c r="G85" s="73" t="n">
        <x:f>'Calc_Monthly'!U76-'Tested_Results'!I76</x:f>
        <x:v>0</x:v>
      </x:c>
      <x:c r="H85" s="73" t="n">
        <x:f>'Calc_Monthly'!AD76-'Tested_Results'!J76</x:f>
        <x:v>0</x:v>
      </x:c>
      <x:c r="I85" s="73" t="n">
        <x:f>'Calc_Monthly'!AF76-'Tested_Results'!K76</x:f>
        <x:v>0</x:v>
      </x:c>
      <x:c r="J85" s="39" t="str">
        <x:f>IF(MAX(ABS(C85),ABS(D85),ABS(E85),ABS(F85),ABS(G85),ABS(H85),ABS(I85))&lt;='Settings_General'!$B$6,"PASS","CHECK")</x:f>
        <x:v>PASS</x:v>
      </x:c>
    </x:row>
    <x:row r="86">
      <x:c r="A86" s="39" t="str">
        <x:f>'Calc_Monthly'!A77</x:f>
        <x:v>19|aggregate</x:v>
      </x:c>
      <x:c r="B86" s="39" t="str">
        <x:f>'Calc_Monthly'!E77</x:f>
        <x:v>2023-04</x:v>
      </x:c>
      <x:c r="C86" s="73" t="n">
        <x:f>'Calc_Monthly'!K77-'Tested_Results'!T77</x:f>
        <x:v>0</x:v>
      </x:c>
      <x:c r="D86" s="73" t="n">
        <x:f>'Calc_Monthly'!Q77-'Tested_Results'!F77</x:f>
        <x:v>0</x:v>
      </x:c>
      <x:c r="E86" s="73" t="n">
        <x:f>'Calc_Monthly'!AC77-'Tested_Results'!G77</x:f>
        <x:v>0</x:v>
      </x:c>
      <x:c r="F86" s="73" t="n">
        <x:f>'Calc_Monthly'!AE77-'Tested_Results'!H77</x:f>
        <x:v>0</x:v>
      </x:c>
      <x:c r="G86" s="73" t="n">
        <x:f>'Calc_Monthly'!U77-'Tested_Results'!I77</x:f>
        <x:v>0</x:v>
      </x:c>
      <x:c r="H86" s="73" t="n">
        <x:f>'Calc_Monthly'!AD77-'Tested_Results'!J77</x:f>
        <x:v>0</x:v>
      </x:c>
      <x:c r="I86" s="73" t="n">
        <x:f>'Calc_Monthly'!AF77-'Tested_Results'!K77</x:f>
        <x:v>0</x:v>
      </x:c>
      <x:c r="J86" s="39" t="str">
        <x:f>IF(MAX(ABS(C86),ABS(D86),ABS(E86),ABS(F86),ABS(G86),ABS(H86),ABS(I86))&lt;='Settings_General'!$B$6,"PASS","CHECK")</x:f>
        <x:v>PASS</x:v>
      </x:c>
    </x:row>
    <x:row r="87">
      <x:c r="A87" s="39" t="str">
        <x:f>'Calc_Monthly'!A78</x:f>
        <x:v>19|aggregate</x:v>
      </x:c>
      <x:c r="B87" s="39" t="str">
        <x:f>'Calc_Monthly'!E78</x:f>
        <x:v>2023-05</x:v>
      </x:c>
      <x:c r="C87" s="73" t="n">
        <x:f>'Calc_Monthly'!K78-'Tested_Results'!T78</x:f>
        <x:v>3.637978807091713e-12</x:v>
      </x:c>
      <x:c r="D87" s="73" t="n">
        <x:f>'Calc_Monthly'!Q78-'Tested_Results'!F78</x:f>
        <x:v>0</x:v>
      </x:c>
      <x:c r="E87" s="73" t="n">
        <x:f>'Calc_Monthly'!AC78-'Tested_Results'!G78</x:f>
        <x:v>0</x:v>
      </x:c>
      <x:c r="F87" s="73" t="n">
        <x:f>'Calc_Monthly'!AE78-'Tested_Results'!H78</x:f>
        <x:v>0</x:v>
      </x:c>
      <x:c r="G87" s="73" t="n">
        <x:f>'Calc_Monthly'!U78-'Tested_Results'!I78</x:f>
        <x:v>0</x:v>
      </x:c>
      <x:c r="H87" s="73" t="n">
        <x:f>'Calc_Monthly'!AD78-'Tested_Results'!J78</x:f>
        <x:v>0</x:v>
      </x:c>
      <x:c r="I87" s="73" t="n">
        <x:f>'Calc_Monthly'!AF78-'Tested_Results'!K78</x:f>
        <x:v>0</x:v>
      </x:c>
      <x:c r="J87" s="39" t="str">
        <x:f>IF(MAX(ABS(C87),ABS(D87),ABS(E87),ABS(F87),ABS(G87),ABS(H87),ABS(I87))&lt;='Settings_General'!$B$6,"PASS","CHECK")</x:f>
        <x:v>PASS</x:v>
      </x:c>
    </x:row>
    <x:row r="88">
      <x:c r="A88" s="39" t="str">
        <x:f>'Calc_Monthly'!A79</x:f>
        <x:v>19|aggregate</x:v>
      </x:c>
      <x:c r="B88" s="39" t="str">
        <x:f>'Calc_Monthly'!E79</x:f>
        <x:v>2023-06</x:v>
      </x:c>
      <x:c r="C88" s="73" t="n">
        <x:f>'Calc_Monthly'!K79-'Tested_Results'!T79</x:f>
        <x:v>-3.637978807091713e-12</x:v>
      </x:c>
      <x:c r="D88" s="73" t="n">
        <x:f>'Calc_Monthly'!Q79-'Tested_Results'!F79</x:f>
        <x:v>0</x:v>
      </x:c>
      <x:c r="E88" s="73" t="n">
        <x:f>'Calc_Monthly'!AC79-'Tested_Results'!G79</x:f>
        <x:v>0</x:v>
      </x:c>
      <x:c r="F88" s="73" t="n">
        <x:f>'Calc_Monthly'!AE79-'Tested_Results'!H79</x:f>
        <x:v>0</x:v>
      </x:c>
      <x:c r="G88" s="73" t="n">
        <x:f>'Calc_Monthly'!U79-'Tested_Results'!I79</x:f>
        <x:v>-1.2732925824820995e-11</x:v>
      </x:c>
      <x:c r="H88" s="73" t="n">
        <x:f>'Calc_Monthly'!AD79-'Tested_Results'!J79</x:f>
        <x:v>0</x:v>
      </x:c>
      <x:c r="I88" s="73" t="n">
        <x:f>'Calc_Monthly'!AF79-'Tested_Results'!K79</x:f>
        <x:v>-1.2732925824820995e-11</x:v>
      </x:c>
      <x:c r="J88" s="39" t="str">
        <x:f>IF(MAX(ABS(C88),ABS(D88),ABS(E88),ABS(F88),ABS(G88),ABS(H88),ABS(I88))&lt;='Settings_General'!$B$6,"PASS","CHECK")</x:f>
        <x:v>PASS</x:v>
      </x:c>
    </x:row>
    <x:row r="89">
      <x:c r="A89" s="39" t="str">
        <x:f>'Calc_Monthly'!A80</x:f>
        <x:v>19|aggregate</x:v>
      </x:c>
      <x:c r="B89" s="39" t="str">
        <x:f>'Calc_Monthly'!E80</x:f>
        <x:v>2023-07</x:v>
      </x:c>
      <x:c r="C89" s="73" t="n">
        <x:f>'Calc_Monthly'!K80-'Tested_Results'!T80</x:f>
        <x:v>3.637978807091713e-12</x:v>
      </x:c>
      <x:c r="D89" s="73" t="n">
        <x:f>'Calc_Monthly'!Q80-'Tested_Results'!F80</x:f>
        <x:v>0</x:v>
      </x:c>
      <x:c r="E89" s="73" t="n">
        <x:f>'Calc_Monthly'!AC80-'Tested_Results'!G80</x:f>
        <x:v>0</x:v>
      </x:c>
      <x:c r="F89" s="73" t="n">
        <x:f>'Calc_Monthly'!AE80-'Tested_Results'!H80</x:f>
        <x:v>0</x:v>
      </x:c>
      <x:c r="G89" s="73" t="n">
        <x:f>'Calc_Monthly'!U80-'Tested_Results'!I80</x:f>
        <x:v>1.8189894035458565e-12</x:v>
      </x:c>
      <x:c r="H89" s="73" t="n">
        <x:f>'Calc_Monthly'!AD80-'Tested_Results'!J80</x:f>
        <x:v>0</x:v>
      </x:c>
      <x:c r="I89" s="73" t="n">
        <x:f>'Calc_Monthly'!AF80-'Tested_Results'!K80</x:f>
        <x:v>3.637978807091713e-12</x:v>
      </x:c>
      <x:c r="J89" s="39" t="str">
        <x:f>IF(MAX(ABS(C89),ABS(D89),ABS(E89),ABS(F89),ABS(G89),ABS(H89),ABS(I89))&lt;='Settings_General'!$B$6,"PASS","CHECK")</x:f>
        <x:v>PASS</x:v>
      </x:c>
    </x:row>
    <x:row r="90">
      <x:c r="A90" s="39" t="str">
        <x:f>'Calc_Monthly'!A81</x:f>
        <x:v>19|aggregate</x:v>
      </x:c>
      <x:c r="B90" s="39" t="str">
        <x:f>'Calc_Monthly'!E81</x:f>
        <x:v>2023-08</x:v>
      </x:c>
      <x:c r="C90" s="73" t="n">
        <x:f>'Calc_Monthly'!K81-'Tested_Results'!T81</x:f>
        <x:v>3.637978807091713e-12</x:v>
      </x:c>
      <x:c r="D90" s="73" t="n">
        <x:f>'Calc_Monthly'!Q81-'Tested_Results'!F81</x:f>
        <x:v>0</x:v>
      </x:c>
      <x:c r="E90" s="73" t="n">
        <x:f>'Calc_Monthly'!AC81-'Tested_Results'!G81</x:f>
        <x:v>0</x:v>
      </x:c>
      <x:c r="F90" s="73" t="n">
        <x:f>'Calc_Monthly'!AE81-'Tested_Results'!H81</x:f>
        <x:v>0</x:v>
      </x:c>
      <x:c r="G90" s="73" t="n">
        <x:f>'Calc_Monthly'!U81-'Tested_Results'!I81</x:f>
        <x:v>0</x:v>
      </x:c>
      <x:c r="H90" s="73" t="n">
        <x:f>'Calc_Monthly'!AD81-'Tested_Results'!J81</x:f>
        <x:v>0</x:v>
      </x:c>
      <x:c r="I90" s="73" t="n">
        <x:f>'Calc_Monthly'!AF81-'Tested_Results'!K81</x:f>
        <x:v>0</x:v>
      </x:c>
      <x:c r="J90" s="39" t="str">
        <x:f>IF(MAX(ABS(C90),ABS(D90),ABS(E90),ABS(F90),ABS(G90),ABS(H90),ABS(I90))&lt;='Settings_General'!$B$6,"PASS","CHECK")</x:f>
        <x:v>PASS</x:v>
      </x:c>
    </x:row>
    <x:row r="91">
      <x:c r="A91" s="39" t="str">
        <x:f>'Calc_Monthly'!A82</x:f>
        <x:v>19|aggregate</x:v>
      </x:c>
      <x:c r="B91" s="39" t="str">
        <x:f>'Calc_Monthly'!E82</x:f>
        <x:v>2023-09</x:v>
      </x:c>
      <x:c r="C91" s="73" t="n">
        <x:f>'Calc_Monthly'!K82-'Tested_Results'!T82</x:f>
        <x:v>7.275957614183426e-12</x:v>
      </x:c>
      <x:c r="D91" s="73" t="n">
        <x:f>'Calc_Monthly'!Q82-'Tested_Results'!F82</x:f>
        <x:v>0</x:v>
      </x:c>
      <x:c r="E91" s="73" t="n">
        <x:f>'Calc_Monthly'!AC82-'Tested_Results'!G82</x:f>
        <x:v>0</x:v>
      </x:c>
      <x:c r="F91" s="73" t="n">
        <x:f>'Calc_Monthly'!AE82-'Tested_Results'!H82</x:f>
        <x:v>0</x:v>
      </x:c>
      <x:c r="G91" s="73" t="n">
        <x:f>'Calc_Monthly'!U82-'Tested_Results'!I82</x:f>
        <x:v>0</x:v>
      </x:c>
      <x:c r="H91" s="73" t="n">
        <x:f>'Calc_Monthly'!AD82-'Tested_Results'!J82</x:f>
        <x:v>0</x:v>
      </x:c>
      <x:c r="I91" s="73" t="n">
        <x:f>'Calc_Monthly'!AF82-'Tested_Results'!K82</x:f>
        <x:v>0</x:v>
      </x:c>
      <x:c r="J91" s="39" t="str">
        <x:f>IF(MAX(ABS(C91),ABS(D91),ABS(E91),ABS(F91),ABS(G91),ABS(H91),ABS(I91))&lt;='Settings_General'!$B$6,"PASS","CHECK")</x:f>
        <x:v>PASS</x:v>
      </x:c>
    </x:row>
    <x:row r="92">
      <x:c r="A92" s="39" t="str">
        <x:f>'Calc_Monthly'!A83</x:f>
        <x:v>19|aggregate</x:v>
      </x:c>
      <x:c r="B92" s="39" t="str">
        <x:f>'Calc_Monthly'!E83</x:f>
        <x:v>2023-10</x:v>
      </x:c>
      <x:c r="C92" s="73" t="n">
        <x:f>'Calc_Monthly'!K83-'Tested_Results'!T83</x:f>
        <x:v>-3.637978807091713e-12</x:v>
      </x:c>
      <x:c r="D92" s="73" t="n">
        <x:f>'Calc_Monthly'!Q83-'Tested_Results'!F83</x:f>
        <x:v>-7.275957614183426e-12</x:v>
      </x:c>
      <x:c r="E92" s="73" t="n">
        <x:f>'Calc_Monthly'!AC83-'Tested_Results'!G83</x:f>
        <x:v>0</x:v>
      </x:c>
      <x:c r="F92" s="73" t="n">
        <x:f>'Calc_Monthly'!AE83-'Tested_Results'!H83</x:f>
        <x:v>-7.275957614183426e-12</x:v>
      </x:c>
      <x:c r="G92" s="73" t="n">
        <x:f>'Calc_Monthly'!U83-'Tested_Results'!I83</x:f>
        <x:v>0</x:v>
      </x:c>
      <x:c r="H92" s="73" t="n">
        <x:f>'Calc_Monthly'!AD83-'Tested_Results'!J83</x:f>
        <x:v>0</x:v>
      </x:c>
      <x:c r="I92" s="73" t="n">
        <x:f>'Calc_Monthly'!AF83-'Tested_Results'!K83</x:f>
        <x:v>0</x:v>
      </x:c>
      <x:c r="J92" s="39" t="str">
        <x:f>IF(MAX(ABS(C92),ABS(D92),ABS(E92),ABS(F92),ABS(G92),ABS(H92),ABS(I92))&lt;='Settings_General'!$B$6,"PASS","CHECK")</x:f>
        <x:v>PASS</x:v>
      </x:c>
    </x:row>
    <x:row r="93">
      <x:c r="A93" s="39" t="str">
        <x:f>'Calc_Monthly'!A84</x:f>
        <x:v>19|aggregate</x:v>
      </x:c>
      <x:c r="B93" s="39" t="str">
        <x:f>'Calc_Monthly'!E84</x:f>
        <x:v>2023-11</x:v>
      </x:c>
      <x:c r="C93" s="73" t="n">
        <x:f>'Calc_Monthly'!K84-'Tested_Results'!T84</x:f>
        <x:v>-1.8189894035458565e-12</x:v>
      </x:c>
      <x:c r="D93" s="73" t="n">
        <x:f>'Calc_Monthly'!Q84-'Tested_Results'!F84</x:f>
        <x:v>0</x:v>
      </x:c>
      <x:c r="E93" s="73" t="n">
        <x:f>'Calc_Monthly'!AC84-'Tested_Results'!G84</x:f>
        <x:v>0</x:v>
      </x:c>
      <x:c r="F93" s="73" t="n">
        <x:f>'Calc_Monthly'!AE84-'Tested_Results'!H84</x:f>
        <x:v>0</x:v>
      </x:c>
      <x:c r="G93" s="73" t="n">
        <x:f>'Calc_Monthly'!U84-'Tested_Results'!I84</x:f>
        <x:v>0</x:v>
      </x:c>
      <x:c r="H93" s="73" t="n">
        <x:f>'Calc_Monthly'!AD84-'Tested_Results'!J84</x:f>
        <x:v>0</x:v>
      </x:c>
      <x:c r="I93" s="73" t="n">
        <x:f>'Calc_Monthly'!AF84-'Tested_Results'!K84</x:f>
        <x:v>0</x:v>
      </x:c>
      <x:c r="J93" s="39" t="str">
        <x:f>IF(MAX(ABS(C93),ABS(D93),ABS(E93),ABS(F93),ABS(G93),ABS(H93),ABS(I93))&lt;='Settings_General'!$B$6,"PASS","CHECK")</x:f>
        <x:v>PASS</x:v>
      </x:c>
    </x:row>
    <x:row r="94">
      <x:c r="A94" s="39" t="str">
        <x:f>'Calc_Monthly'!A85</x:f>
        <x:v>19|aggregate</x:v>
      </x:c>
      <x:c r="B94" s="39" t="str">
        <x:f>'Calc_Monthly'!E85</x:f>
        <x:v>2023-12</x:v>
      </x:c>
      <x:c r="C94" s="73" t="n">
        <x:f>'Calc_Monthly'!K85-'Tested_Results'!T85</x:f>
        <x:v>0</x:v>
      </x:c>
      <x:c r="D94" s="73" t="n">
        <x:f>'Calc_Monthly'!Q85-'Tested_Results'!F85</x:f>
        <x:v>0</x:v>
      </x:c>
      <x:c r="E94" s="73" t="n">
        <x:f>'Calc_Monthly'!AC85-'Tested_Results'!G85</x:f>
        <x:v>0</x:v>
      </x:c>
      <x:c r="F94" s="73" t="n">
        <x:f>'Calc_Monthly'!AE85-'Tested_Results'!H85</x:f>
        <x:v>0</x:v>
      </x:c>
      <x:c r="G94" s="73" t="n">
        <x:f>'Calc_Monthly'!U85-'Tested_Results'!I85</x:f>
        <x:v>0</x:v>
      </x:c>
      <x:c r="H94" s="73" t="n">
        <x:f>'Calc_Monthly'!AD85-'Tested_Results'!J85</x:f>
        <x:v>0</x:v>
      </x:c>
      <x:c r="I94" s="73" t="n">
        <x:f>'Calc_Monthly'!AF85-'Tested_Results'!K85</x:f>
        <x:v>0</x:v>
      </x:c>
      <x:c r="J94" s="39" t="str">
        <x:f>IF(MAX(ABS(C94),ABS(D94),ABS(E94),ABS(F94),ABS(G94),ABS(H94),ABS(I94))&lt;='Settings_General'!$B$6,"PASS","CHECK")</x:f>
        <x:v>PASS</x:v>
      </x:c>
    </x:row>
    <x:row r="95">
      <x:c r="A95" s="39" t="str">
        <x:f>'Calc_Monthly'!A86</x:f>
        <x:v>19|lower</x:v>
      </x:c>
      <x:c r="B95" s="39" t="str">
        <x:f>'Calc_Monthly'!E86</x:f>
        <x:v>2023-01</x:v>
      </x:c>
      <x:c r="C95" s="73" t="n">
        <x:f>'Calc_Monthly'!K86-'Tested_Results'!T86</x:f>
        <x:v>0</x:v>
      </x:c>
      <x:c r="D95" s="73" t="n">
        <x:f>'Calc_Monthly'!Q86-'Tested_Results'!F86</x:f>
        <x:v>0</x:v>
      </x:c>
      <x:c r="E95" s="73" t="n">
        <x:f>'Calc_Monthly'!AC86-'Tested_Results'!G86</x:f>
        <x:v>0</x:v>
      </x:c>
      <x:c r="F95" s="73" t="n">
        <x:f>'Calc_Monthly'!AE86-'Tested_Results'!H86</x:f>
        <x:v>0</x:v>
      </x:c>
      <x:c r="G95" s="73" t="n">
        <x:f>'Calc_Monthly'!U86-'Tested_Results'!I86</x:f>
        <x:v>0</x:v>
      </x:c>
      <x:c r="H95" s="73" t="n">
        <x:f>'Calc_Monthly'!AD86-'Tested_Results'!J86</x:f>
        <x:v>0</x:v>
      </x:c>
      <x:c r="I95" s="73" t="n">
        <x:f>'Calc_Monthly'!AF86-'Tested_Results'!K86</x:f>
        <x:v>0</x:v>
      </x:c>
      <x:c r="J95" s="39" t="str">
        <x:f>IF(MAX(ABS(C95),ABS(D95),ABS(E95),ABS(F95),ABS(G95),ABS(H95),ABS(I95))&lt;='Settings_General'!$B$6,"PASS","CHECK")</x:f>
        <x:v>PASS</x:v>
      </x:c>
    </x:row>
    <x:row r="96">
      <x:c r="A96" s="39" t="str">
        <x:f>'Calc_Monthly'!A87</x:f>
        <x:v>19|lower</x:v>
      </x:c>
      <x:c r="B96" s="39" t="str">
        <x:f>'Calc_Monthly'!E87</x:f>
        <x:v>2023-02</x:v>
      </x:c>
      <x:c r="C96" s="73" t="n">
        <x:f>'Calc_Monthly'!K87-'Tested_Results'!T87</x:f>
        <x:v>1.8189894035458565e-12</x:v>
      </x:c>
      <x:c r="D96" s="73" t="n">
        <x:f>'Calc_Monthly'!Q87-'Tested_Results'!F87</x:f>
        <x:v>-1.8189894035458565e-12</x:v>
      </x:c>
      <x:c r="E96" s="73" t="n">
        <x:f>'Calc_Monthly'!AC87-'Tested_Results'!G87</x:f>
        <x:v>0</x:v>
      </x:c>
      <x:c r="F96" s="73" t="n">
        <x:f>'Calc_Monthly'!AE87-'Tested_Results'!H87</x:f>
        <x:v>-1.8189894035458565e-12</x:v>
      </x:c>
      <x:c r="G96" s="73" t="n">
        <x:f>'Calc_Monthly'!U87-'Tested_Results'!I87</x:f>
        <x:v>0</x:v>
      </x:c>
      <x:c r="H96" s="73" t="n">
        <x:f>'Calc_Monthly'!AD87-'Tested_Results'!J87</x:f>
        <x:v>0</x:v>
      </x:c>
      <x:c r="I96" s="73" t="n">
        <x:f>'Calc_Monthly'!AF87-'Tested_Results'!K87</x:f>
        <x:v>0</x:v>
      </x:c>
      <x:c r="J96" s="39" t="str">
        <x:f>IF(MAX(ABS(C96),ABS(D96),ABS(E96),ABS(F96),ABS(G96),ABS(H96),ABS(I96))&lt;='Settings_General'!$B$6,"PASS","CHECK")</x:f>
        <x:v>PASS</x:v>
      </x:c>
    </x:row>
    <x:row r="97">
      <x:c r="A97" s="39" t="str">
        <x:f>'Calc_Monthly'!A88</x:f>
        <x:v>19|lower</x:v>
      </x:c>
      <x:c r="B97" s="39" t="str">
        <x:f>'Calc_Monthly'!E88</x:f>
        <x:v>2023-03</x:v>
      </x:c>
      <x:c r="C97" s="73" t="n">
        <x:f>'Calc_Monthly'!K88-'Tested_Results'!T88</x:f>
        <x:v>1.8189894035458565e-12</x:v>
      </x:c>
      <x:c r="D97" s="73" t="n">
        <x:f>'Calc_Monthly'!Q88-'Tested_Results'!F88</x:f>
        <x:v>0</x:v>
      </x:c>
      <x:c r="E97" s="73" t="n">
        <x:f>'Calc_Monthly'!AC88-'Tested_Results'!G88</x:f>
        <x:v>0</x:v>
      </x:c>
      <x:c r="F97" s="73" t="n">
        <x:f>'Calc_Monthly'!AE88-'Tested_Results'!H88</x:f>
        <x:v>0</x:v>
      </x:c>
      <x:c r="G97" s="73" t="n">
        <x:f>'Calc_Monthly'!U88-'Tested_Results'!I88</x:f>
        <x:v>0</x:v>
      </x:c>
      <x:c r="H97" s="73" t="n">
        <x:f>'Calc_Monthly'!AD88-'Tested_Results'!J88</x:f>
        <x:v>0</x:v>
      </x:c>
      <x:c r="I97" s="73" t="n">
        <x:f>'Calc_Monthly'!AF88-'Tested_Results'!K88</x:f>
        <x:v>0</x:v>
      </x:c>
      <x:c r="J97" s="39" t="str">
        <x:f>IF(MAX(ABS(C97),ABS(D97),ABS(E97),ABS(F97),ABS(G97),ABS(H97),ABS(I97))&lt;='Settings_General'!$B$6,"PASS","CHECK")</x:f>
        <x:v>PASS</x:v>
      </x:c>
    </x:row>
    <x:row r="98">
      <x:c r="A98" s="39" t="str">
        <x:f>'Calc_Monthly'!A89</x:f>
        <x:v>19|lower</x:v>
      </x:c>
      <x:c r="B98" s="39" t="str">
        <x:f>'Calc_Monthly'!E89</x:f>
        <x:v>2023-04</x:v>
      </x:c>
      <x:c r="C98" s="73" t="n">
        <x:f>'Calc_Monthly'!K89-'Tested_Results'!T89</x:f>
        <x:v>0</x:v>
      </x:c>
      <x:c r="D98" s="73" t="n">
        <x:f>'Calc_Monthly'!Q89-'Tested_Results'!F89</x:f>
        <x:v>0</x:v>
      </x:c>
      <x:c r="E98" s="73" t="n">
        <x:f>'Calc_Monthly'!AC89-'Tested_Results'!G89</x:f>
        <x:v>0</x:v>
      </x:c>
      <x:c r="F98" s="73" t="n">
        <x:f>'Calc_Monthly'!AE89-'Tested_Results'!H89</x:f>
        <x:v>0</x:v>
      </x:c>
      <x:c r="G98" s="73" t="n">
        <x:f>'Calc_Monthly'!U89-'Tested_Results'!I89</x:f>
        <x:v>0</x:v>
      </x:c>
      <x:c r="H98" s="73" t="n">
        <x:f>'Calc_Monthly'!AD89-'Tested_Results'!J89</x:f>
        <x:v>0</x:v>
      </x:c>
      <x:c r="I98" s="73" t="n">
        <x:f>'Calc_Monthly'!AF89-'Tested_Results'!K89</x:f>
        <x:v>0</x:v>
      </x:c>
      <x:c r="J98" s="39" t="str">
        <x:f>IF(MAX(ABS(C98),ABS(D98),ABS(E98),ABS(F98),ABS(G98),ABS(H98),ABS(I98))&lt;='Settings_General'!$B$6,"PASS","CHECK")</x:f>
        <x:v>PASS</x:v>
      </x:c>
    </x:row>
    <x:row r="99">
      <x:c r="A99" s="39" t="str">
        <x:f>'Calc_Monthly'!A90</x:f>
        <x:v>19|lower</x:v>
      </x:c>
      <x:c r="B99" s="39" t="str">
        <x:f>'Calc_Monthly'!E90</x:f>
        <x:v>2023-05</x:v>
      </x:c>
      <x:c r="C99" s="73" t="n">
        <x:f>'Calc_Monthly'!K90-'Tested_Results'!T90</x:f>
        <x:v>1.8189894035458565e-12</x:v>
      </x:c>
      <x:c r="D99" s="73" t="n">
        <x:f>'Calc_Monthly'!Q90-'Tested_Results'!F90</x:f>
        <x:v>0</x:v>
      </x:c>
      <x:c r="E99" s="73" t="n">
        <x:f>'Calc_Monthly'!AC90-'Tested_Results'!G90</x:f>
        <x:v>0</x:v>
      </x:c>
      <x:c r="F99" s="73" t="n">
        <x:f>'Calc_Monthly'!AE90-'Tested_Results'!H90</x:f>
        <x:v>0</x:v>
      </x:c>
      <x:c r="G99" s="73" t="n">
        <x:f>'Calc_Monthly'!U90-'Tested_Results'!I90</x:f>
        <x:v>0</x:v>
      </x:c>
      <x:c r="H99" s="73" t="n">
        <x:f>'Calc_Monthly'!AD90-'Tested_Results'!J90</x:f>
        <x:v>0</x:v>
      </x:c>
      <x:c r="I99" s="73" t="n">
        <x:f>'Calc_Monthly'!AF90-'Tested_Results'!K90</x:f>
        <x:v>0</x:v>
      </x:c>
      <x:c r="J99" s="39" t="str">
        <x:f>IF(MAX(ABS(C99),ABS(D99),ABS(E99),ABS(F99),ABS(G99),ABS(H99),ABS(I99))&lt;='Settings_General'!$B$6,"PASS","CHECK")</x:f>
        <x:v>PASS</x:v>
      </x:c>
    </x:row>
    <x:row r="100">
      <x:c r="A100" s="39" t="str">
        <x:f>'Calc_Monthly'!A91</x:f>
        <x:v>19|lower</x:v>
      </x:c>
      <x:c r="B100" s="39" t="str">
        <x:f>'Calc_Monthly'!E91</x:f>
        <x:v>2023-06</x:v>
      </x:c>
      <x:c r="C100" s="73" t="n">
        <x:f>'Calc_Monthly'!K91-'Tested_Results'!T91</x:f>
        <x:v>0</x:v>
      </x:c>
      <x:c r="D100" s="73" t="n">
        <x:f>'Calc_Monthly'!Q91-'Tested_Results'!F91</x:f>
        <x:v>0</x:v>
      </x:c>
      <x:c r="E100" s="73" t="n">
        <x:f>'Calc_Monthly'!AC91-'Tested_Results'!G91</x:f>
        <x:v>0</x:v>
      </x:c>
      <x:c r="F100" s="73" t="n">
        <x:f>'Calc_Monthly'!AE91-'Tested_Results'!H91</x:f>
        <x:v>0</x:v>
      </x:c>
      <x:c r="G100" s="73" t="n">
        <x:f>'Calc_Monthly'!U91-'Tested_Results'!I91</x:f>
        <x:v>0</x:v>
      </x:c>
      <x:c r="H100" s="73" t="n">
        <x:f>'Calc_Monthly'!AD91-'Tested_Results'!J91</x:f>
        <x:v>0</x:v>
      </x:c>
      <x:c r="I100" s="73" t="n">
        <x:f>'Calc_Monthly'!AF91-'Tested_Results'!K91</x:f>
        <x:v>0</x:v>
      </x:c>
      <x:c r="J100" s="39" t="str">
        <x:f>IF(MAX(ABS(C100),ABS(D100),ABS(E100),ABS(F100),ABS(G100),ABS(H100),ABS(I100))&lt;='Settings_General'!$B$6,"PASS","CHECK")</x:f>
        <x:v>PASS</x:v>
      </x:c>
    </x:row>
    <x:row r="101">
      <x:c r="A101" s="39" t="str">
        <x:f>'Calc_Monthly'!A92</x:f>
        <x:v>19|lower</x:v>
      </x:c>
      <x:c r="B101" s="39" t="str">
        <x:f>'Calc_Monthly'!E92</x:f>
        <x:v>2023-07</x:v>
      </x:c>
      <x:c r="C101" s="73" t="n">
        <x:f>'Calc_Monthly'!K92-'Tested_Results'!T92</x:f>
        <x:v>1.8189894035458565e-12</x:v>
      </x:c>
      <x:c r="D101" s="73" t="n">
        <x:f>'Calc_Monthly'!Q92-'Tested_Results'!F92</x:f>
        <x:v>0</x:v>
      </x:c>
      <x:c r="E101" s="73" t="n">
        <x:f>'Calc_Monthly'!AC92-'Tested_Results'!G92</x:f>
        <x:v>0</x:v>
      </x:c>
      <x:c r="F101" s="73" t="n">
        <x:f>'Calc_Monthly'!AE92-'Tested_Results'!H92</x:f>
        <x:v>0</x:v>
      </x:c>
      <x:c r="G101" s="73" t="n">
        <x:f>'Calc_Monthly'!U92-'Tested_Results'!I92</x:f>
        <x:v>3.637978807091713e-12</x:v>
      </x:c>
      <x:c r="H101" s="73" t="n">
        <x:f>'Calc_Monthly'!AD92-'Tested_Results'!J92</x:f>
        <x:v>0</x:v>
      </x:c>
      <x:c r="I101" s="73" t="n">
        <x:f>'Calc_Monthly'!AF92-'Tested_Results'!K92</x:f>
        <x:v>3.637978807091713e-12</x:v>
      </x:c>
      <x:c r="J101" s="39" t="str">
        <x:f>IF(MAX(ABS(C101),ABS(D101),ABS(E101),ABS(F101),ABS(G101),ABS(H101),ABS(I101))&lt;='Settings_General'!$B$6,"PASS","CHECK")</x:f>
        <x:v>PASS</x:v>
      </x:c>
    </x:row>
    <x:row r="102">
      <x:c r="A102" s="39" t="str">
        <x:f>'Calc_Monthly'!A93</x:f>
        <x:v>19|lower</x:v>
      </x:c>
      <x:c r="B102" s="39" t="str">
        <x:f>'Calc_Monthly'!E93</x:f>
        <x:v>2023-08</x:v>
      </x:c>
      <x:c r="C102" s="73" t="n">
        <x:f>'Calc_Monthly'!K93-'Tested_Results'!T93</x:f>
        <x:v>1.8189894035458565e-12</x:v>
      </x:c>
      <x:c r="D102" s="73" t="n">
        <x:f>'Calc_Monthly'!Q93-'Tested_Results'!F93</x:f>
        <x:v>0</x:v>
      </x:c>
      <x:c r="E102" s="73" t="n">
        <x:f>'Calc_Monthly'!AC93-'Tested_Results'!G93</x:f>
        <x:v>0</x:v>
      </x:c>
      <x:c r="F102" s="73" t="n">
        <x:f>'Calc_Monthly'!AE93-'Tested_Results'!H93</x:f>
        <x:v>0</x:v>
      </x:c>
      <x:c r="G102" s="73" t="n">
        <x:f>'Calc_Monthly'!U93-'Tested_Results'!I93</x:f>
        <x:v>0</x:v>
      </x:c>
      <x:c r="H102" s="73" t="n">
        <x:f>'Calc_Monthly'!AD93-'Tested_Results'!J93</x:f>
        <x:v>0</x:v>
      </x:c>
      <x:c r="I102" s="73" t="n">
        <x:f>'Calc_Monthly'!AF93-'Tested_Results'!K93</x:f>
        <x:v>0</x:v>
      </x:c>
      <x:c r="J102" s="39" t="str">
        <x:f>IF(MAX(ABS(C102),ABS(D102),ABS(E102),ABS(F102),ABS(G102),ABS(H102),ABS(I102))&lt;='Settings_General'!$B$6,"PASS","CHECK")</x:f>
        <x:v>PASS</x:v>
      </x:c>
    </x:row>
    <x:row r="103">
      <x:c r="A103" s="39" t="str">
        <x:f>'Calc_Monthly'!A94</x:f>
        <x:v>19|lower</x:v>
      </x:c>
      <x:c r="B103" s="39" t="str">
        <x:f>'Calc_Monthly'!E94</x:f>
        <x:v>2023-09</x:v>
      </x:c>
      <x:c r="C103" s="73" t="n">
        <x:f>'Calc_Monthly'!K94-'Tested_Results'!T94</x:f>
        <x:v>0</x:v>
      </x:c>
      <x:c r="D103" s="73" t="n">
        <x:f>'Calc_Monthly'!Q94-'Tested_Results'!F94</x:f>
        <x:v>0</x:v>
      </x:c>
      <x:c r="E103" s="73" t="n">
        <x:f>'Calc_Monthly'!AC94-'Tested_Results'!G94</x:f>
        <x:v>0</x:v>
      </x:c>
      <x:c r="F103" s="73" t="n">
        <x:f>'Calc_Monthly'!AE94-'Tested_Results'!H94</x:f>
        <x:v>0</x:v>
      </x:c>
      <x:c r="G103" s="73" t="n">
        <x:f>'Calc_Monthly'!U94-'Tested_Results'!I94</x:f>
        <x:v>0</x:v>
      </x:c>
      <x:c r="H103" s="73" t="n">
        <x:f>'Calc_Monthly'!AD94-'Tested_Results'!J94</x:f>
        <x:v>0</x:v>
      </x:c>
      <x:c r="I103" s="73" t="n">
        <x:f>'Calc_Monthly'!AF94-'Tested_Results'!K94</x:f>
        <x:v>0</x:v>
      </x:c>
      <x:c r="J103" s="39" t="str">
        <x:f>IF(MAX(ABS(C103),ABS(D103),ABS(E103),ABS(F103),ABS(G103),ABS(H103),ABS(I103))&lt;='Settings_General'!$B$6,"PASS","CHECK")</x:f>
        <x:v>PASS</x:v>
      </x:c>
    </x:row>
    <x:row r="104">
      <x:c r="A104" s="39" t="str">
        <x:f>'Calc_Monthly'!A95</x:f>
        <x:v>19|lower</x:v>
      </x:c>
      <x:c r="B104" s="39" t="str">
        <x:f>'Calc_Monthly'!E95</x:f>
        <x:v>2023-10</x:v>
      </x:c>
      <x:c r="C104" s="73" t="n">
        <x:f>'Calc_Monthly'!K95-'Tested_Results'!T95</x:f>
        <x:v>-3.637978807091713e-12</x:v>
      </x:c>
      <x:c r="D104" s="73" t="n">
        <x:f>'Calc_Monthly'!Q95-'Tested_Results'!F95</x:f>
        <x:v>9.094947017729282e-13</x:v>
      </x:c>
      <x:c r="E104" s="73" t="n">
        <x:f>'Calc_Monthly'!AC95-'Tested_Results'!G95</x:f>
        <x:v>0</x:v>
      </x:c>
      <x:c r="F104" s="73" t="n">
        <x:f>'Calc_Monthly'!AE95-'Tested_Results'!H95</x:f>
        <x:v>9.094947017729282e-13</x:v>
      </x:c>
      <x:c r="G104" s="73" t="n">
        <x:f>'Calc_Monthly'!U95-'Tested_Results'!I95</x:f>
        <x:v>0</x:v>
      </x:c>
      <x:c r="H104" s="73" t="n">
        <x:f>'Calc_Monthly'!AD95-'Tested_Results'!J95</x:f>
        <x:v>0</x:v>
      </x:c>
      <x:c r="I104" s="73" t="n">
        <x:f>'Calc_Monthly'!AF95-'Tested_Results'!K95</x:f>
        <x:v>0</x:v>
      </x:c>
      <x:c r="J104" s="39" t="str">
        <x:f>IF(MAX(ABS(C104),ABS(D104),ABS(E104),ABS(F104),ABS(G104),ABS(H104),ABS(I104))&lt;='Settings_General'!$B$6,"PASS","CHECK")</x:f>
        <x:v>PASS</x:v>
      </x:c>
    </x:row>
    <x:row r="105">
      <x:c r="A105" s="39" t="str">
        <x:f>'Calc_Monthly'!A96</x:f>
        <x:v>19|lower</x:v>
      </x:c>
      <x:c r="B105" s="39" t="str">
        <x:f>'Calc_Monthly'!E96</x:f>
        <x:v>2023-11</x:v>
      </x:c>
      <x:c r="C105" s="73" t="n">
        <x:f>'Calc_Monthly'!K96-'Tested_Results'!T96</x:f>
        <x:v>0</x:v>
      </x:c>
      <x:c r="D105" s="73" t="n">
        <x:f>'Calc_Monthly'!Q96-'Tested_Results'!F96</x:f>
        <x:v>0</x:v>
      </x:c>
      <x:c r="E105" s="73" t="n">
        <x:f>'Calc_Monthly'!AC96-'Tested_Results'!G96</x:f>
        <x:v>0</x:v>
      </x:c>
      <x:c r="F105" s="73" t="n">
        <x:f>'Calc_Monthly'!AE96-'Tested_Results'!H96</x:f>
        <x:v>0</x:v>
      </x:c>
      <x:c r="G105" s="73" t="n">
        <x:f>'Calc_Monthly'!U96-'Tested_Results'!I96</x:f>
        <x:v>0</x:v>
      </x:c>
      <x:c r="H105" s="73" t="n">
        <x:f>'Calc_Monthly'!AD96-'Tested_Results'!J96</x:f>
        <x:v>0</x:v>
      </x:c>
      <x:c r="I105" s="73" t="n">
        <x:f>'Calc_Monthly'!AF96-'Tested_Results'!K96</x:f>
        <x:v>0</x:v>
      </x:c>
      <x:c r="J105" s="39" t="str">
        <x:f>IF(MAX(ABS(C105),ABS(D105),ABS(E105),ABS(F105),ABS(G105),ABS(H105),ABS(I105))&lt;='Settings_General'!$B$6,"PASS","CHECK")</x:f>
        <x:v>PASS</x:v>
      </x:c>
    </x:row>
    <x:row r="106">
      <x:c r="A106" s="39" t="str">
        <x:f>'Calc_Monthly'!A97</x:f>
        <x:v>19|lower</x:v>
      </x:c>
      <x:c r="B106" s="39" t="str">
        <x:f>'Calc_Monthly'!E97</x:f>
        <x:v>2023-12</x:v>
      </x:c>
      <x:c r="C106" s="73" t="n">
        <x:f>'Calc_Monthly'!K97-'Tested_Results'!T97</x:f>
        <x:v>0</x:v>
      </x:c>
      <x:c r="D106" s="73" t="n">
        <x:f>'Calc_Monthly'!Q97-'Tested_Results'!F97</x:f>
        <x:v>0</x:v>
      </x:c>
      <x:c r="E106" s="73" t="n">
        <x:f>'Calc_Monthly'!AC97-'Tested_Results'!G97</x:f>
        <x:v>0</x:v>
      </x:c>
      <x:c r="F106" s="73" t="n">
        <x:f>'Calc_Monthly'!AE97-'Tested_Results'!H97</x:f>
        <x:v>0</x:v>
      </x:c>
      <x:c r="G106" s="73" t="n">
        <x:f>'Calc_Monthly'!U97-'Tested_Results'!I97</x:f>
        <x:v>0</x:v>
      </x:c>
      <x:c r="H106" s="73" t="n">
        <x:f>'Calc_Monthly'!AD97-'Tested_Results'!J97</x:f>
        <x:v>0</x:v>
      </x:c>
      <x:c r="I106" s="73" t="n">
        <x:f>'Calc_Monthly'!AF97-'Tested_Results'!K97</x:f>
        <x:v>0</x:v>
      </x:c>
      <x:c r="J106" s="39" t="str">
        <x:f>IF(MAX(ABS(C106),ABS(D106),ABS(E106),ABS(F106),ABS(G106),ABS(H106),ABS(I106))&lt;='Settings_General'!$B$6,"PASS","CHECK")</x:f>
        <x:v>PASS</x:v>
      </x:c>
    </x:row>
    <x:row r="107">
      <x:c r="A107" s="39" t="str">
        <x:f>'Calc_Monthly'!A98</x:f>
        <x:v>19|upper</x:v>
      </x:c>
      <x:c r="B107" s="39" t="str">
        <x:f>'Calc_Monthly'!E98</x:f>
        <x:v>2023-01</x:v>
      </x:c>
      <x:c r="C107" s="73" t="n">
        <x:f>'Calc_Monthly'!K98-'Tested_Results'!T98</x:f>
        <x:v>-2.2737367544323206e-13</x:v>
      </x:c>
      <x:c r="D107" s="73" t="n">
        <x:f>'Calc_Monthly'!Q98-'Tested_Results'!F98</x:f>
        <x:v>0</x:v>
      </x:c>
      <x:c r="E107" s="73" t="n">
        <x:f>'Calc_Monthly'!AC98-'Tested_Results'!G98</x:f>
        <x:v>0</x:v>
      </x:c>
      <x:c r="F107" s="73" t="n">
        <x:f>'Calc_Monthly'!AE98-'Tested_Results'!H98</x:f>
        <x:v>0</x:v>
      </x:c>
      <x:c r="G107" s="73" t="n">
        <x:f>'Calc_Monthly'!U98-'Tested_Results'!I98</x:f>
        <x:v>0</x:v>
      </x:c>
      <x:c r="H107" s="73" t="n">
        <x:f>'Calc_Monthly'!AD98-'Tested_Results'!J98</x:f>
        <x:v>0</x:v>
      </x:c>
      <x:c r="I107" s="73" t="n">
        <x:f>'Calc_Monthly'!AF98-'Tested_Results'!K98</x:f>
        <x:v>0</x:v>
      </x:c>
      <x:c r="J107" s="39" t="str">
        <x:f>IF(MAX(ABS(C107),ABS(D107),ABS(E107),ABS(F107),ABS(G107),ABS(H107),ABS(I107))&lt;='Settings_General'!$B$6,"PASS","CHECK")</x:f>
        <x:v>PASS</x:v>
      </x:c>
    </x:row>
    <x:row r="108">
      <x:c r="A108" s="39" t="str">
        <x:f>'Calc_Monthly'!A99</x:f>
        <x:v>19|upper</x:v>
      </x:c>
      <x:c r="B108" s="39" t="str">
        <x:f>'Calc_Monthly'!E99</x:f>
        <x:v>2023-02</x:v>
      </x:c>
      <x:c r="C108" s="73" t="n">
        <x:f>'Calc_Monthly'!K99-'Tested_Results'!T99</x:f>
        <x:v>0</x:v>
      </x:c>
      <x:c r="D108" s="73" t="n">
        <x:f>'Calc_Monthly'!Q99-'Tested_Results'!F99</x:f>
        <x:v>0</x:v>
      </x:c>
      <x:c r="E108" s="73" t="n">
        <x:f>'Calc_Monthly'!AC99-'Tested_Results'!G99</x:f>
        <x:v>0</x:v>
      </x:c>
      <x:c r="F108" s="73" t="n">
        <x:f>'Calc_Monthly'!AE99-'Tested_Results'!H99</x:f>
        <x:v>0</x:v>
      </x:c>
      <x:c r="G108" s="73" t="n">
        <x:f>'Calc_Monthly'!U99-'Tested_Results'!I99</x:f>
        <x:v>0</x:v>
      </x:c>
      <x:c r="H108" s="73" t="n">
        <x:f>'Calc_Monthly'!AD99-'Tested_Results'!J99</x:f>
        <x:v>0</x:v>
      </x:c>
      <x:c r="I108" s="73" t="n">
        <x:f>'Calc_Monthly'!AF99-'Tested_Results'!K99</x:f>
        <x:v>0</x:v>
      </x:c>
      <x:c r="J108" s="39" t="str">
        <x:f>IF(MAX(ABS(C108),ABS(D108),ABS(E108),ABS(F108),ABS(G108),ABS(H108),ABS(I108))&lt;='Settings_General'!$B$6,"PASS","CHECK")</x:f>
        <x:v>PASS</x:v>
      </x:c>
    </x:row>
    <x:row r="109">
      <x:c r="A109" s="39" t="str">
        <x:f>'Calc_Monthly'!A100</x:f>
        <x:v>19|upper</x:v>
      </x:c>
      <x:c r="B109" s="39" t="str">
        <x:f>'Calc_Monthly'!E100</x:f>
        <x:v>2023-03</x:v>
      </x:c>
      <x:c r="C109" s="73" t="n">
        <x:f>'Calc_Monthly'!K100-'Tested_Results'!T100</x:f>
        <x:v>0</x:v>
      </x:c>
      <x:c r="D109" s="73" t="n">
        <x:f>'Calc_Monthly'!Q100-'Tested_Results'!F100</x:f>
        <x:v>0</x:v>
      </x:c>
      <x:c r="E109" s="73" t="n">
        <x:f>'Calc_Monthly'!AC100-'Tested_Results'!G100</x:f>
        <x:v>0</x:v>
      </x:c>
      <x:c r="F109" s="73" t="n">
        <x:f>'Calc_Monthly'!AE100-'Tested_Results'!H100</x:f>
        <x:v>0</x:v>
      </x:c>
      <x:c r="G109" s="73" t="n">
        <x:f>'Calc_Monthly'!U100-'Tested_Results'!I100</x:f>
        <x:v>0</x:v>
      </x:c>
      <x:c r="H109" s="73" t="n">
        <x:f>'Calc_Monthly'!AD100-'Tested_Results'!J100</x:f>
        <x:v>0</x:v>
      </x:c>
      <x:c r="I109" s="73" t="n">
        <x:f>'Calc_Monthly'!AF100-'Tested_Results'!K100</x:f>
        <x:v>0</x:v>
      </x:c>
      <x:c r="J109" s="39" t="str">
        <x:f>IF(MAX(ABS(C109),ABS(D109),ABS(E109),ABS(F109),ABS(G109),ABS(H109),ABS(I109))&lt;='Settings_General'!$B$6,"PASS","CHECK")</x:f>
        <x:v>PASS</x:v>
      </x:c>
    </x:row>
    <x:row r="110">
      <x:c r="A110" s="39" t="str">
        <x:f>'Calc_Monthly'!A101</x:f>
        <x:v>19|upper</x:v>
      </x:c>
      <x:c r="B110" s="39" t="str">
        <x:f>'Calc_Monthly'!E101</x:f>
        <x:v>2023-04</x:v>
      </x:c>
      <x:c r="C110" s="73" t="n">
        <x:f>'Calc_Monthly'!K101-'Tested_Results'!T101</x:f>
        <x:v>0</x:v>
      </x:c>
      <x:c r="D110" s="73" t="n">
        <x:f>'Calc_Monthly'!Q101-'Tested_Results'!F101</x:f>
        <x:v>0</x:v>
      </x:c>
      <x:c r="E110" s="73" t="n">
        <x:f>'Calc_Monthly'!AC101-'Tested_Results'!G101</x:f>
        <x:v>0</x:v>
      </x:c>
      <x:c r="F110" s="73" t="n">
        <x:f>'Calc_Monthly'!AE101-'Tested_Results'!H101</x:f>
        <x:v>0</x:v>
      </x:c>
      <x:c r="G110" s="73" t="n">
        <x:f>'Calc_Monthly'!U101-'Tested_Results'!I101</x:f>
        <x:v>0</x:v>
      </x:c>
      <x:c r="H110" s="73" t="n">
        <x:f>'Calc_Monthly'!AD101-'Tested_Results'!J101</x:f>
        <x:v>0</x:v>
      </x:c>
      <x:c r="I110" s="73" t="n">
        <x:f>'Calc_Monthly'!AF101-'Tested_Results'!K101</x:f>
        <x:v>0</x:v>
      </x:c>
      <x:c r="J110" s="39" t="str">
        <x:f>IF(MAX(ABS(C110),ABS(D110),ABS(E110),ABS(F110),ABS(G110),ABS(H110),ABS(I110))&lt;='Settings_General'!$B$6,"PASS","CHECK")</x:f>
        <x:v>PASS</x:v>
      </x:c>
    </x:row>
    <x:row r="111">
      <x:c r="A111" s="39" t="str">
        <x:f>'Calc_Monthly'!A102</x:f>
        <x:v>19|upper</x:v>
      </x:c>
      <x:c r="B111" s="39" t="str">
        <x:f>'Calc_Monthly'!E102</x:f>
        <x:v>2023-05</x:v>
      </x:c>
      <x:c r="C111" s="73" t="n">
        <x:f>'Calc_Monthly'!K102-'Tested_Results'!T102</x:f>
        <x:v>0</x:v>
      </x:c>
      <x:c r="D111" s="73" t="n">
        <x:f>'Calc_Monthly'!Q102-'Tested_Results'!F102</x:f>
        <x:v>0</x:v>
      </x:c>
      <x:c r="E111" s="73" t="n">
        <x:f>'Calc_Monthly'!AC102-'Tested_Results'!G102</x:f>
        <x:v>0</x:v>
      </x:c>
      <x:c r="F111" s="73" t="n">
        <x:f>'Calc_Monthly'!AE102-'Tested_Results'!H102</x:f>
        <x:v>0</x:v>
      </x:c>
      <x:c r="G111" s="73" t="n">
        <x:f>'Calc_Monthly'!U102-'Tested_Results'!I102</x:f>
        <x:v>0</x:v>
      </x:c>
      <x:c r="H111" s="73" t="n">
        <x:f>'Calc_Monthly'!AD102-'Tested_Results'!J102</x:f>
        <x:v>0</x:v>
      </x:c>
      <x:c r="I111" s="73" t="n">
        <x:f>'Calc_Monthly'!AF102-'Tested_Results'!K102</x:f>
        <x:v>0</x:v>
      </x:c>
      <x:c r="J111" s="39" t="str">
        <x:f>IF(MAX(ABS(C111),ABS(D111),ABS(E111),ABS(F111),ABS(G111),ABS(H111),ABS(I111))&lt;='Settings_General'!$B$6,"PASS","CHECK")</x:f>
        <x:v>PASS</x:v>
      </x:c>
    </x:row>
    <x:row r="112">
      <x:c r="A112" s="39" t="str">
        <x:f>'Calc_Monthly'!A103</x:f>
        <x:v>19|upper</x:v>
      </x:c>
      <x:c r="B112" s="39" t="str">
        <x:f>'Calc_Monthly'!E103</x:f>
        <x:v>2023-06</x:v>
      </x:c>
      <x:c r="C112" s="73" t="n">
        <x:f>'Calc_Monthly'!K103-'Tested_Results'!T103</x:f>
        <x:v>-1.8189894035458565e-12</x:v>
      </x:c>
      <x:c r="D112" s="73" t="n">
        <x:f>'Calc_Monthly'!Q103-'Tested_Results'!F103</x:f>
        <x:v>0</x:v>
      </x:c>
      <x:c r="E112" s="73" t="n">
        <x:f>'Calc_Monthly'!AC103-'Tested_Results'!G103</x:f>
        <x:v>0</x:v>
      </x:c>
      <x:c r="F112" s="73" t="n">
        <x:f>'Calc_Monthly'!AE103-'Tested_Results'!H103</x:f>
        <x:v>0</x:v>
      </x:c>
      <x:c r="G112" s="73" t="n">
        <x:f>'Calc_Monthly'!U103-'Tested_Results'!I103</x:f>
        <x:v>9.094947017729282e-13</x:v>
      </x:c>
      <x:c r="H112" s="73" t="n">
        <x:f>'Calc_Monthly'!AD103-'Tested_Results'!J103</x:f>
        <x:v>0</x:v>
      </x:c>
      <x:c r="I112" s="73" t="n">
        <x:f>'Calc_Monthly'!AF103-'Tested_Results'!K103</x:f>
        <x:v>9.094947017729282e-13</x:v>
      </x:c>
      <x:c r="J112" s="39" t="str">
        <x:f>IF(MAX(ABS(C112),ABS(D112),ABS(E112),ABS(F112),ABS(G112),ABS(H112),ABS(I112))&lt;='Settings_General'!$B$6,"PASS","CHECK")</x:f>
        <x:v>PASS</x:v>
      </x:c>
    </x:row>
    <x:row r="113">
      <x:c r="A113" s="39" t="str">
        <x:f>'Calc_Monthly'!A104</x:f>
        <x:v>19|upper</x:v>
      </x:c>
      <x:c r="B113" s="39" t="str">
        <x:f>'Calc_Monthly'!E104</x:f>
        <x:v>2023-07</x:v>
      </x:c>
      <x:c r="C113" s="73" t="n">
        <x:f>'Calc_Monthly'!K104-'Tested_Results'!T104</x:f>
        <x:v>1.8189894035458565e-12</x:v>
      </x:c>
      <x:c r="D113" s="73" t="n">
        <x:f>'Calc_Monthly'!Q104-'Tested_Results'!F104</x:f>
        <x:v>0</x:v>
      </x:c>
      <x:c r="E113" s="73" t="n">
        <x:f>'Calc_Monthly'!AC104-'Tested_Results'!G104</x:f>
        <x:v>0</x:v>
      </x:c>
      <x:c r="F113" s="73" t="n">
        <x:f>'Calc_Monthly'!AE104-'Tested_Results'!H104</x:f>
        <x:v>0</x:v>
      </x:c>
      <x:c r="G113" s="73" t="n">
        <x:f>'Calc_Monthly'!U104-'Tested_Results'!I104</x:f>
        <x:v>0</x:v>
      </x:c>
      <x:c r="H113" s="73" t="n">
        <x:f>'Calc_Monthly'!AD104-'Tested_Results'!J104</x:f>
        <x:v>0</x:v>
      </x:c>
      <x:c r="I113" s="73" t="n">
        <x:f>'Calc_Monthly'!AF104-'Tested_Results'!K104</x:f>
        <x:v>0</x:v>
      </x:c>
      <x:c r="J113" s="39" t="str">
        <x:f>IF(MAX(ABS(C113),ABS(D113),ABS(E113),ABS(F113),ABS(G113),ABS(H113),ABS(I113))&lt;='Settings_General'!$B$6,"PASS","CHECK")</x:f>
        <x:v>PASS</x:v>
      </x:c>
    </x:row>
    <x:row r="114">
      <x:c r="A114" s="39" t="str">
        <x:f>'Calc_Monthly'!A105</x:f>
        <x:v>19|upper</x:v>
      </x:c>
      <x:c r="B114" s="39" t="str">
        <x:f>'Calc_Monthly'!E105</x:f>
        <x:v>2023-08</x:v>
      </x:c>
      <x:c r="C114" s="73" t="n">
        <x:f>'Calc_Monthly'!K105-'Tested_Results'!T105</x:f>
        <x:v>1.8189894035458565e-12</x:v>
      </x:c>
      <x:c r="D114" s="73" t="n">
        <x:f>'Calc_Monthly'!Q105-'Tested_Results'!F105</x:f>
        <x:v>0</x:v>
      </x:c>
      <x:c r="E114" s="73" t="n">
        <x:f>'Calc_Monthly'!AC105-'Tested_Results'!G105</x:f>
        <x:v>0</x:v>
      </x:c>
      <x:c r="F114" s="73" t="n">
        <x:f>'Calc_Monthly'!AE105-'Tested_Results'!H105</x:f>
        <x:v>0</x:v>
      </x:c>
      <x:c r="G114" s="73" t="n">
        <x:f>'Calc_Monthly'!U105-'Tested_Results'!I105</x:f>
        <x:v>4.547473508864641e-12</x:v>
      </x:c>
      <x:c r="H114" s="73" t="n">
        <x:f>'Calc_Monthly'!AD105-'Tested_Results'!J105</x:f>
        <x:v>0</x:v>
      </x:c>
      <x:c r="I114" s="73" t="n">
        <x:f>'Calc_Monthly'!AF105-'Tested_Results'!K105</x:f>
        <x:v>4.547473508864641e-12</x:v>
      </x:c>
      <x:c r="J114" s="39" t="str">
        <x:f>IF(MAX(ABS(C114),ABS(D114),ABS(E114),ABS(F114),ABS(G114),ABS(H114),ABS(I114))&lt;='Settings_General'!$B$6,"PASS","CHECK")</x:f>
        <x:v>PASS</x:v>
      </x:c>
    </x:row>
    <x:row r="115">
      <x:c r="A115" s="39" t="str">
        <x:f>'Calc_Monthly'!A106</x:f>
        <x:v>19|upper</x:v>
      </x:c>
      <x:c r="B115" s="39" t="str">
        <x:f>'Calc_Monthly'!E106</x:f>
        <x:v>2023-09</x:v>
      </x:c>
      <x:c r="C115" s="73" t="n">
        <x:f>'Calc_Monthly'!K106-'Tested_Results'!T106</x:f>
        <x:v>0</x:v>
      </x:c>
      <x:c r="D115" s="73" t="n">
        <x:f>'Calc_Monthly'!Q106-'Tested_Results'!F106</x:f>
        <x:v>0</x:v>
      </x:c>
      <x:c r="E115" s="73" t="n">
        <x:f>'Calc_Monthly'!AC106-'Tested_Results'!G106</x:f>
        <x:v>0</x:v>
      </x:c>
      <x:c r="F115" s="73" t="n">
        <x:f>'Calc_Monthly'!AE106-'Tested_Results'!H106</x:f>
        <x:v>0</x:v>
      </x:c>
      <x:c r="G115" s="73" t="n">
        <x:f>'Calc_Monthly'!U106-'Tested_Results'!I106</x:f>
        <x:v>0</x:v>
      </x:c>
      <x:c r="H115" s="73" t="n">
        <x:f>'Calc_Monthly'!AD106-'Tested_Results'!J106</x:f>
        <x:v>0</x:v>
      </x:c>
      <x:c r="I115" s="73" t="n">
        <x:f>'Calc_Monthly'!AF106-'Tested_Results'!K106</x:f>
        <x:v>0</x:v>
      </x:c>
      <x:c r="J115" s="39" t="str">
        <x:f>IF(MAX(ABS(C115),ABS(D115),ABS(E115),ABS(F115),ABS(G115),ABS(H115),ABS(I115))&lt;='Settings_General'!$B$6,"PASS","CHECK")</x:f>
        <x:v>PASS</x:v>
      </x:c>
    </x:row>
    <x:row r="116">
      <x:c r="A116" s="39" t="str">
        <x:f>'Calc_Monthly'!A107</x:f>
        <x:v>19|upper</x:v>
      </x:c>
      <x:c r="B116" s="39" t="str">
        <x:f>'Calc_Monthly'!E107</x:f>
        <x:v>2023-10</x:v>
      </x:c>
      <x:c r="C116" s="73" t="n">
        <x:f>'Calc_Monthly'!K107-'Tested_Results'!T107</x:f>
        <x:v>0</x:v>
      </x:c>
      <x:c r="D116" s="73" t="n">
        <x:f>'Calc_Monthly'!Q107-'Tested_Results'!F107</x:f>
        <x:v>0</x:v>
      </x:c>
      <x:c r="E116" s="73" t="n">
        <x:f>'Calc_Monthly'!AC107-'Tested_Results'!G107</x:f>
        <x:v>0</x:v>
      </x:c>
      <x:c r="F116" s="73" t="n">
        <x:f>'Calc_Monthly'!AE107-'Tested_Results'!H107</x:f>
        <x:v>0</x:v>
      </x:c>
      <x:c r="G116" s="73" t="n">
        <x:f>'Calc_Monthly'!U107-'Tested_Results'!I107</x:f>
        <x:v>0</x:v>
      </x:c>
      <x:c r="H116" s="73" t="n">
        <x:f>'Calc_Monthly'!AD107-'Tested_Results'!J107</x:f>
        <x:v>0</x:v>
      </x:c>
      <x:c r="I116" s="73" t="n">
        <x:f>'Calc_Monthly'!AF107-'Tested_Results'!K107</x:f>
        <x:v>0</x:v>
      </x:c>
      <x:c r="J116" s="39" t="str">
        <x:f>IF(MAX(ABS(C116),ABS(D116),ABS(E116),ABS(F116),ABS(G116),ABS(H116),ABS(I116))&lt;='Settings_General'!$B$6,"PASS","CHECK")</x:f>
        <x:v>PASS</x:v>
      </x:c>
    </x:row>
    <x:row r="117">
      <x:c r="A117" s="39" t="str">
        <x:f>'Calc_Monthly'!A108</x:f>
        <x:v>19|upper</x:v>
      </x:c>
      <x:c r="B117" s="39" t="str">
        <x:f>'Calc_Monthly'!E108</x:f>
        <x:v>2023-11</x:v>
      </x:c>
      <x:c r="C117" s="73" t="n">
        <x:f>'Calc_Monthly'!K108-'Tested_Results'!T108</x:f>
        <x:v>-4.547473508864641e-13</x:v>
      </x:c>
      <x:c r="D117" s="73" t="n">
        <x:f>'Calc_Monthly'!Q108-'Tested_Results'!F108</x:f>
        <x:v>0</x:v>
      </x:c>
      <x:c r="E117" s="73" t="n">
        <x:f>'Calc_Monthly'!AC108-'Tested_Results'!G108</x:f>
        <x:v>0</x:v>
      </x:c>
      <x:c r="F117" s="73" t="n">
        <x:f>'Calc_Monthly'!AE108-'Tested_Results'!H108</x:f>
        <x:v>0</x:v>
      </x:c>
      <x:c r="G117" s="73" t="n">
        <x:f>'Calc_Monthly'!U108-'Tested_Results'!I108</x:f>
        <x:v>0</x:v>
      </x:c>
      <x:c r="H117" s="73" t="n">
        <x:f>'Calc_Monthly'!AD108-'Tested_Results'!J108</x:f>
        <x:v>0</x:v>
      </x:c>
      <x:c r="I117" s="73" t="n">
        <x:f>'Calc_Monthly'!AF108-'Tested_Results'!K108</x:f>
        <x:v>0</x:v>
      </x:c>
      <x:c r="J117" s="39" t="str">
        <x:f>IF(MAX(ABS(C117),ABS(D117),ABS(E117),ABS(F117),ABS(G117),ABS(H117),ABS(I117))&lt;='Settings_General'!$B$6,"PASS","CHECK")</x:f>
        <x:v>PASS</x:v>
      </x:c>
    </x:row>
    <x:row r="118">
      <x:c r="A118" s="39" t="str">
        <x:f>'Calc_Monthly'!A109</x:f>
        <x:v>19|upper</x:v>
      </x:c>
      <x:c r="B118" s="39" t="str">
        <x:f>'Calc_Monthly'!E109</x:f>
        <x:v>2023-12</x:v>
      </x:c>
      <x:c r="C118" s="73" t="n">
        <x:f>'Calc_Monthly'!K109-'Tested_Results'!T109</x:f>
        <x:v>0</x:v>
      </x:c>
      <x:c r="D118" s="73" t="n">
        <x:f>'Calc_Monthly'!Q109-'Tested_Results'!F109</x:f>
        <x:v>0</x:v>
      </x:c>
      <x:c r="E118" s="73" t="n">
        <x:f>'Calc_Monthly'!AC109-'Tested_Results'!G109</x:f>
        <x:v>0</x:v>
      </x:c>
      <x:c r="F118" s="73" t="n">
        <x:f>'Calc_Monthly'!AE109-'Tested_Results'!H109</x:f>
        <x:v>0</x:v>
      </x:c>
      <x:c r="G118" s="73" t="n">
        <x:f>'Calc_Monthly'!U109-'Tested_Results'!I109</x:f>
        <x:v>0</x:v>
      </x:c>
      <x:c r="H118" s="73" t="n">
        <x:f>'Calc_Monthly'!AD109-'Tested_Results'!J109</x:f>
        <x:v>0</x:v>
      </x:c>
      <x:c r="I118" s="73" t="n">
        <x:f>'Calc_Monthly'!AF109-'Tested_Results'!K109</x:f>
        <x:v>0</x:v>
      </x:c>
      <x:c r="J118" s="39" t="str">
        <x:f>IF(MAX(ABS(C118),ABS(D118),ABS(E118),ABS(F118),ABS(G118),ABS(H118),ABS(I118))&lt;='Settings_General'!$B$6,"PASS","CHECK")</x:f>
        <x:v>PASS</x:v>
      </x:c>
    </x:row>
    <x:row r="119">
      <x:c r="A119" s="39" t="str">
        <x:f>'Calc_Monthly'!A110</x:f>
        <x:v>20|aggregate</x:v>
      </x:c>
      <x:c r="B119" s="39" t="str">
        <x:f>'Calc_Monthly'!E110</x:f>
        <x:v>2023-01</x:v>
      </x:c>
      <x:c r="C119" s="73" t="n">
        <x:f>'Calc_Monthly'!K110-'Tested_Results'!T110</x:f>
        <x:v>0</x:v>
      </x:c>
      <x:c r="D119" s="73" t="n">
        <x:f>'Calc_Monthly'!Q110-'Tested_Results'!F110</x:f>
        <x:v>0</x:v>
      </x:c>
      <x:c r="E119" s="73" t="n">
        <x:f>'Calc_Monthly'!AC110-'Tested_Results'!G110</x:f>
        <x:v>0</x:v>
      </x:c>
      <x:c r="F119" s="73" t="n">
        <x:f>'Calc_Monthly'!AE110-'Tested_Results'!H110</x:f>
        <x:v>0</x:v>
      </x:c>
      <x:c r="G119" s="73" t="n">
        <x:f>'Calc_Monthly'!U110-'Tested_Results'!I110</x:f>
        <x:v>0</x:v>
      </x:c>
      <x:c r="H119" s="73" t="n">
        <x:f>'Calc_Monthly'!AD110-'Tested_Results'!J110</x:f>
        <x:v>0</x:v>
      </x:c>
      <x:c r="I119" s="73" t="n">
        <x:f>'Calc_Monthly'!AF110-'Tested_Results'!K110</x:f>
        <x:v>0</x:v>
      </x:c>
      <x:c r="J119" s="39" t="str">
        <x:f>IF(MAX(ABS(C119),ABS(D119),ABS(E119),ABS(F119),ABS(G119),ABS(H119),ABS(I119))&lt;='Settings_General'!$B$6,"PASS","CHECK")</x:f>
        <x:v>PASS</x:v>
      </x:c>
    </x:row>
    <x:row r="120">
      <x:c r="A120" s="39" t="str">
        <x:f>'Calc_Monthly'!A111</x:f>
        <x:v>20|aggregate</x:v>
      </x:c>
      <x:c r="B120" s="39" t="str">
        <x:f>'Calc_Monthly'!E111</x:f>
        <x:v>2023-02</x:v>
      </x:c>
      <x:c r="C120" s="73" t="n">
        <x:f>'Calc_Monthly'!K111-'Tested_Results'!T111</x:f>
        <x:v>0</x:v>
      </x:c>
      <x:c r="D120" s="73" t="n">
        <x:f>'Calc_Monthly'!Q111-'Tested_Results'!F111</x:f>
        <x:v>0</x:v>
      </x:c>
      <x:c r="E120" s="73" t="n">
        <x:f>'Calc_Monthly'!AC111-'Tested_Results'!G111</x:f>
        <x:v>0</x:v>
      </x:c>
      <x:c r="F120" s="73" t="n">
        <x:f>'Calc_Monthly'!AE111-'Tested_Results'!H111</x:f>
        <x:v>0</x:v>
      </x:c>
      <x:c r="G120" s="73" t="n">
        <x:f>'Calc_Monthly'!U111-'Tested_Results'!I111</x:f>
        <x:v>0</x:v>
      </x:c>
      <x:c r="H120" s="73" t="n">
        <x:f>'Calc_Monthly'!AD111-'Tested_Results'!J111</x:f>
        <x:v>0</x:v>
      </x:c>
      <x:c r="I120" s="73" t="n">
        <x:f>'Calc_Monthly'!AF111-'Tested_Results'!K111</x:f>
        <x:v>0</x:v>
      </x:c>
      <x:c r="J120" s="39" t="str">
        <x:f>IF(MAX(ABS(C120),ABS(D120),ABS(E120),ABS(F120),ABS(G120),ABS(H120),ABS(I120))&lt;='Settings_General'!$B$6,"PASS","CHECK")</x:f>
        <x:v>PASS</x:v>
      </x:c>
    </x:row>
    <x:row r="121">
      <x:c r="A121" s="39" t="str">
        <x:f>'Calc_Monthly'!A112</x:f>
        <x:v>20|aggregate</x:v>
      </x:c>
      <x:c r="B121" s="39" t="str">
        <x:f>'Calc_Monthly'!E112</x:f>
        <x:v>2023-03</x:v>
      </x:c>
      <x:c r="C121" s="73" t="n">
        <x:f>'Calc_Monthly'!K112-'Tested_Results'!T112</x:f>
        <x:v>7.275957614183426e-12</x:v>
      </x:c>
      <x:c r="D121" s="73" t="n">
        <x:f>'Calc_Monthly'!Q112-'Tested_Results'!F112</x:f>
        <x:v>0</x:v>
      </x:c>
      <x:c r="E121" s="73" t="n">
        <x:f>'Calc_Monthly'!AC112-'Tested_Results'!G112</x:f>
        <x:v>0</x:v>
      </x:c>
      <x:c r="F121" s="73" t="n">
        <x:f>'Calc_Monthly'!AE112-'Tested_Results'!H112</x:f>
        <x:v>0</x:v>
      </x:c>
      <x:c r="G121" s="73" t="n">
        <x:f>'Calc_Monthly'!U112-'Tested_Results'!I112</x:f>
        <x:v>0</x:v>
      </x:c>
      <x:c r="H121" s="73" t="n">
        <x:f>'Calc_Monthly'!AD112-'Tested_Results'!J112</x:f>
        <x:v>0</x:v>
      </x:c>
      <x:c r="I121" s="73" t="n">
        <x:f>'Calc_Monthly'!AF112-'Tested_Results'!K112</x:f>
        <x:v>0</x:v>
      </x:c>
      <x:c r="J121" s="39" t="str">
        <x:f>IF(MAX(ABS(C121),ABS(D121),ABS(E121),ABS(F121),ABS(G121),ABS(H121),ABS(I121))&lt;='Settings_General'!$B$6,"PASS","CHECK")</x:f>
        <x:v>PASS</x:v>
      </x:c>
    </x:row>
    <x:row r="122">
      <x:c r="A122" s="39" t="str">
        <x:f>'Calc_Monthly'!A113</x:f>
        <x:v>20|aggregate</x:v>
      </x:c>
      <x:c r="B122" s="39" t="str">
        <x:f>'Calc_Monthly'!E113</x:f>
        <x:v>2023-04</x:v>
      </x:c>
      <x:c r="C122" s="73" t="n">
        <x:f>'Calc_Monthly'!K113-'Tested_Results'!T113</x:f>
        <x:v>0</x:v>
      </x:c>
      <x:c r="D122" s="73" t="n">
        <x:f>'Calc_Monthly'!Q113-'Tested_Results'!F113</x:f>
        <x:v>0</x:v>
      </x:c>
      <x:c r="E122" s="73" t="n">
        <x:f>'Calc_Monthly'!AC113-'Tested_Results'!G113</x:f>
        <x:v>0</x:v>
      </x:c>
      <x:c r="F122" s="73" t="n">
        <x:f>'Calc_Monthly'!AE113-'Tested_Results'!H113</x:f>
        <x:v>0</x:v>
      </x:c>
      <x:c r="G122" s="73" t="n">
        <x:f>'Calc_Monthly'!U113-'Tested_Results'!I113</x:f>
        <x:v>0</x:v>
      </x:c>
      <x:c r="H122" s="73" t="n">
        <x:f>'Calc_Monthly'!AD113-'Tested_Results'!J113</x:f>
        <x:v>0</x:v>
      </x:c>
      <x:c r="I122" s="73" t="n">
        <x:f>'Calc_Monthly'!AF113-'Tested_Results'!K113</x:f>
        <x:v>0</x:v>
      </x:c>
      <x:c r="J122" s="39" t="str">
        <x:f>IF(MAX(ABS(C122),ABS(D122),ABS(E122),ABS(F122),ABS(G122),ABS(H122),ABS(I122))&lt;='Settings_General'!$B$6,"PASS","CHECK")</x:f>
        <x:v>PASS</x:v>
      </x:c>
    </x:row>
    <x:row r="123">
      <x:c r="A123" s="39" t="str">
        <x:f>'Calc_Monthly'!A114</x:f>
        <x:v>20|aggregate</x:v>
      </x:c>
      <x:c r="B123" s="39" t="str">
        <x:f>'Calc_Monthly'!E114</x:f>
        <x:v>2023-05</x:v>
      </x:c>
      <x:c r="C123" s="73" t="n">
        <x:f>'Calc_Monthly'!K114-'Tested_Results'!T114</x:f>
        <x:v>1.4551915228366852e-11</x:v>
      </x:c>
      <x:c r="D123" s="73" t="n">
        <x:f>'Calc_Monthly'!Q114-'Tested_Results'!F114</x:f>
        <x:v>0</x:v>
      </x:c>
      <x:c r="E123" s="73" t="n">
        <x:f>'Calc_Monthly'!AC114-'Tested_Results'!G114</x:f>
        <x:v>0</x:v>
      </x:c>
      <x:c r="F123" s="73" t="n">
        <x:f>'Calc_Monthly'!AE114-'Tested_Results'!H114</x:f>
        <x:v>0</x:v>
      </x:c>
      <x:c r="G123" s="73" t="n">
        <x:f>'Calc_Monthly'!U114-'Tested_Results'!I114</x:f>
        <x:v>0</x:v>
      </x:c>
      <x:c r="H123" s="73" t="n">
        <x:f>'Calc_Monthly'!AD114-'Tested_Results'!J114</x:f>
        <x:v>0</x:v>
      </x:c>
      <x:c r="I123" s="73" t="n">
        <x:f>'Calc_Monthly'!AF114-'Tested_Results'!K114</x:f>
        <x:v>0</x:v>
      </x:c>
      <x:c r="J123" s="39" t="str">
        <x:f>IF(MAX(ABS(C123),ABS(D123),ABS(E123),ABS(F123),ABS(G123),ABS(H123),ABS(I123))&lt;='Settings_General'!$B$6,"PASS","CHECK")</x:f>
        <x:v>PASS</x:v>
      </x:c>
    </x:row>
    <x:row r="124">
      <x:c r="A124" s="39" t="str">
        <x:f>'Calc_Monthly'!A115</x:f>
        <x:v>20|aggregate</x:v>
      </x:c>
      <x:c r="B124" s="39" t="str">
        <x:f>'Calc_Monthly'!E115</x:f>
        <x:v>2023-06</x:v>
      </x:c>
      <x:c r="C124" s="73" t="n">
        <x:f>'Calc_Monthly'!K115-'Tested_Results'!T115</x:f>
        <x:v>7.275957614183426e-12</x:v>
      </x:c>
      <x:c r="D124" s="73" t="n">
        <x:f>'Calc_Monthly'!Q115-'Tested_Results'!F115</x:f>
        <x:v>0</x:v>
      </x:c>
      <x:c r="E124" s="73" t="n">
        <x:f>'Calc_Monthly'!AC115-'Tested_Results'!G115</x:f>
        <x:v>0</x:v>
      </x:c>
      <x:c r="F124" s="73" t="n">
        <x:f>'Calc_Monthly'!AE115-'Tested_Results'!H115</x:f>
        <x:v>0</x:v>
      </x:c>
      <x:c r="G124" s="73" t="n">
        <x:f>'Calc_Monthly'!U115-'Tested_Results'!I115</x:f>
        <x:v>0</x:v>
      </x:c>
      <x:c r="H124" s="73" t="n">
        <x:f>'Calc_Monthly'!AD115-'Tested_Results'!J115</x:f>
        <x:v>0</x:v>
      </x:c>
      <x:c r="I124" s="73" t="n">
        <x:f>'Calc_Monthly'!AF115-'Tested_Results'!K115</x:f>
        <x:v>0</x:v>
      </x:c>
      <x:c r="J124" s="39" t="str">
        <x:f>IF(MAX(ABS(C124),ABS(D124),ABS(E124),ABS(F124),ABS(G124),ABS(H124),ABS(I124))&lt;='Settings_General'!$B$6,"PASS","CHECK")</x:f>
        <x:v>PASS</x:v>
      </x:c>
    </x:row>
    <x:row r="125">
      <x:c r="A125" s="39" t="str">
        <x:f>'Calc_Monthly'!A116</x:f>
        <x:v>20|aggregate</x:v>
      </x:c>
      <x:c r="B125" s="39" t="str">
        <x:f>'Calc_Monthly'!E116</x:f>
        <x:v>2023-07</x:v>
      </x:c>
      <x:c r="C125" s="73" t="n">
        <x:f>'Calc_Monthly'!K116-'Tested_Results'!T116</x:f>
        <x:v>0</x:v>
      </x:c>
      <x:c r="D125" s="73" t="n">
        <x:f>'Calc_Monthly'!Q116-'Tested_Results'!F116</x:f>
        <x:v>0</x:v>
      </x:c>
      <x:c r="E125" s="73" t="n">
        <x:f>'Calc_Monthly'!AC116-'Tested_Results'!G116</x:f>
        <x:v>0</x:v>
      </x:c>
      <x:c r="F125" s="73" t="n">
        <x:f>'Calc_Monthly'!AE116-'Tested_Results'!H116</x:f>
        <x:v>0</x:v>
      </x:c>
      <x:c r="G125" s="73" t="n">
        <x:f>'Calc_Monthly'!U116-'Tested_Results'!I116</x:f>
        <x:v>0</x:v>
      </x:c>
      <x:c r="H125" s="73" t="n">
        <x:f>'Calc_Monthly'!AD116-'Tested_Results'!J116</x:f>
        <x:v>0</x:v>
      </x:c>
      <x:c r="I125" s="73" t="n">
        <x:f>'Calc_Monthly'!AF116-'Tested_Results'!K116</x:f>
        <x:v>0</x:v>
      </x:c>
      <x:c r="J125" s="39" t="str">
        <x:f>IF(MAX(ABS(C125),ABS(D125),ABS(E125),ABS(F125),ABS(G125),ABS(H125),ABS(I125))&lt;='Settings_General'!$B$6,"PASS","CHECK")</x:f>
        <x:v>PASS</x:v>
      </x:c>
    </x:row>
    <x:row r="126">
      <x:c r="A126" s="39" t="str">
        <x:f>'Calc_Monthly'!A117</x:f>
        <x:v>20|aggregate</x:v>
      </x:c>
      <x:c r="B126" s="39" t="str">
        <x:f>'Calc_Monthly'!E117</x:f>
        <x:v>2023-08</x:v>
      </x:c>
      <x:c r="C126" s="73" t="n">
        <x:f>'Calc_Monthly'!K117-'Tested_Results'!T117</x:f>
        <x:v>7.275957614183426e-12</x:v>
      </x:c>
      <x:c r="D126" s="73" t="n">
        <x:f>'Calc_Monthly'!Q117-'Tested_Results'!F117</x:f>
        <x:v>0</x:v>
      </x:c>
      <x:c r="E126" s="73" t="n">
        <x:f>'Calc_Monthly'!AC117-'Tested_Results'!G117</x:f>
        <x:v>0</x:v>
      </x:c>
      <x:c r="F126" s="73" t="n">
        <x:f>'Calc_Monthly'!AE117-'Tested_Results'!H117</x:f>
        <x:v>0</x:v>
      </x:c>
      <x:c r="G126" s="73" t="n">
        <x:f>'Calc_Monthly'!U117-'Tested_Results'!I117</x:f>
        <x:v>0</x:v>
      </x:c>
      <x:c r="H126" s="73" t="n">
        <x:f>'Calc_Monthly'!AD117-'Tested_Results'!J117</x:f>
        <x:v>0</x:v>
      </x:c>
      <x:c r="I126" s="73" t="n">
        <x:f>'Calc_Monthly'!AF117-'Tested_Results'!K117</x:f>
        <x:v>0</x:v>
      </x:c>
      <x:c r="J126" s="39" t="str">
        <x:f>IF(MAX(ABS(C126),ABS(D126),ABS(E126),ABS(F126),ABS(G126),ABS(H126),ABS(I126))&lt;='Settings_General'!$B$6,"PASS","CHECK")</x:f>
        <x:v>PASS</x:v>
      </x:c>
    </x:row>
    <x:row r="127">
      <x:c r="A127" s="39" t="str">
        <x:f>'Calc_Monthly'!A118</x:f>
        <x:v>20|aggregate</x:v>
      </x:c>
      <x:c r="B127" s="39" t="str">
        <x:f>'Calc_Monthly'!E118</x:f>
        <x:v>2023-09</x:v>
      </x:c>
      <x:c r="C127" s="73" t="n">
        <x:f>'Calc_Monthly'!K118-'Tested_Results'!T118</x:f>
        <x:v>0</x:v>
      </x:c>
      <x:c r="D127" s="73" t="n">
        <x:f>'Calc_Monthly'!Q118-'Tested_Results'!F118</x:f>
        <x:v>0</x:v>
      </x:c>
      <x:c r="E127" s="73" t="n">
        <x:f>'Calc_Monthly'!AC118-'Tested_Results'!G118</x:f>
        <x:v>0</x:v>
      </x:c>
      <x:c r="F127" s="73" t="n">
        <x:f>'Calc_Monthly'!AE118-'Tested_Results'!H118</x:f>
        <x:v>0</x:v>
      </x:c>
      <x:c r="G127" s="73" t="n">
        <x:f>'Calc_Monthly'!U118-'Tested_Results'!I118</x:f>
        <x:v>0</x:v>
      </x:c>
      <x:c r="H127" s="73" t="n">
        <x:f>'Calc_Monthly'!AD118-'Tested_Results'!J118</x:f>
        <x:v>0</x:v>
      </x:c>
      <x:c r="I127" s="73" t="n">
        <x:f>'Calc_Monthly'!AF118-'Tested_Results'!K118</x:f>
        <x:v>0</x:v>
      </x:c>
      <x:c r="J127" s="39" t="str">
        <x:f>IF(MAX(ABS(C127),ABS(D127),ABS(E127),ABS(F127),ABS(G127),ABS(H127),ABS(I127))&lt;='Settings_General'!$B$6,"PASS","CHECK")</x:f>
        <x:v>PASS</x:v>
      </x:c>
    </x:row>
    <x:row r="128">
      <x:c r="A128" s="39" t="str">
        <x:f>'Calc_Monthly'!A119</x:f>
        <x:v>20|aggregate</x:v>
      </x:c>
      <x:c r="B128" s="39" t="str">
        <x:f>'Calc_Monthly'!E119</x:f>
        <x:v>2023-10</x:v>
      </x:c>
      <x:c r="C128" s="73" t="n">
        <x:f>'Calc_Monthly'!K119-'Tested_Results'!T119</x:f>
        <x:v>0</x:v>
      </x:c>
      <x:c r="D128" s="73" t="n">
        <x:f>'Calc_Monthly'!Q119-'Tested_Results'!F119</x:f>
        <x:v>0</x:v>
      </x:c>
      <x:c r="E128" s="73" t="n">
        <x:f>'Calc_Monthly'!AC119-'Tested_Results'!G119</x:f>
        <x:v>0</x:v>
      </x:c>
      <x:c r="F128" s="73" t="n">
        <x:f>'Calc_Monthly'!AE119-'Tested_Results'!H119</x:f>
        <x:v>0</x:v>
      </x:c>
      <x:c r="G128" s="73" t="n">
        <x:f>'Calc_Monthly'!U119-'Tested_Results'!I119</x:f>
        <x:v>0</x:v>
      </x:c>
      <x:c r="H128" s="73" t="n">
        <x:f>'Calc_Monthly'!AD119-'Tested_Results'!J119</x:f>
        <x:v>0</x:v>
      </x:c>
      <x:c r="I128" s="73" t="n">
        <x:f>'Calc_Monthly'!AF119-'Tested_Results'!K119</x:f>
        <x:v>0</x:v>
      </x:c>
      <x:c r="J128" s="39" t="str">
        <x:f>IF(MAX(ABS(C128),ABS(D128),ABS(E128),ABS(F128),ABS(G128),ABS(H128),ABS(I128))&lt;='Settings_General'!$B$6,"PASS","CHECK")</x:f>
        <x:v>PASS</x:v>
      </x:c>
    </x:row>
    <x:row r="129">
      <x:c r="A129" s="39" t="str">
        <x:f>'Calc_Monthly'!A120</x:f>
        <x:v>20|aggregate</x:v>
      </x:c>
      <x:c r="B129" s="39" t="str">
        <x:f>'Calc_Monthly'!E120</x:f>
        <x:v>2023-11</x:v>
      </x:c>
      <x:c r="C129" s="73" t="n">
        <x:f>'Calc_Monthly'!K120-'Tested_Results'!T120</x:f>
        <x:v>1.8189894035458565e-12</x:v>
      </x:c>
      <x:c r="D129" s="73" t="n">
        <x:f>'Calc_Monthly'!Q120-'Tested_Results'!F120</x:f>
        <x:v>0</x:v>
      </x:c>
      <x:c r="E129" s="73" t="n">
        <x:f>'Calc_Monthly'!AC120-'Tested_Results'!G120</x:f>
        <x:v>0</x:v>
      </x:c>
      <x:c r="F129" s="73" t="n">
        <x:f>'Calc_Monthly'!AE120-'Tested_Results'!H120</x:f>
        <x:v>0</x:v>
      </x:c>
      <x:c r="G129" s="73" t="n">
        <x:f>'Calc_Monthly'!U120-'Tested_Results'!I120</x:f>
        <x:v>0</x:v>
      </x:c>
      <x:c r="H129" s="73" t="n">
        <x:f>'Calc_Monthly'!AD120-'Tested_Results'!J120</x:f>
        <x:v>0</x:v>
      </x:c>
      <x:c r="I129" s="73" t="n">
        <x:f>'Calc_Monthly'!AF120-'Tested_Results'!K120</x:f>
        <x:v>0</x:v>
      </x:c>
      <x:c r="J129" s="39" t="str">
        <x:f>IF(MAX(ABS(C129),ABS(D129),ABS(E129),ABS(F129),ABS(G129),ABS(H129),ABS(I129))&lt;='Settings_General'!$B$6,"PASS","CHECK")</x:f>
        <x:v>PASS</x:v>
      </x:c>
    </x:row>
    <x:row r="130">
      <x:c r="A130" s="39" t="str">
        <x:f>'Calc_Monthly'!A121</x:f>
        <x:v>20|aggregate</x:v>
      </x:c>
      <x:c r="B130" s="39" t="str">
        <x:f>'Calc_Monthly'!E121</x:f>
        <x:v>2023-12</x:v>
      </x:c>
      <x:c r="C130" s="73" t="n">
        <x:f>'Calc_Monthly'!K121-'Tested_Results'!T121</x:f>
        <x:v>0</x:v>
      </x:c>
      <x:c r="D130" s="73" t="n">
        <x:f>'Calc_Monthly'!Q121-'Tested_Results'!F121</x:f>
        <x:v>0</x:v>
      </x:c>
      <x:c r="E130" s="73" t="n">
        <x:f>'Calc_Monthly'!AC121-'Tested_Results'!G121</x:f>
        <x:v>0</x:v>
      </x:c>
      <x:c r="F130" s="73" t="n">
        <x:f>'Calc_Monthly'!AE121-'Tested_Results'!H121</x:f>
        <x:v>0</x:v>
      </x:c>
      <x:c r="G130" s="73" t="n">
        <x:f>'Calc_Monthly'!U121-'Tested_Results'!I121</x:f>
        <x:v>0</x:v>
      </x:c>
      <x:c r="H130" s="73" t="n">
        <x:f>'Calc_Monthly'!AD121-'Tested_Results'!J121</x:f>
        <x:v>0</x:v>
      </x:c>
      <x:c r="I130" s="73" t="n">
        <x:f>'Calc_Monthly'!AF121-'Tested_Results'!K121</x:f>
        <x:v>0</x:v>
      </x:c>
      <x:c r="J130" s="39" t="str">
        <x:f>IF(MAX(ABS(C130),ABS(D130),ABS(E130),ABS(F130),ABS(G130),ABS(H130),ABS(I130))&lt;='Settings_General'!$B$6,"PASS","CHECK")</x:f>
        <x:v>PASS</x:v>
      </x:c>
    </x:row>
    <x:row r="131">
      <x:c r="A131" s="39" t="str">
        <x:f>'Calc_Monthly'!A122</x:f>
        <x:v>20|lower</x:v>
      </x:c>
      <x:c r="B131" s="39" t="str">
        <x:f>'Calc_Monthly'!E122</x:f>
        <x:v>2023-01</x:v>
      </x:c>
      <x:c r="C131" s="73" t="n">
        <x:f>'Calc_Monthly'!K122-'Tested_Results'!T122</x:f>
        <x:v>0</x:v>
      </x:c>
      <x:c r="D131" s="73" t="n">
        <x:f>'Calc_Monthly'!Q122-'Tested_Results'!F122</x:f>
        <x:v>0</x:v>
      </x:c>
      <x:c r="E131" s="73" t="n">
        <x:f>'Calc_Monthly'!AC122-'Tested_Results'!G122</x:f>
        <x:v>0</x:v>
      </x:c>
      <x:c r="F131" s="73" t="n">
        <x:f>'Calc_Monthly'!AE122-'Tested_Results'!H122</x:f>
        <x:v>0</x:v>
      </x:c>
      <x:c r="G131" s="73" t="n">
        <x:f>'Calc_Monthly'!U122-'Tested_Results'!I122</x:f>
        <x:v>0</x:v>
      </x:c>
      <x:c r="H131" s="73" t="n">
        <x:f>'Calc_Monthly'!AD122-'Tested_Results'!J122</x:f>
        <x:v>0</x:v>
      </x:c>
      <x:c r="I131" s="73" t="n">
        <x:f>'Calc_Monthly'!AF122-'Tested_Results'!K122</x:f>
        <x:v>0</x:v>
      </x:c>
      <x:c r="J131" s="39" t="str">
        <x:f>IF(MAX(ABS(C131),ABS(D131),ABS(E131),ABS(F131),ABS(G131),ABS(H131),ABS(I131))&lt;='Settings_General'!$B$6,"PASS","CHECK")</x:f>
        <x:v>PASS</x:v>
      </x:c>
    </x:row>
    <x:row r="132">
      <x:c r="A132" s="39" t="str">
        <x:f>'Calc_Monthly'!A123</x:f>
        <x:v>20|lower</x:v>
      </x:c>
      <x:c r="B132" s="39" t="str">
        <x:f>'Calc_Monthly'!E123</x:f>
        <x:v>2023-02</x:v>
      </x:c>
      <x:c r="C132" s="73" t="n">
        <x:f>'Calc_Monthly'!K123-'Tested_Results'!T123</x:f>
        <x:v>4.547473508864641e-13</x:v>
      </x:c>
      <x:c r="D132" s="73" t="n">
        <x:f>'Calc_Monthly'!Q123-'Tested_Results'!F123</x:f>
        <x:v>0</x:v>
      </x:c>
      <x:c r="E132" s="73" t="n">
        <x:f>'Calc_Monthly'!AC123-'Tested_Results'!G123</x:f>
        <x:v>0</x:v>
      </x:c>
      <x:c r="F132" s="73" t="n">
        <x:f>'Calc_Monthly'!AE123-'Tested_Results'!H123</x:f>
        <x:v>0</x:v>
      </x:c>
      <x:c r="G132" s="73" t="n">
        <x:f>'Calc_Monthly'!U123-'Tested_Results'!I123</x:f>
        <x:v>0</x:v>
      </x:c>
      <x:c r="H132" s="73" t="n">
        <x:f>'Calc_Monthly'!AD123-'Tested_Results'!J123</x:f>
        <x:v>0</x:v>
      </x:c>
      <x:c r="I132" s="73" t="n">
        <x:f>'Calc_Monthly'!AF123-'Tested_Results'!K123</x:f>
        <x:v>0</x:v>
      </x:c>
      <x:c r="J132" s="39" t="str">
        <x:f>IF(MAX(ABS(C132),ABS(D132),ABS(E132),ABS(F132),ABS(G132),ABS(H132),ABS(I132))&lt;='Settings_General'!$B$6,"PASS","CHECK")</x:f>
        <x:v>PASS</x:v>
      </x:c>
    </x:row>
    <x:row r="133">
      <x:c r="A133" s="39" t="str">
        <x:f>'Calc_Monthly'!A124</x:f>
        <x:v>20|lower</x:v>
      </x:c>
      <x:c r="B133" s="39" t="str">
        <x:f>'Calc_Monthly'!E124</x:f>
        <x:v>2023-03</x:v>
      </x:c>
      <x:c r="C133" s="73" t="n">
        <x:f>'Calc_Monthly'!K124-'Tested_Results'!T124</x:f>
        <x:v>-9.094947017729282e-13</x:v>
      </x:c>
      <x:c r="D133" s="73" t="n">
        <x:f>'Calc_Monthly'!Q124-'Tested_Results'!F124</x:f>
        <x:v>0</x:v>
      </x:c>
      <x:c r="E133" s="73" t="n">
        <x:f>'Calc_Monthly'!AC124-'Tested_Results'!G124</x:f>
        <x:v>0</x:v>
      </x:c>
      <x:c r="F133" s="73" t="n">
        <x:f>'Calc_Monthly'!AE124-'Tested_Results'!H124</x:f>
        <x:v>0</x:v>
      </x:c>
      <x:c r="G133" s="73" t="n">
        <x:f>'Calc_Monthly'!U124-'Tested_Results'!I124</x:f>
        <x:v>0</x:v>
      </x:c>
      <x:c r="H133" s="73" t="n">
        <x:f>'Calc_Monthly'!AD124-'Tested_Results'!J124</x:f>
        <x:v>0</x:v>
      </x:c>
      <x:c r="I133" s="73" t="n">
        <x:f>'Calc_Monthly'!AF124-'Tested_Results'!K124</x:f>
        <x:v>0</x:v>
      </x:c>
      <x:c r="J133" s="39" t="str">
        <x:f>IF(MAX(ABS(C133),ABS(D133),ABS(E133),ABS(F133),ABS(G133),ABS(H133),ABS(I133))&lt;='Settings_General'!$B$6,"PASS","CHECK")</x:f>
        <x:v>PASS</x:v>
      </x:c>
    </x:row>
    <x:row r="134">
      <x:c r="A134" s="39" t="str">
        <x:f>'Calc_Monthly'!A125</x:f>
        <x:v>20|lower</x:v>
      </x:c>
      <x:c r="B134" s="39" t="str">
        <x:f>'Calc_Monthly'!E125</x:f>
        <x:v>2023-04</x:v>
      </x:c>
      <x:c r="C134" s="73" t="n">
        <x:f>'Calc_Monthly'!K125-'Tested_Results'!T125</x:f>
        <x:v>0</x:v>
      </x:c>
      <x:c r="D134" s="73" t="n">
        <x:f>'Calc_Monthly'!Q125-'Tested_Results'!F125</x:f>
        <x:v>0</x:v>
      </x:c>
      <x:c r="E134" s="73" t="n">
        <x:f>'Calc_Monthly'!AC125-'Tested_Results'!G125</x:f>
        <x:v>0</x:v>
      </x:c>
      <x:c r="F134" s="73" t="n">
        <x:f>'Calc_Monthly'!AE125-'Tested_Results'!H125</x:f>
        <x:v>0</x:v>
      </x:c>
      <x:c r="G134" s="73" t="n">
        <x:f>'Calc_Monthly'!U125-'Tested_Results'!I125</x:f>
        <x:v>0</x:v>
      </x:c>
      <x:c r="H134" s="73" t="n">
        <x:f>'Calc_Monthly'!AD125-'Tested_Results'!J125</x:f>
        <x:v>0</x:v>
      </x:c>
      <x:c r="I134" s="73" t="n">
        <x:f>'Calc_Monthly'!AF125-'Tested_Results'!K125</x:f>
        <x:v>0</x:v>
      </x:c>
      <x:c r="J134" s="39" t="str">
        <x:f>IF(MAX(ABS(C134),ABS(D134),ABS(E134),ABS(F134),ABS(G134),ABS(H134),ABS(I134))&lt;='Settings_General'!$B$6,"PASS","CHECK")</x:f>
        <x:v>PASS</x:v>
      </x:c>
    </x:row>
    <x:row r="135">
      <x:c r="A135" s="39" t="str">
        <x:f>'Calc_Monthly'!A126</x:f>
        <x:v>20|lower</x:v>
      </x:c>
      <x:c r="B135" s="39" t="str">
        <x:f>'Calc_Monthly'!E126</x:f>
        <x:v>2023-05</x:v>
      </x:c>
      <x:c r="C135" s="73" t="n">
        <x:f>'Calc_Monthly'!K126-'Tested_Results'!T126</x:f>
        <x:v>9.094947017729282e-13</x:v>
      </x:c>
      <x:c r="D135" s="73" t="n">
        <x:f>'Calc_Monthly'!Q126-'Tested_Results'!F126</x:f>
        <x:v>0</x:v>
      </x:c>
      <x:c r="E135" s="73" t="n">
        <x:f>'Calc_Monthly'!AC126-'Tested_Results'!G126</x:f>
        <x:v>0</x:v>
      </x:c>
      <x:c r="F135" s="73" t="n">
        <x:f>'Calc_Monthly'!AE126-'Tested_Results'!H126</x:f>
        <x:v>0</x:v>
      </x:c>
      <x:c r="G135" s="73" t="n">
        <x:f>'Calc_Monthly'!U126-'Tested_Results'!I126</x:f>
        <x:v>0</x:v>
      </x:c>
      <x:c r="H135" s="73" t="n">
        <x:f>'Calc_Monthly'!AD126-'Tested_Results'!J126</x:f>
        <x:v>0</x:v>
      </x:c>
      <x:c r="I135" s="73" t="n">
        <x:f>'Calc_Monthly'!AF126-'Tested_Results'!K126</x:f>
        <x:v>0</x:v>
      </x:c>
      <x:c r="J135" s="39" t="str">
        <x:f>IF(MAX(ABS(C135),ABS(D135),ABS(E135),ABS(F135),ABS(G135),ABS(H135),ABS(I135))&lt;='Settings_General'!$B$6,"PASS","CHECK")</x:f>
        <x:v>PASS</x:v>
      </x:c>
    </x:row>
    <x:row r="136">
      <x:c r="A136" s="39" t="str">
        <x:f>'Calc_Monthly'!A127</x:f>
        <x:v>20|lower</x:v>
      </x:c>
      <x:c r="B136" s="39" t="str">
        <x:f>'Calc_Monthly'!E127</x:f>
        <x:v>2023-06</x:v>
      </x:c>
      <x:c r="C136" s="73" t="n">
        <x:f>'Calc_Monthly'!K127-'Tested_Results'!T127</x:f>
        <x:v>0</x:v>
      </x:c>
      <x:c r="D136" s="73" t="n">
        <x:f>'Calc_Monthly'!Q127-'Tested_Results'!F127</x:f>
        <x:v>0</x:v>
      </x:c>
      <x:c r="E136" s="73" t="n">
        <x:f>'Calc_Monthly'!AC127-'Tested_Results'!G127</x:f>
        <x:v>0</x:v>
      </x:c>
      <x:c r="F136" s="73" t="n">
        <x:f>'Calc_Monthly'!AE127-'Tested_Results'!H127</x:f>
        <x:v>0</x:v>
      </x:c>
      <x:c r="G136" s="73" t="n">
        <x:f>'Calc_Monthly'!U127-'Tested_Results'!I127</x:f>
        <x:v>0</x:v>
      </x:c>
      <x:c r="H136" s="73" t="n">
        <x:f>'Calc_Monthly'!AD127-'Tested_Results'!J127</x:f>
        <x:v>0</x:v>
      </x:c>
      <x:c r="I136" s="73" t="n">
        <x:f>'Calc_Monthly'!AF127-'Tested_Results'!K127</x:f>
        <x:v>0</x:v>
      </x:c>
      <x:c r="J136" s="39" t="str">
        <x:f>IF(MAX(ABS(C136),ABS(D136),ABS(E136),ABS(F136),ABS(G136),ABS(H136),ABS(I136))&lt;='Settings_General'!$B$6,"PASS","CHECK")</x:f>
        <x:v>PASS</x:v>
      </x:c>
    </x:row>
    <x:row r="137">
      <x:c r="A137" s="39" t="str">
        <x:f>'Calc_Monthly'!A128</x:f>
        <x:v>20|lower</x:v>
      </x:c>
      <x:c r="B137" s="39" t="str">
        <x:f>'Calc_Monthly'!E128</x:f>
        <x:v>2023-07</x:v>
      </x:c>
      <x:c r="C137" s="73" t="n">
        <x:f>'Calc_Monthly'!K128-'Tested_Results'!T128</x:f>
        <x:v>-9.094947017729282e-13</x:v>
      </x:c>
      <x:c r="D137" s="73" t="n">
        <x:f>'Calc_Monthly'!Q128-'Tested_Results'!F128</x:f>
        <x:v>0</x:v>
      </x:c>
      <x:c r="E137" s="73" t="n">
        <x:f>'Calc_Monthly'!AC128-'Tested_Results'!G128</x:f>
        <x:v>0</x:v>
      </x:c>
      <x:c r="F137" s="73" t="n">
        <x:f>'Calc_Monthly'!AE128-'Tested_Results'!H128</x:f>
        <x:v>0</x:v>
      </x:c>
      <x:c r="G137" s="73" t="n">
        <x:f>'Calc_Monthly'!U128-'Tested_Results'!I128</x:f>
        <x:v>0</x:v>
      </x:c>
      <x:c r="H137" s="73" t="n">
        <x:f>'Calc_Monthly'!AD128-'Tested_Results'!J128</x:f>
        <x:v>0</x:v>
      </x:c>
      <x:c r="I137" s="73" t="n">
        <x:f>'Calc_Monthly'!AF128-'Tested_Results'!K128</x:f>
        <x:v>0</x:v>
      </x:c>
      <x:c r="J137" s="39" t="str">
        <x:f>IF(MAX(ABS(C137),ABS(D137),ABS(E137),ABS(F137),ABS(G137),ABS(H137),ABS(I137))&lt;='Settings_General'!$B$6,"PASS","CHECK")</x:f>
        <x:v>PASS</x:v>
      </x:c>
    </x:row>
    <x:row r="138">
      <x:c r="A138" s="39" t="str">
        <x:f>'Calc_Monthly'!A129</x:f>
        <x:v>20|lower</x:v>
      </x:c>
      <x:c r="B138" s="39" t="str">
        <x:f>'Calc_Monthly'!E129</x:f>
        <x:v>2023-08</x:v>
      </x:c>
      <x:c r="C138" s="73" t="n">
        <x:f>'Calc_Monthly'!K129-'Tested_Results'!T129</x:f>
        <x:v>-9.094947017729282e-13</x:v>
      </x:c>
      <x:c r="D138" s="73" t="n">
        <x:f>'Calc_Monthly'!Q129-'Tested_Results'!F129</x:f>
        <x:v>0</x:v>
      </x:c>
      <x:c r="E138" s="73" t="n">
        <x:f>'Calc_Monthly'!AC129-'Tested_Results'!G129</x:f>
        <x:v>0</x:v>
      </x:c>
      <x:c r="F138" s="73" t="n">
        <x:f>'Calc_Monthly'!AE129-'Tested_Results'!H129</x:f>
        <x:v>0</x:v>
      </x:c>
      <x:c r="G138" s="73" t="n">
        <x:f>'Calc_Monthly'!U129-'Tested_Results'!I129</x:f>
        <x:v>0</x:v>
      </x:c>
      <x:c r="H138" s="73" t="n">
        <x:f>'Calc_Monthly'!AD129-'Tested_Results'!J129</x:f>
        <x:v>0</x:v>
      </x:c>
      <x:c r="I138" s="73" t="n">
        <x:f>'Calc_Monthly'!AF129-'Tested_Results'!K129</x:f>
        <x:v>0</x:v>
      </x:c>
      <x:c r="J138" s="39" t="str">
        <x:f>IF(MAX(ABS(C138),ABS(D138),ABS(E138),ABS(F138),ABS(G138),ABS(H138),ABS(I138))&lt;='Settings_General'!$B$6,"PASS","CHECK")</x:f>
        <x:v>PASS</x:v>
      </x:c>
    </x:row>
    <x:row r="139">
      <x:c r="A139" s="39" t="str">
        <x:f>'Calc_Monthly'!A130</x:f>
        <x:v>20|lower</x:v>
      </x:c>
      <x:c r="B139" s="39" t="str">
        <x:f>'Calc_Monthly'!E130</x:f>
        <x:v>2023-09</x:v>
      </x:c>
      <x:c r="C139" s="73" t="n">
        <x:f>'Calc_Monthly'!K130-'Tested_Results'!T130</x:f>
        <x:v>0</x:v>
      </x:c>
      <x:c r="D139" s="73" t="n">
        <x:f>'Calc_Monthly'!Q130-'Tested_Results'!F130</x:f>
        <x:v>0</x:v>
      </x:c>
      <x:c r="E139" s="73" t="n">
        <x:f>'Calc_Monthly'!AC130-'Tested_Results'!G130</x:f>
        <x:v>0</x:v>
      </x:c>
      <x:c r="F139" s="73" t="n">
        <x:f>'Calc_Monthly'!AE130-'Tested_Results'!H130</x:f>
        <x:v>0</x:v>
      </x:c>
      <x:c r="G139" s="73" t="n">
        <x:f>'Calc_Monthly'!U130-'Tested_Results'!I130</x:f>
        <x:v>0</x:v>
      </x:c>
      <x:c r="H139" s="73" t="n">
        <x:f>'Calc_Monthly'!AD130-'Tested_Results'!J130</x:f>
        <x:v>0</x:v>
      </x:c>
      <x:c r="I139" s="73" t="n">
        <x:f>'Calc_Monthly'!AF130-'Tested_Results'!K130</x:f>
        <x:v>0</x:v>
      </x:c>
      <x:c r="J139" s="39" t="str">
        <x:f>IF(MAX(ABS(C139),ABS(D139),ABS(E139),ABS(F139),ABS(G139),ABS(H139),ABS(I139))&lt;='Settings_General'!$B$6,"PASS","CHECK")</x:f>
        <x:v>PASS</x:v>
      </x:c>
    </x:row>
    <x:row r="140">
      <x:c r="A140" s="39" t="str">
        <x:f>'Calc_Monthly'!A131</x:f>
        <x:v>20|lower</x:v>
      </x:c>
      <x:c r="B140" s="39" t="str">
        <x:f>'Calc_Monthly'!E131</x:f>
        <x:v>2023-10</x:v>
      </x:c>
      <x:c r="C140" s="73" t="n">
        <x:f>'Calc_Monthly'!K131-'Tested_Results'!T131</x:f>
        <x:v>0</x:v>
      </x:c>
      <x:c r="D140" s="73" t="n">
        <x:f>'Calc_Monthly'!Q131-'Tested_Results'!F131</x:f>
        <x:v>0</x:v>
      </x:c>
      <x:c r="E140" s="73" t="n">
        <x:f>'Calc_Monthly'!AC131-'Tested_Results'!G131</x:f>
        <x:v>0</x:v>
      </x:c>
      <x:c r="F140" s="73" t="n">
        <x:f>'Calc_Monthly'!AE131-'Tested_Results'!H131</x:f>
        <x:v>0</x:v>
      </x:c>
      <x:c r="G140" s="73" t="n">
        <x:f>'Calc_Monthly'!U131-'Tested_Results'!I131</x:f>
        <x:v>0</x:v>
      </x:c>
      <x:c r="H140" s="73" t="n">
        <x:f>'Calc_Monthly'!AD131-'Tested_Results'!J131</x:f>
        <x:v>0</x:v>
      </x:c>
      <x:c r="I140" s="73" t="n">
        <x:f>'Calc_Monthly'!AF131-'Tested_Results'!K131</x:f>
        <x:v>0</x:v>
      </x:c>
      <x:c r="J140" s="39" t="str">
        <x:f>IF(MAX(ABS(C140),ABS(D140),ABS(E140),ABS(F140),ABS(G140),ABS(H140),ABS(I140))&lt;='Settings_General'!$B$6,"PASS","CHECK")</x:f>
        <x:v>PASS</x:v>
      </x:c>
    </x:row>
    <x:row r="141">
      <x:c r="A141" s="39" t="str">
        <x:f>'Calc_Monthly'!A132</x:f>
        <x:v>20|lower</x:v>
      </x:c>
      <x:c r="B141" s="39" t="str">
        <x:f>'Calc_Monthly'!E132</x:f>
        <x:v>2023-11</x:v>
      </x:c>
      <x:c r="C141" s="73" t="n">
        <x:f>'Calc_Monthly'!K132-'Tested_Results'!T132</x:f>
        <x:v>0</x:v>
      </x:c>
      <x:c r="D141" s="73" t="n">
        <x:f>'Calc_Monthly'!Q132-'Tested_Results'!F132</x:f>
        <x:v>0</x:v>
      </x:c>
      <x:c r="E141" s="73" t="n">
        <x:f>'Calc_Monthly'!AC132-'Tested_Results'!G132</x:f>
        <x:v>0</x:v>
      </x:c>
      <x:c r="F141" s="73" t="n">
        <x:f>'Calc_Monthly'!AE132-'Tested_Results'!H132</x:f>
        <x:v>0</x:v>
      </x:c>
      <x:c r="G141" s="73" t="n">
        <x:f>'Calc_Monthly'!U132-'Tested_Results'!I132</x:f>
        <x:v>0</x:v>
      </x:c>
      <x:c r="H141" s="73" t="n">
        <x:f>'Calc_Monthly'!AD132-'Tested_Results'!J132</x:f>
        <x:v>0</x:v>
      </x:c>
      <x:c r="I141" s="73" t="n">
        <x:f>'Calc_Monthly'!AF132-'Tested_Results'!K132</x:f>
        <x:v>0</x:v>
      </x:c>
      <x:c r="J141" s="39" t="str">
        <x:f>IF(MAX(ABS(C141),ABS(D141),ABS(E141),ABS(F141),ABS(G141),ABS(H141),ABS(I141))&lt;='Settings_General'!$B$6,"PASS","CHECK")</x:f>
        <x:v>PASS</x:v>
      </x:c>
    </x:row>
    <x:row r="142">
      <x:c r="A142" s="39" t="str">
        <x:f>'Calc_Monthly'!A133</x:f>
        <x:v>20|lower</x:v>
      </x:c>
      <x:c r="B142" s="39" t="str">
        <x:f>'Calc_Monthly'!E133</x:f>
        <x:v>2023-12</x:v>
      </x:c>
      <x:c r="C142" s="73" t="n">
        <x:f>'Calc_Monthly'!K133-'Tested_Results'!T133</x:f>
        <x:v>0</x:v>
      </x:c>
      <x:c r="D142" s="73" t="n">
        <x:f>'Calc_Monthly'!Q133-'Tested_Results'!F133</x:f>
        <x:v>0</x:v>
      </x:c>
      <x:c r="E142" s="73" t="n">
        <x:f>'Calc_Monthly'!AC133-'Tested_Results'!G133</x:f>
        <x:v>0</x:v>
      </x:c>
      <x:c r="F142" s="73" t="n">
        <x:f>'Calc_Monthly'!AE133-'Tested_Results'!H133</x:f>
        <x:v>0</x:v>
      </x:c>
      <x:c r="G142" s="73" t="n">
        <x:f>'Calc_Monthly'!U133-'Tested_Results'!I133</x:f>
        <x:v>0</x:v>
      </x:c>
      <x:c r="H142" s="73" t="n">
        <x:f>'Calc_Monthly'!AD133-'Tested_Results'!J133</x:f>
        <x:v>0</x:v>
      </x:c>
      <x:c r="I142" s="73" t="n">
        <x:f>'Calc_Monthly'!AF133-'Tested_Results'!K133</x:f>
        <x:v>0</x:v>
      </x:c>
      <x:c r="J142" s="39" t="str">
        <x:f>IF(MAX(ABS(C142),ABS(D142),ABS(E142),ABS(F142),ABS(G142),ABS(H142),ABS(I142))&lt;='Settings_General'!$B$6,"PASS","CHECK")</x:f>
        <x:v>PASS</x:v>
      </x:c>
    </x:row>
    <x:row r="143">
      <x:c r="A143" s="39" t="str">
        <x:f>'Calc_Monthly'!A134</x:f>
        <x:v>20|upper</x:v>
      </x:c>
      <x:c r="B143" s="39" t="str">
        <x:f>'Calc_Monthly'!E134</x:f>
        <x:v>2023-01</x:v>
      </x:c>
      <x:c r="C143" s="73" t="n">
        <x:f>'Calc_Monthly'!K134-'Tested_Results'!T134</x:f>
        <x:v>0</x:v>
      </x:c>
      <x:c r="D143" s="73" t="n">
        <x:f>'Calc_Monthly'!Q134-'Tested_Results'!F134</x:f>
        <x:v>0</x:v>
      </x:c>
      <x:c r="E143" s="73" t="n">
        <x:f>'Calc_Monthly'!AC134-'Tested_Results'!G134</x:f>
        <x:v>0</x:v>
      </x:c>
      <x:c r="F143" s="73" t="n">
        <x:f>'Calc_Monthly'!AE134-'Tested_Results'!H134</x:f>
        <x:v>0</x:v>
      </x:c>
      <x:c r="G143" s="73" t="n">
        <x:f>'Calc_Monthly'!U134-'Tested_Results'!I134</x:f>
        <x:v>0</x:v>
      </x:c>
      <x:c r="H143" s="73" t="n">
        <x:f>'Calc_Monthly'!AD134-'Tested_Results'!J134</x:f>
        <x:v>0</x:v>
      </x:c>
      <x:c r="I143" s="73" t="n">
        <x:f>'Calc_Monthly'!AF134-'Tested_Results'!K134</x:f>
        <x:v>0</x:v>
      </x:c>
      <x:c r="J143" s="39" t="str">
        <x:f>IF(MAX(ABS(C143),ABS(D143),ABS(E143),ABS(F143),ABS(G143),ABS(H143),ABS(I143))&lt;='Settings_General'!$B$6,"PASS","CHECK")</x:f>
        <x:v>PASS</x:v>
      </x:c>
    </x:row>
    <x:row r="144">
      <x:c r="A144" s="39" t="str">
        <x:f>'Calc_Monthly'!A135</x:f>
        <x:v>20|upper</x:v>
      </x:c>
      <x:c r="B144" s="39" t="str">
        <x:f>'Calc_Monthly'!E135</x:f>
        <x:v>2023-02</x:v>
      </x:c>
      <x:c r="C144" s="73" t="n">
        <x:f>'Calc_Monthly'!K135-'Tested_Results'!T135</x:f>
        <x:v>0</x:v>
      </x:c>
      <x:c r="D144" s="73" t="n">
        <x:f>'Calc_Monthly'!Q135-'Tested_Results'!F135</x:f>
        <x:v>0</x:v>
      </x:c>
      <x:c r="E144" s="73" t="n">
        <x:f>'Calc_Monthly'!AC135-'Tested_Results'!G135</x:f>
        <x:v>0</x:v>
      </x:c>
      <x:c r="F144" s="73" t="n">
        <x:f>'Calc_Monthly'!AE135-'Tested_Results'!H135</x:f>
        <x:v>0</x:v>
      </x:c>
      <x:c r="G144" s="73" t="n">
        <x:f>'Calc_Monthly'!U135-'Tested_Results'!I135</x:f>
        <x:v>0</x:v>
      </x:c>
      <x:c r="H144" s="73" t="n">
        <x:f>'Calc_Monthly'!AD135-'Tested_Results'!J135</x:f>
        <x:v>0</x:v>
      </x:c>
      <x:c r="I144" s="73" t="n">
        <x:f>'Calc_Monthly'!AF135-'Tested_Results'!K135</x:f>
        <x:v>0</x:v>
      </x:c>
      <x:c r="J144" s="39" t="str">
        <x:f>IF(MAX(ABS(C144),ABS(D144),ABS(E144),ABS(F144),ABS(G144),ABS(H144),ABS(I144))&lt;='Settings_General'!$B$6,"PASS","CHECK")</x:f>
        <x:v>PASS</x:v>
      </x:c>
    </x:row>
    <x:row r="145">
      <x:c r="A145" s="39" t="str">
        <x:f>'Calc_Monthly'!A136</x:f>
        <x:v>20|upper</x:v>
      </x:c>
      <x:c r="B145" s="39" t="str">
        <x:f>'Calc_Monthly'!E136</x:f>
        <x:v>2023-03</x:v>
      </x:c>
      <x:c r="C145" s="73" t="n">
        <x:f>'Calc_Monthly'!K136-'Tested_Results'!T136</x:f>
        <x:v>0</x:v>
      </x:c>
      <x:c r="D145" s="73" t="n">
        <x:f>'Calc_Monthly'!Q136-'Tested_Results'!F136</x:f>
        <x:v>0</x:v>
      </x:c>
      <x:c r="E145" s="73" t="n">
        <x:f>'Calc_Monthly'!AC136-'Tested_Results'!G136</x:f>
        <x:v>0</x:v>
      </x:c>
      <x:c r="F145" s="73" t="n">
        <x:f>'Calc_Monthly'!AE136-'Tested_Results'!H136</x:f>
        <x:v>0</x:v>
      </x:c>
      <x:c r="G145" s="73" t="n">
        <x:f>'Calc_Monthly'!U136-'Tested_Results'!I136</x:f>
        <x:v>0</x:v>
      </x:c>
      <x:c r="H145" s="73" t="n">
        <x:f>'Calc_Monthly'!AD136-'Tested_Results'!J136</x:f>
        <x:v>0</x:v>
      </x:c>
      <x:c r="I145" s="73" t="n">
        <x:f>'Calc_Monthly'!AF136-'Tested_Results'!K136</x:f>
        <x:v>0</x:v>
      </x:c>
      <x:c r="J145" s="39" t="str">
        <x:f>IF(MAX(ABS(C145),ABS(D145),ABS(E145),ABS(F145),ABS(G145),ABS(H145),ABS(I145))&lt;='Settings_General'!$B$6,"PASS","CHECK")</x:f>
        <x:v>PASS</x:v>
      </x:c>
    </x:row>
    <x:row r="146">
      <x:c r="A146" s="39" t="str">
        <x:f>'Calc_Monthly'!A137</x:f>
        <x:v>20|upper</x:v>
      </x:c>
      <x:c r="B146" s="39" t="str">
        <x:f>'Calc_Monthly'!E137</x:f>
        <x:v>2023-04</x:v>
      </x:c>
      <x:c r="C146" s="73" t="n">
        <x:f>'Calc_Monthly'!K137-'Tested_Results'!T137</x:f>
        <x:v>0</x:v>
      </x:c>
      <x:c r="D146" s="73" t="n">
        <x:f>'Calc_Monthly'!Q137-'Tested_Results'!F137</x:f>
        <x:v>0</x:v>
      </x:c>
      <x:c r="E146" s="73" t="n">
        <x:f>'Calc_Monthly'!AC137-'Tested_Results'!G137</x:f>
        <x:v>0</x:v>
      </x:c>
      <x:c r="F146" s="73" t="n">
        <x:f>'Calc_Monthly'!AE137-'Tested_Results'!H137</x:f>
        <x:v>0</x:v>
      </x:c>
      <x:c r="G146" s="73" t="n">
        <x:f>'Calc_Monthly'!U137-'Tested_Results'!I137</x:f>
        <x:v>0</x:v>
      </x:c>
      <x:c r="H146" s="73" t="n">
        <x:f>'Calc_Monthly'!AD137-'Tested_Results'!J137</x:f>
        <x:v>0</x:v>
      </x:c>
      <x:c r="I146" s="73" t="n">
        <x:f>'Calc_Monthly'!AF137-'Tested_Results'!K137</x:f>
        <x:v>0</x:v>
      </x:c>
      <x:c r="J146" s="39" t="str">
        <x:f>IF(MAX(ABS(C146),ABS(D146),ABS(E146),ABS(F146),ABS(G146),ABS(H146),ABS(I146))&lt;='Settings_General'!$B$6,"PASS","CHECK")</x:f>
        <x:v>PASS</x:v>
      </x:c>
    </x:row>
    <x:row r="147">
      <x:c r="A147" s="39" t="str">
        <x:f>'Calc_Monthly'!A138</x:f>
        <x:v>20|upper</x:v>
      </x:c>
      <x:c r="B147" s="39" t="str">
        <x:f>'Calc_Monthly'!E138</x:f>
        <x:v>2023-05</x:v>
      </x:c>
      <x:c r="C147" s="73" t="n">
        <x:f>'Calc_Monthly'!K138-'Tested_Results'!T138</x:f>
        <x:v>1.4551915228366852e-11</x:v>
      </x:c>
      <x:c r="D147" s="73" t="n">
        <x:f>'Calc_Monthly'!Q138-'Tested_Results'!F138</x:f>
        <x:v>0</x:v>
      </x:c>
      <x:c r="E147" s="73" t="n">
        <x:f>'Calc_Monthly'!AC138-'Tested_Results'!G138</x:f>
        <x:v>0</x:v>
      </x:c>
      <x:c r="F147" s="73" t="n">
        <x:f>'Calc_Monthly'!AE138-'Tested_Results'!H138</x:f>
        <x:v>0</x:v>
      </x:c>
      <x:c r="G147" s="73" t="n">
        <x:f>'Calc_Monthly'!U138-'Tested_Results'!I138</x:f>
        <x:v>0</x:v>
      </x:c>
      <x:c r="H147" s="73" t="n">
        <x:f>'Calc_Monthly'!AD138-'Tested_Results'!J138</x:f>
        <x:v>0</x:v>
      </x:c>
      <x:c r="I147" s="73" t="n">
        <x:f>'Calc_Monthly'!AF138-'Tested_Results'!K138</x:f>
        <x:v>0</x:v>
      </x:c>
      <x:c r="J147" s="39" t="str">
        <x:f>IF(MAX(ABS(C147),ABS(D147),ABS(E147),ABS(F147),ABS(G147),ABS(H147),ABS(I147))&lt;='Settings_General'!$B$6,"PASS","CHECK")</x:f>
        <x:v>PASS</x:v>
      </x:c>
    </x:row>
    <x:row r="148">
      <x:c r="A148" s="39" t="str">
        <x:f>'Calc_Monthly'!A139</x:f>
        <x:v>20|upper</x:v>
      </x:c>
      <x:c r="B148" s="39" t="str">
        <x:f>'Calc_Monthly'!E139</x:f>
        <x:v>2023-06</x:v>
      </x:c>
      <x:c r="C148" s="73" t="n">
        <x:f>'Calc_Monthly'!K139-'Tested_Results'!T139</x:f>
        <x:v>0</x:v>
      </x:c>
      <x:c r="D148" s="73" t="n">
        <x:f>'Calc_Monthly'!Q139-'Tested_Results'!F139</x:f>
        <x:v>0</x:v>
      </x:c>
      <x:c r="E148" s="73" t="n">
        <x:f>'Calc_Monthly'!AC139-'Tested_Results'!G139</x:f>
        <x:v>0</x:v>
      </x:c>
      <x:c r="F148" s="73" t="n">
        <x:f>'Calc_Monthly'!AE139-'Tested_Results'!H139</x:f>
        <x:v>0</x:v>
      </x:c>
      <x:c r="G148" s="73" t="n">
        <x:f>'Calc_Monthly'!U139-'Tested_Results'!I139</x:f>
        <x:v>0</x:v>
      </x:c>
      <x:c r="H148" s="73" t="n">
        <x:f>'Calc_Monthly'!AD139-'Tested_Results'!J139</x:f>
        <x:v>0</x:v>
      </x:c>
      <x:c r="I148" s="73" t="n">
        <x:f>'Calc_Monthly'!AF139-'Tested_Results'!K139</x:f>
        <x:v>0</x:v>
      </x:c>
      <x:c r="J148" s="39" t="str">
        <x:f>IF(MAX(ABS(C148),ABS(D148),ABS(E148),ABS(F148),ABS(G148),ABS(H148),ABS(I148))&lt;='Settings_General'!$B$6,"PASS","CHECK")</x:f>
        <x:v>PASS</x:v>
      </x:c>
    </x:row>
    <x:row r="149">
      <x:c r="A149" s="39" t="str">
        <x:f>'Calc_Monthly'!A140</x:f>
        <x:v>20|upper</x:v>
      </x:c>
      <x:c r="B149" s="39" t="str">
        <x:f>'Calc_Monthly'!E140</x:f>
        <x:v>2023-07</x:v>
      </x:c>
      <x:c r="C149" s="73" t="n">
        <x:f>'Calc_Monthly'!K140-'Tested_Results'!T140</x:f>
        <x:v>-7.275957614183426e-12</x:v>
      </x:c>
      <x:c r="D149" s="73" t="n">
        <x:f>'Calc_Monthly'!Q140-'Tested_Results'!F140</x:f>
        <x:v>0</x:v>
      </x:c>
      <x:c r="E149" s="73" t="n">
        <x:f>'Calc_Monthly'!AC140-'Tested_Results'!G140</x:f>
        <x:v>0</x:v>
      </x:c>
      <x:c r="F149" s="73" t="n">
        <x:f>'Calc_Monthly'!AE140-'Tested_Results'!H140</x:f>
        <x:v>0</x:v>
      </x:c>
      <x:c r="G149" s="73" t="n">
        <x:f>'Calc_Monthly'!U140-'Tested_Results'!I140</x:f>
        <x:v>0</x:v>
      </x:c>
      <x:c r="H149" s="73" t="n">
        <x:f>'Calc_Monthly'!AD140-'Tested_Results'!J140</x:f>
        <x:v>0</x:v>
      </x:c>
      <x:c r="I149" s="73" t="n">
        <x:f>'Calc_Monthly'!AF140-'Tested_Results'!K140</x:f>
        <x:v>0</x:v>
      </x:c>
      <x:c r="J149" s="39" t="str">
        <x:f>IF(MAX(ABS(C149),ABS(D149),ABS(E149),ABS(F149),ABS(G149),ABS(H149),ABS(I149))&lt;='Settings_General'!$B$6,"PASS","CHECK")</x:f>
        <x:v>PASS</x:v>
      </x:c>
    </x:row>
    <x:row r="150">
      <x:c r="A150" s="39" t="str">
        <x:f>'Calc_Monthly'!A141</x:f>
        <x:v>20|upper</x:v>
      </x:c>
      <x:c r="B150" s="39" t="str">
        <x:f>'Calc_Monthly'!E141</x:f>
        <x:v>2023-08</x:v>
      </x:c>
      <x:c r="C150" s="73" t="n">
        <x:f>'Calc_Monthly'!K141-'Tested_Results'!T141</x:f>
        <x:v>0</x:v>
      </x:c>
      <x:c r="D150" s="73" t="n">
        <x:f>'Calc_Monthly'!Q141-'Tested_Results'!F141</x:f>
        <x:v>0</x:v>
      </x:c>
      <x:c r="E150" s="73" t="n">
        <x:f>'Calc_Monthly'!AC141-'Tested_Results'!G141</x:f>
        <x:v>0</x:v>
      </x:c>
      <x:c r="F150" s="73" t="n">
        <x:f>'Calc_Monthly'!AE141-'Tested_Results'!H141</x:f>
        <x:v>0</x:v>
      </x:c>
      <x:c r="G150" s="73" t="n">
        <x:f>'Calc_Monthly'!U141-'Tested_Results'!I141</x:f>
        <x:v>0</x:v>
      </x:c>
      <x:c r="H150" s="73" t="n">
        <x:f>'Calc_Monthly'!AD141-'Tested_Results'!J141</x:f>
        <x:v>0</x:v>
      </x:c>
      <x:c r="I150" s="73" t="n">
        <x:f>'Calc_Monthly'!AF141-'Tested_Results'!K141</x:f>
        <x:v>0</x:v>
      </x:c>
      <x:c r="J150" s="39" t="str">
        <x:f>IF(MAX(ABS(C150),ABS(D150),ABS(E150),ABS(F150),ABS(G150),ABS(H150),ABS(I150))&lt;='Settings_General'!$B$6,"PASS","CHECK")</x:f>
        <x:v>PASS</x:v>
      </x:c>
    </x:row>
    <x:row r="151">
      <x:c r="A151" s="39" t="str">
        <x:f>'Calc_Monthly'!A142</x:f>
        <x:v>20|upper</x:v>
      </x:c>
      <x:c r="B151" s="39" t="str">
        <x:f>'Calc_Monthly'!E142</x:f>
        <x:v>2023-09</x:v>
      </x:c>
      <x:c r="C151" s="73" t="n">
        <x:f>'Calc_Monthly'!K142-'Tested_Results'!T142</x:f>
        <x:v>0</x:v>
      </x:c>
      <x:c r="D151" s="73" t="n">
        <x:f>'Calc_Monthly'!Q142-'Tested_Results'!F142</x:f>
        <x:v>0</x:v>
      </x:c>
      <x:c r="E151" s="73" t="n">
        <x:f>'Calc_Monthly'!AC142-'Tested_Results'!G142</x:f>
        <x:v>0</x:v>
      </x:c>
      <x:c r="F151" s="73" t="n">
        <x:f>'Calc_Monthly'!AE142-'Tested_Results'!H142</x:f>
        <x:v>0</x:v>
      </x:c>
      <x:c r="G151" s="73" t="n">
        <x:f>'Calc_Monthly'!U142-'Tested_Results'!I142</x:f>
        <x:v>0</x:v>
      </x:c>
      <x:c r="H151" s="73" t="n">
        <x:f>'Calc_Monthly'!AD142-'Tested_Results'!J142</x:f>
        <x:v>0</x:v>
      </x:c>
      <x:c r="I151" s="73" t="n">
        <x:f>'Calc_Monthly'!AF142-'Tested_Results'!K142</x:f>
        <x:v>0</x:v>
      </x:c>
      <x:c r="J151" s="39" t="str">
        <x:f>IF(MAX(ABS(C151),ABS(D151),ABS(E151),ABS(F151),ABS(G151),ABS(H151),ABS(I151))&lt;='Settings_General'!$B$6,"PASS","CHECK")</x:f>
        <x:v>PASS</x:v>
      </x:c>
    </x:row>
    <x:row r="152">
      <x:c r="A152" s="39" t="str">
        <x:f>'Calc_Monthly'!A143</x:f>
        <x:v>20|upper</x:v>
      </x:c>
      <x:c r="B152" s="39" t="str">
        <x:f>'Calc_Monthly'!E143</x:f>
        <x:v>2023-10</x:v>
      </x:c>
      <x:c r="C152" s="73" t="n">
        <x:f>'Calc_Monthly'!K143-'Tested_Results'!T143</x:f>
        <x:v>0</x:v>
      </x:c>
      <x:c r="D152" s="73" t="n">
        <x:f>'Calc_Monthly'!Q143-'Tested_Results'!F143</x:f>
        <x:v>0</x:v>
      </x:c>
      <x:c r="E152" s="73" t="n">
        <x:f>'Calc_Monthly'!AC143-'Tested_Results'!G143</x:f>
        <x:v>0</x:v>
      </x:c>
      <x:c r="F152" s="73" t="n">
        <x:f>'Calc_Monthly'!AE143-'Tested_Results'!H143</x:f>
        <x:v>0</x:v>
      </x:c>
      <x:c r="G152" s="73" t="n">
        <x:f>'Calc_Monthly'!U143-'Tested_Results'!I143</x:f>
        <x:v>0</x:v>
      </x:c>
      <x:c r="H152" s="73" t="n">
        <x:f>'Calc_Monthly'!AD143-'Tested_Results'!J143</x:f>
        <x:v>0</x:v>
      </x:c>
      <x:c r="I152" s="73" t="n">
        <x:f>'Calc_Monthly'!AF143-'Tested_Results'!K143</x:f>
        <x:v>0</x:v>
      </x:c>
      <x:c r="J152" s="39" t="str">
        <x:f>IF(MAX(ABS(C152),ABS(D152),ABS(E152),ABS(F152),ABS(G152),ABS(H152),ABS(I152))&lt;='Settings_General'!$B$6,"PASS","CHECK")</x:f>
        <x:v>PASS</x:v>
      </x:c>
    </x:row>
    <x:row r="153">
      <x:c r="A153" s="39" t="str">
        <x:f>'Calc_Monthly'!A144</x:f>
        <x:v>20|upper</x:v>
      </x:c>
      <x:c r="B153" s="39" t="str">
        <x:f>'Calc_Monthly'!E144</x:f>
        <x:v>2023-11</x:v>
      </x:c>
      <x:c r="C153" s="73" t="n">
        <x:f>'Calc_Monthly'!K144-'Tested_Results'!T144</x:f>
        <x:v>1.8189894035458565e-12</x:v>
      </x:c>
      <x:c r="D153" s="73" t="n">
        <x:f>'Calc_Monthly'!Q144-'Tested_Results'!F144</x:f>
        <x:v>0</x:v>
      </x:c>
      <x:c r="E153" s="73" t="n">
        <x:f>'Calc_Monthly'!AC144-'Tested_Results'!G144</x:f>
        <x:v>0</x:v>
      </x:c>
      <x:c r="F153" s="73" t="n">
        <x:f>'Calc_Monthly'!AE144-'Tested_Results'!H144</x:f>
        <x:v>0</x:v>
      </x:c>
      <x:c r="G153" s="73" t="n">
        <x:f>'Calc_Monthly'!U144-'Tested_Results'!I144</x:f>
        <x:v>0</x:v>
      </x:c>
      <x:c r="H153" s="73" t="n">
        <x:f>'Calc_Monthly'!AD144-'Tested_Results'!J144</x:f>
        <x:v>0</x:v>
      </x:c>
      <x:c r="I153" s="73" t="n">
        <x:f>'Calc_Monthly'!AF144-'Tested_Results'!K144</x:f>
        <x:v>0</x:v>
      </x:c>
      <x:c r="J153" s="39" t="str">
        <x:f>IF(MAX(ABS(C153),ABS(D153),ABS(E153),ABS(F153),ABS(G153),ABS(H153),ABS(I153))&lt;='Settings_General'!$B$6,"PASS","CHECK")</x:f>
        <x:v>PASS</x:v>
      </x:c>
    </x:row>
    <x:row r="154">
      <x:c r="A154" s="39" t="str">
        <x:f>'Calc_Monthly'!A145</x:f>
        <x:v>20|upper</x:v>
      </x:c>
      <x:c r="B154" s="39" t="str">
        <x:f>'Calc_Monthly'!E145</x:f>
        <x:v>2023-12</x:v>
      </x:c>
      <x:c r="C154" s="73" t="n">
        <x:f>'Calc_Monthly'!K145-'Tested_Results'!T145</x:f>
        <x:v>1.8189894035458565e-12</x:v>
      </x:c>
      <x:c r="D154" s="73" t="n">
        <x:f>'Calc_Monthly'!Q145-'Tested_Results'!F145</x:f>
        <x:v>0</x:v>
      </x:c>
      <x:c r="E154" s="73" t="n">
        <x:f>'Calc_Monthly'!AC145-'Tested_Results'!G145</x:f>
        <x:v>0</x:v>
      </x:c>
      <x:c r="F154" s="73" t="n">
        <x:f>'Calc_Monthly'!AE145-'Tested_Results'!H145</x:f>
        <x:v>0</x:v>
      </x:c>
      <x:c r="G154" s="73" t="n">
        <x:f>'Calc_Monthly'!U145-'Tested_Results'!I145</x:f>
        <x:v>0</x:v>
      </x:c>
      <x:c r="H154" s="73" t="n">
        <x:f>'Calc_Monthly'!AD145-'Tested_Results'!J145</x:f>
        <x:v>0</x:v>
      </x:c>
      <x:c r="I154" s="73" t="n">
        <x:f>'Calc_Monthly'!AF145-'Tested_Results'!K145</x:f>
        <x:v>0</x:v>
      </x:c>
      <x:c r="J154" s="39" t="str">
        <x:f>IF(MAX(ABS(C154),ABS(D154),ABS(E154),ABS(F154),ABS(G154),ABS(H154),ABS(I154))&lt;='Settings_General'!$B$6,"PASS","CHECK")</x:f>
        <x:v>PASS</x:v>
      </x:c>
    </x:row>
    <x:row r="155">
      <x:c r="A155" s="39" t="str">
        <x:f>'Calc_Monthly'!A146</x:f>
        <x:v>21|aggregate</x:v>
      </x:c>
      <x:c r="B155" s="39" t="str">
        <x:f>'Calc_Monthly'!E146</x:f>
        <x:v>2023-01</x:v>
      </x:c>
      <x:c r="C155" s="73" t="n">
        <x:f>'Calc_Monthly'!K146-'Tested_Results'!T146</x:f>
        <x:v>0</x:v>
      </x:c>
      <x:c r="D155" s="73" t="n">
        <x:f>'Calc_Monthly'!Q146-'Tested_Results'!F146</x:f>
        <x:v>0</x:v>
      </x:c>
      <x:c r="E155" s="73" t="n">
        <x:f>'Calc_Monthly'!AC146-'Tested_Results'!G146</x:f>
        <x:v>0</x:v>
      </x:c>
      <x:c r="F155" s="73" t="n">
        <x:f>'Calc_Monthly'!AE146-'Tested_Results'!H146</x:f>
        <x:v>0</x:v>
      </x:c>
      <x:c r="G155" s="73" t="n">
        <x:f>'Calc_Monthly'!U146-'Tested_Results'!I146</x:f>
        <x:v>0</x:v>
      </x:c>
      <x:c r="H155" s="73" t="n">
        <x:f>'Calc_Monthly'!AD146-'Tested_Results'!J146</x:f>
        <x:v>0</x:v>
      </x:c>
      <x:c r="I155" s="73" t="n">
        <x:f>'Calc_Monthly'!AF146-'Tested_Results'!K146</x:f>
        <x:v>0</x:v>
      </x:c>
      <x:c r="J155" s="39" t="str">
        <x:f>IF(MAX(ABS(C155),ABS(D155),ABS(E155),ABS(F155),ABS(G155),ABS(H155),ABS(I155))&lt;='Settings_General'!$B$6,"PASS","CHECK")</x:f>
        <x:v>PASS</x:v>
      </x:c>
    </x:row>
    <x:row r="156">
      <x:c r="A156" s="39" t="str">
        <x:f>'Calc_Monthly'!A147</x:f>
        <x:v>21|aggregate</x:v>
      </x:c>
      <x:c r="B156" s="39" t="str">
        <x:f>'Calc_Monthly'!E147</x:f>
        <x:v>2023-02</x:v>
      </x:c>
      <x:c r="C156" s="73" t="n">
        <x:f>'Calc_Monthly'!K147-'Tested_Results'!T147</x:f>
        <x:v>7.275957614183426e-12</x:v>
      </x:c>
      <x:c r="D156" s="73" t="n">
        <x:f>'Calc_Monthly'!Q147-'Tested_Results'!F147</x:f>
        <x:v>0</x:v>
      </x:c>
      <x:c r="E156" s="73" t="n">
        <x:f>'Calc_Monthly'!AC147-'Tested_Results'!G147</x:f>
        <x:v>0</x:v>
      </x:c>
      <x:c r="F156" s="73" t="n">
        <x:f>'Calc_Monthly'!AE147-'Tested_Results'!H147</x:f>
        <x:v>0</x:v>
      </x:c>
      <x:c r="G156" s="73" t="n">
        <x:f>'Calc_Monthly'!U147-'Tested_Results'!I147</x:f>
        <x:v>0</x:v>
      </x:c>
      <x:c r="H156" s="73" t="n">
        <x:f>'Calc_Monthly'!AD147-'Tested_Results'!J147</x:f>
        <x:v>0</x:v>
      </x:c>
      <x:c r="I156" s="73" t="n">
        <x:f>'Calc_Monthly'!AF147-'Tested_Results'!K147</x:f>
        <x:v>0</x:v>
      </x:c>
      <x:c r="J156" s="39" t="str">
        <x:f>IF(MAX(ABS(C156),ABS(D156),ABS(E156),ABS(F156),ABS(G156),ABS(H156),ABS(I156))&lt;='Settings_General'!$B$6,"PASS","CHECK")</x:f>
        <x:v>PASS</x:v>
      </x:c>
    </x:row>
    <x:row r="157">
      <x:c r="A157" s="39" t="str">
        <x:f>'Calc_Monthly'!A148</x:f>
        <x:v>21|aggregate</x:v>
      </x:c>
      <x:c r="B157" s="39" t="str">
        <x:f>'Calc_Monthly'!E148</x:f>
        <x:v>2023-03</x:v>
      </x:c>
      <x:c r="C157" s="73" t="n">
        <x:f>'Calc_Monthly'!K148-'Tested_Results'!T148</x:f>
        <x:v>0</x:v>
      </x:c>
      <x:c r="D157" s="73" t="n">
        <x:f>'Calc_Monthly'!Q148-'Tested_Results'!F148</x:f>
        <x:v>0</x:v>
      </x:c>
      <x:c r="E157" s="73" t="n">
        <x:f>'Calc_Monthly'!AC148-'Tested_Results'!G148</x:f>
        <x:v>0</x:v>
      </x:c>
      <x:c r="F157" s="73" t="n">
        <x:f>'Calc_Monthly'!AE148-'Tested_Results'!H148</x:f>
        <x:v>0</x:v>
      </x:c>
      <x:c r="G157" s="73" t="n">
        <x:f>'Calc_Monthly'!U148-'Tested_Results'!I148</x:f>
        <x:v>0</x:v>
      </x:c>
      <x:c r="H157" s="73" t="n">
        <x:f>'Calc_Monthly'!AD148-'Tested_Results'!J148</x:f>
        <x:v>0</x:v>
      </x:c>
      <x:c r="I157" s="73" t="n">
        <x:f>'Calc_Monthly'!AF148-'Tested_Results'!K148</x:f>
        <x:v>0</x:v>
      </x:c>
      <x:c r="J157" s="39" t="str">
        <x:f>IF(MAX(ABS(C157),ABS(D157),ABS(E157),ABS(F157),ABS(G157),ABS(H157),ABS(I157))&lt;='Settings_General'!$B$6,"PASS","CHECK")</x:f>
        <x:v>PASS</x:v>
      </x:c>
    </x:row>
    <x:row r="158">
      <x:c r="A158" s="39" t="str">
        <x:f>'Calc_Monthly'!A149</x:f>
        <x:v>21|aggregate</x:v>
      </x:c>
      <x:c r="B158" s="39" t="str">
        <x:f>'Calc_Monthly'!E149</x:f>
        <x:v>2023-04</x:v>
      </x:c>
      <x:c r="C158" s="73" t="n">
        <x:f>'Calc_Monthly'!K149-'Tested_Results'!T149</x:f>
        <x:v>-1.4551915228366852e-11</x:v>
      </x:c>
      <x:c r="D158" s="73" t="n">
        <x:f>'Calc_Monthly'!Q149-'Tested_Results'!F149</x:f>
        <x:v>-2.9103830456733704e-11</x:v>
      </x:c>
      <x:c r="E158" s="73" t="n">
        <x:f>'Calc_Monthly'!AC149-'Tested_Results'!G149</x:f>
        <x:v>0</x:v>
      </x:c>
      <x:c r="F158" s="73" t="n">
        <x:f>'Calc_Monthly'!AE149-'Tested_Results'!H149</x:f>
        <x:v>-2.9103830456733704e-11</x:v>
      </x:c>
      <x:c r="G158" s="73" t="n">
        <x:f>'Calc_Monthly'!U149-'Tested_Results'!I149</x:f>
        <x:v>0</x:v>
      </x:c>
      <x:c r="H158" s="73" t="n">
        <x:f>'Calc_Monthly'!AD149-'Tested_Results'!J149</x:f>
        <x:v>0</x:v>
      </x:c>
      <x:c r="I158" s="73" t="n">
        <x:f>'Calc_Monthly'!AF149-'Tested_Results'!K149</x:f>
        <x:v>0</x:v>
      </x:c>
      <x:c r="J158" s="39" t="str">
        <x:f>IF(MAX(ABS(C158),ABS(D158),ABS(E158),ABS(F158),ABS(G158),ABS(H158),ABS(I158))&lt;='Settings_General'!$B$6,"PASS","CHECK")</x:f>
        <x:v>PASS</x:v>
      </x:c>
    </x:row>
    <x:row r="159">
      <x:c r="A159" s="39" t="str">
        <x:f>'Calc_Monthly'!A150</x:f>
        <x:v>21|aggregate</x:v>
      </x:c>
      <x:c r="B159" s="39" t="str">
        <x:f>'Calc_Monthly'!E150</x:f>
        <x:v>2023-05</x:v>
      </x:c>
      <x:c r="C159" s="73" t="n">
        <x:f>'Calc_Monthly'!K150-'Tested_Results'!T150</x:f>
        <x:v>0</x:v>
      </x:c>
      <x:c r="D159" s="73" t="n">
        <x:f>'Calc_Monthly'!Q150-'Tested_Results'!F150</x:f>
        <x:v>0</x:v>
      </x:c>
      <x:c r="E159" s="73" t="n">
        <x:f>'Calc_Monthly'!AC150-'Tested_Results'!G150</x:f>
        <x:v>0</x:v>
      </x:c>
      <x:c r="F159" s="73" t="n">
        <x:f>'Calc_Monthly'!AE150-'Tested_Results'!H150</x:f>
        <x:v>0</x:v>
      </x:c>
      <x:c r="G159" s="73" t="n">
        <x:f>'Calc_Monthly'!U150-'Tested_Results'!I150</x:f>
        <x:v>0</x:v>
      </x:c>
      <x:c r="H159" s="73" t="n">
        <x:f>'Calc_Monthly'!AD150-'Tested_Results'!J150</x:f>
        <x:v>0</x:v>
      </x:c>
      <x:c r="I159" s="73" t="n">
        <x:f>'Calc_Monthly'!AF150-'Tested_Results'!K150</x:f>
        <x:v>0</x:v>
      </x:c>
      <x:c r="J159" s="39" t="str">
        <x:f>IF(MAX(ABS(C159),ABS(D159),ABS(E159),ABS(F159),ABS(G159),ABS(H159),ABS(I159))&lt;='Settings_General'!$B$6,"PASS","CHECK")</x:f>
        <x:v>PASS</x:v>
      </x:c>
    </x:row>
    <x:row r="160">
      <x:c r="A160" s="39" t="str">
        <x:f>'Calc_Monthly'!A151</x:f>
        <x:v>21|aggregate</x:v>
      </x:c>
      <x:c r="B160" s="39" t="str">
        <x:f>'Calc_Monthly'!E151</x:f>
        <x:v>2023-06</x:v>
      </x:c>
      <x:c r="C160" s="73" t="n">
        <x:f>'Calc_Monthly'!K151-'Tested_Results'!T151</x:f>
        <x:v>-2.9103830456733704e-11</x:v>
      </x:c>
      <x:c r="D160" s="73" t="n">
        <x:f>'Calc_Monthly'!Q151-'Tested_Results'!F151</x:f>
        <x:v>0</x:v>
      </x:c>
      <x:c r="E160" s="73" t="n">
        <x:f>'Calc_Monthly'!AC151-'Tested_Results'!G151</x:f>
        <x:v>0</x:v>
      </x:c>
      <x:c r="F160" s="73" t="n">
        <x:f>'Calc_Monthly'!AE151-'Tested_Results'!H151</x:f>
        <x:v>0</x:v>
      </x:c>
      <x:c r="G160" s="73" t="n">
        <x:f>'Calc_Monthly'!U151-'Tested_Results'!I151</x:f>
        <x:v>0</x:v>
      </x:c>
      <x:c r="H160" s="73" t="n">
        <x:f>'Calc_Monthly'!AD151-'Tested_Results'!J151</x:f>
        <x:v>0</x:v>
      </x:c>
      <x:c r="I160" s="73" t="n">
        <x:f>'Calc_Monthly'!AF151-'Tested_Results'!K151</x:f>
        <x:v>0</x:v>
      </x:c>
      <x:c r="J160" s="39" t="str">
        <x:f>IF(MAX(ABS(C160),ABS(D160),ABS(E160),ABS(F160),ABS(G160),ABS(H160),ABS(I160))&lt;='Settings_General'!$B$6,"PASS","CHECK")</x:f>
        <x:v>PASS</x:v>
      </x:c>
    </x:row>
    <x:row r="161">
      <x:c r="A161" s="39" t="str">
        <x:f>'Calc_Monthly'!A152</x:f>
        <x:v>21|aggregate</x:v>
      </x:c>
      <x:c r="B161" s="39" t="str">
        <x:f>'Calc_Monthly'!E152</x:f>
        <x:v>2023-07</x:v>
      </x:c>
      <x:c r="C161" s="73" t="n">
        <x:f>'Calc_Monthly'!K152-'Tested_Results'!T152</x:f>
        <x:v>0</x:v>
      </x:c>
      <x:c r="D161" s="73" t="n">
        <x:f>'Calc_Monthly'!Q152-'Tested_Results'!F152</x:f>
        <x:v>0</x:v>
      </x:c>
      <x:c r="E161" s="73" t="n">
        <x:f>'Calc_Monthly'!AC152-'Tested_Results'!G152</x:f>
        <x:v>0</x:v>
      </x:c>
      <x:c r="F161" s="73" t="n">
        <x:f>'Calc_Monthly'!AE152-'Tested_Results'!H152</x:f>
        <x:v>0</x:v>
      </x:c>
      <x:c r="G161" s="73" t="n">
        <x:f>'Calc_Monthly'!U152-'Tested_Results'!I152</x:f>
        <x:v>0</x:v>
      </x:c>
      <x:c r="H161" s="73" t="n">
        <x:f>'Calc_Monthly'!AD152-'Tested_Results'!J152</x:f>
        <x:v>0</x:v>
      </x:c>
      <x:c r="I161" s="73" t="n">
        <x:f>'Calc_Monthly'!AF152-'Tested_Results'!K152</x:f>
        <x:v>0</x:v>
      </x:c>
      <x:c r="J161" s="39" t="str">
        <x:f>IF(MAX(ABS(C161),ABS(D161),ABS(E161),ABS(F161),ABS(G161),ABS(H161),ABS(I161))&lt;='Settings_General'!$B$6,"PASS","CHECK")</x:f>
        <x:v>PASS</x:v>
      </x:c>
    </x:row>
    <x:row r="162">
      <x:c r="A162" s="39" t="str">
        <x:f>'Calc_Monthly'!A153</x:f>
        <x:v>21|aggregate</x:v>
      </x:c>
      <x:c r="B162" s="39" t="str">
        <x:f>'Calc_Monthly'!E153</x:f>
        <x:v>2023-08</x:v>
      </x:c>
      <x:c r="C162" s="73" t="n">
        <x:f>'Calc_Monthly'!K153-'Tested_Results'!T153</x:f>
        <x:v>-2.9103830456733704e-11</x:v>
      </x:c>
      <x:c r="D162" s="73" t="n">
        <x:f>'Calc_Monthly'!Q153-'Tested_Results'!F153</x:f>
        <x:v>0</x:v>
      </x:c>
      <x:c r="E162" s="73" t="n">
        <x:f>'Calc_Monthly'!AC153-'Tested_Results'!G153</x:f>
        <x:v>0</x:v>
      </x:c>
      <x:c r="F162" s="73" t="n">
        <x:f>'Calc_Monthly'!AE153-'Tested_Results'!H153</x:f>
        <x:v>0</x:v>
      </x:c>
      <x:c r="G162" s="73" t="n">
        <x:f>'Calc_Monthly'!U153-'Tested_Results'!I153</x:f>
        <x:v>0</x:v>
      </x:c>
      <x:c r="H162" s="73" t="n">
        <x:f>'Calc_Monthly'!AD153-'Tested_Results'!J153</x:f>
        <x:v>0</x:v>
      </x:c>
      <x:c r="I162" s="73" t="n">
        <x:f>'Calc_Monthly'!AF153-'Tested_Results'!K153</x:f>
        <x:v>0</x:v>
      </x:c>
      <x:c r="J162" s="39" t="str">
        <x:f>IF(MAX(ABS(C162),ABS(D162),ABS(E162),ABS(F162),ABS(G162),ABS(H162),ABS(I162))&lt;='Settings_General'!$B$6,"PASS","CHECK")</x:f>
        <x:v>PASS</x:v>
      </x:c>
    </x:row>
    <x:row r="163">
      <x:c r="A163" s="39" t="str">
        <x:f>'Calc_Monthly'!A154</x:f>
        <x:v>21|aggregate</x:v>
      </x:c>
      <x:c r="B163" s="39" t="str">
        <x:f>'Calc_Monthly'!E154</x:f>
        <x:v>2023-09</x:v>
      </x:c>
      <x:c r="C163" s="73" t="n">
        <x:f>'Calc_Monthly'!K154-'Tested_Results'!T154</x:f>
        <x:v>-1.4551915228366852e-11</x:v>
      </x:c>
      <x:c r="D163" s="73" t="n">
        <x:f>'Calc_Monthly'!Q154-'Tested_Results'!F154</x:f>
        <x:v>0</x:v>
      </x:c>
      <x:c r="E163" s="73" t="n">
        <x:f>'Calc_Monthly'!AC154-'Tested_Results'!G154</x:f>
        <x:v>0</x:v>
      </x:c>
      <x:c r="F163" s="73" t="n">
        <x:f>'Calc_Monthly'!AE154-'Tested_Results'!H154</x:f>
        <x:v>0</x:v>
      </x:c>
      <x:c r="G163" s="73" t="n">
        <x:f>'Calc_Monthly'!U154-'Tested_Results'!I154</x:f>
        <x:v>-1.4551915228366852e-11</x:v>
      </x:c>
      <x:c r="H163" s="73" t="n">
        <x:f>'Calc_Monthly'!AD154-'Tested_Results'!J154</x:f>
        <x:v>0</x:v>
      </x:c>
      <x:c r="I163" s="73" t="n">
        <x:f>'Calc_Monthly'!AF154-'Tested_Results'!K154</x:f>
        <x:v>-1.4551915228366852e-11</x:v>
      </x:c>
      <x:c r="J163" s="39" t="str">
        <x:f>IF(MAX(ABS(C163),ABS(D163),ABS(E163),ABS(F163),ABS(G163),ABS(H163),ABS(I163))&lt;='Settings_General'!$B$6,"PASS","CHECK")</x:f>
        <x:v>PASS</x:v>
      </x:c>
    </x:row>
    <x:row r="164">
      <x:c r="A164" s="39" t="str">
        <x:f>'Calc_Monthly'!A155</x:f>
        <x:v>21|aggregate</x:v>
      </x:c>
      <x:c r="B164" s="39" t="str">
        <x:f>'Calc_Monthly'!E155</x:f>
        <x:v>2023-10</x:v>
      </x:c>
      <x:c r="C164" s="73" t="n">
        <x:f>'Calc_Monthly'!K155-'Tested_Results'!T155</x:f>
        <x:v>1.4551915228366852e-11</x:v>
      </x:c>
      <x:c r="D164" s="73" t="n">
        <x:f>'Calc_Monthly'!Q155-'Tested_Results'!F155</x:f>
        <x:v>0</x:v>
      </x:c>
      <x:c r="E164" s="73" t="n">
        <x:f>'Calc_Monthly'!AC155-'Tested_Results'!G155</x:f>
        <x:v>0</x:v>
      </x:c>
      <x:c r="F164" s="73" t="n">
        <x:f>'Calc_Monthly'!AE155-'Tested_Results'!H155</x:f>
        <x:v>0</x:v>
      </x:c>
      <x:c r="G164" s="73" t="n">
        <x:f>'Calc_Monthly'!U155-'Tested_Results'!I155</x:f>
        <x:v>0</x:v>
      </x:c>
      <x:c r="H164" s="73" t="n">
        <x:f>'Calc_Monthly'!AD155-'Tested_Results'!J155</x:f>
        <x:v>0</x:v>
      </x:c>
      <x:c r="I164" s="73" t="n">
        <x:f>'Calc_Monthly'!AF155-'Tested_Results'!K155</x:f>
        <x:v>0</x:v>
      </x:c>
      <x:c r="J164" s="39" t="str">
        <x:f>IF(MAX(ABS(C164),ABS(D164),ABS(E164),ABS(F164),ABS(G164),ABS(H164),ABS(I164))&lt;='Settings_General'!$B$6,"PASS","CHECK")</x:f>
        <x:v>PASS</x:v>
      </x:c>
    </x:row>
    <x:row r="165">
      <x:c r="A165" s="39" t="str">
        <x:f>'Calc_Monthly'!A156</x:f>
        <x:v>21|aggregate</x:v>
      </x:c>
      <x:c r="B165" s="39" t="str">
        <x:f>'Calc_Monthly'!E156</x:f>
        <x:v>2023-11</x:v>
      </x:c>
      <x:c r="C165" s="73" t="n">
        <x:f>'Calc_Monthly'!K156-'Tested_Results'!T156</x:f>
        <x:v>0</x:v>
      </x:c>
      <x:c r="D165" s="73" t="n">
        <x:f>'Calc_Monthly'!Q156-'Tested_Results'!F156</x:f>
        <x:v>0</x:v>
      </x:c>
      <x:c r="E165" s="73" t="n">
        <x:f>'Calc_Monthly'!AC156-'Tested_Results'!G156</x:f>
        <x:v>0</x:v>
      </x:c>
      <x:c r="F165" s="73" t="n">
        <x:f>'Calc_Monthly'!AE156-'Tested_Results'!H156</x:f>
        <x:v>0</x:v>
      </x:c>
      <x:c r="G165" s="73" t="n">
        <x:f>'Calc_Monthly'!U156-'Tested_Results'!I156</x:f>
        <x:v>0</x:v>
      </x:c>
      <x:c r="H165" s="73" t="n">
        <x:f>'Calc_Monthly'!AD156-'Tested_Results'!J156</x:f>
        <x:v>0</x:v>
      </x:c>
      <x:c r="I165" s="73" t="n">
        <x:f>'Calc_Monthly'!AF156-'Tested_Results'!K156</x:f>
        <x:v>0</x:v>
      </x:c>
      <x:c r="J165" s="39" t="str">
        <x:f>IF(MAX(ABS(C165),ABS(D165),ABS(E165),ABS(F165),ABS(G165),ABS(H165),ABS(I165))&lt;='Settings_General'!$B$6,"PASS","CHECK")</x:f>
        <x:v>PASS</x:v>
      </x:c>
    </x:row>
    <x:row r="166">
      <x:c r="A166" s="39" t="str">
        <x:f>'Calc_Monthly'!A157</x:f>
        <x:v>21|aggregate</x:v>
      </x:c>
      <x:c r="B166" s="39" t="str">
        <x:f>'Calc_Monthly'!E157</x:f>
        <x:v>2023-12</x:v>
      </x:c>
      <x:c r="C166" s="73" t="n">
        <x:f>'Calc_Monthly'!K157-'Tested_Results'!T157</x:f>
        <x:v>0</x:v>
      </x:c>
      <x:c r="D166" s="73" t="n">
        <x:f>'Calc_Monthly'!Q157-'Tested_Results'!F157</x:f>
        <x:v>0</x:v>
      </x:c>
      <x:c r="E166" s="73" t="n">
        <x:f>'Calc_Monthly'!AC157-'Tested_Results'!G157</x:f>
        <x:v>0</x:v>
      </x:c>
      <x:c r="F166" s="73" t="n">
        <x:f>'Calc_Monthly'!AE157-'Tested_Results'!H157</x:f>
        <x:v>0</x:v>
      </x:c>
      <x:c r="G166" s="73" t="n">
        <x:f>'Calc_Monthly'!U157-'Tested_Results'!I157</x:f>
        <x:v>0</x:v>
      </x:c>
      <x:c r="H166" s="73" t="n">
        <x:f>'Calc_Monthly'!AD157-'Tested_Results'!J157</x:f>
        <x:v>0</x:v>
      </x:c>
      <x:c r="I166" s="73" t="n">
        <x:f>'Calc_Monthly'!AF157-'Tested_Results'!K157</x:f>
        <x:v>0</x:v>
      </x:c>
      <x:c r="J166" s="39" t="str">
        <x:f>IF(MAX(ABS(C166),ABS(D166),ABS(E166),ABS(F166),ABS(G166),ABS(H166),ABS(I166))&lt;='Settings_General'!$B$6,"PASS","CHECK")</x:f>
        <x:v>PASS</x:v>
      </x:c>
    </x:row>
  </x:sheetData>
  <x:conditionalFormatting sqref="J11:J166">
    <x:cfRule type="containsText" dxfId="0" priority="1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c236bd428ed5443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18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period_id</x:v>
      </x:c>
      <x:c r="F1" s="33" t="str">
        <x:v>outdoor_temp_C</x:v>
      </x:c>
      <x:c r="G1" s="33" t="str">
        <x:v>H_total_W_K</x:v>
      </x:c>
      <x:c r="H1" s="33" t="str">
        <x:v>time_constant_h</x:v>
      </x:c>
      <x:c r="I1" s="33" t="str">
        <x:v>total_gain_kWh</x:v>
      </x:c>
      <x:c r="J1" s="33" t="str">
        <x:v>zone_heating_kWh</x:v>
      </x:c>
      <x:c r="K1" s="33" t="str">
        <x:v>AHU_heating_kWh</x:v>
      </x:c>
      <x:c r="L1" s="33" t="str">
        <x:v>useful_heating_kWh</x:v>
      </x:c>
      <x:c r="M1" s="33" t="str">
        <x:v>zone_cooling_kWh</x:v>
      </x:c>
      <x:c r="N1" s="33" t="str">
        <x:v>AHU_cooling_kWh</x:v>
      </x:c>
      <x:c r="O1" s="33" t="str">
        <x:v>useful_cooling_kWh</x:v>
      </x:c>
    </x:row>
    <x:row r="2">
      <x:c r="A2" s="77" t="str">
        <x:f>'Calc_Monthly'!A2</x:f>
        <x:v>1|aggregate</x:v>
      </x:c>
      <x:c r="B2" s="77" t="str">
        <x:f>'Calc_Monthly'!B2</x:f>
        <x:v>1</x:v>
      </x:c>
      <x:c r="C2" s="77" t="str">
        <x:f>'Calc_Monthly'!C2</x:f>
        <x:v>Test building 1</x:v>
      </x:c>
      <x:c r="D2" s="77" t="str">
        <x:f>'Calc_Monthly'!D2</x:f>
        <x:v>aggregate</x:v>
      </x:c>
      <x:c r="E2" s="77" t="str">
        <x:f>'Calc_Monthly'!E2</x:f>
        <x:v>2023-01</x:v>
      </x:c>
      <x:c r="F2" s="79" t="n">
        <x:f>'Calc_Monthly'!H2</x:f>
        <x:v>2.638440860215054</x:v>
      </x:c>
      <x:c r="G2" s="79" t="n">
        <x:f>'Calc_Case'!J2</x:f>
        <x:v>6334.4471433777035</x:v>
      </x:c>
      <x:c r="H2" s="79" t="n">
        <x:f>'Calc_Case'!M2</x:f>
        <x:v>21.564350451845687</x:v>
      </x:c>
      <x:c r="I2" s="79" t="n">
        <x:f>'Calc_Monthly'!K2</x:f>
        <x:v>19931.161299073487</x:v>
      </x:c>
      <x:c r="J2" s="79" t="n">
        <x:f>'Calc_Monthly'!Q2</x:f>
        <x:v>35456.65042161729</x:v>
      </x:c>
      <x:c r="K2" s="79" t="n">
        <x:f>'Calc_Monthly'!AC2</x:f>
        <x:v>29924.854219695168</x:v>
      </x:c>
      <x:c r="L2" s="79" t="n">
        <x:f>'Calc_Monthly'!AE2</x:f>
        <x:v>65381.50464131246</x:v>
      </x:c>
      <x:c r="M2" s="79" t="n">
        <x:f>'Calc_Monthly'!U2</x:f>
        <x:v>0</x:v>
      </x:c>
      <x:c r="N2" s="79" t="n">
        <x:f>'Calc_Monthly'!AD2</x:f>
        <x:v>0</x:v>
      </x:c>
      <x:c r="O2" s="79" t="n">
        <x:f>'Calc_Monthly'!AF2</x:f>
        <x:v>0</x:v>
      </x:c>
    </x:row>
    <x:row r="3">
      <x:c r="A3" s="78" t="str">
        <x:f>'Calc_Monthly'!A3</x:f>
        <x:v>1|aggregate</x:v>
      </x:c>
      <x:c r="B3" s="78" t="str">
        <x:f>'Calc_Monthly'!B3</x:f>
        <x:v>1</x:v>
      </x:c>
      <x:c r="C3" s="78" t="str">
        <x:f>'Calc_Monthly'!C3</x:f>
        <x:v>Test building 1</x:v>
      </x:c>
      <x:c r="D3" s="78" t="str">
        <x:f>'Calc_Monthly'!D3</x:f>
        <x:v>aggregate</x:v>
      </x:c>
      <x:c r="E3" s="78" t="str">
        <x:f>'Calc_Monthly'!E3</x:f>
        <x:v>2023-02</x:v>
      </x:c>
      <x:c r="F3" s="80" t="n">
        <x:f>'Calc_Monthly'!H3</x:f>
        <x:v>3.8903273809523813</x:v>
      </x:c>
      <x:c r="G3" s="80" t="n">
        <x:f>'Calc_Case'!J2</x:f>
        <x:v>6334.4471433777035</x:v>
      </x:c>
      <x:c r="H3" s="80" t="n">
        <x:f>'Calc_Case'!M2</x:f>
        <x:v>21.564350451845687</x:v>
      </x:c>
      <x:c r="I3" s="80" t="n">
        <x:f>'Calc_Monthly'!K3</x:f>
        <x:v>19017.11487369299</x:v>
      </x:c>
      <x:c r="J3" s="80" t="n">
        <x:f>'Calc_Monthly'!Q3</x:f>
        <x:v>27627.284684776936</x:v>
      </x:c>
      <x:c r="K3" s="80" t="n">
        <x:f>'Calc_Monthly'!AC3</x:f>
        <x:v>25463.20529744407</x:v>
      </x:c>
      <x:c r="L3" s="80" t="n">
        <x:f>'Calc_Monthly'!AE3</x:f>
        <x:v>53090.489982221006</x:v>
      </x:c>
      <x:c r="M3" s="80" t="n">
        <x:f>'Calc_Monthly'!U3</x:f>
        <x:v>0</x:v>
      </x:c>
      <x:c r="N3" s="80" t="n">
        <x:f>'Calc_Monthly'!AD3</x:f>
        <x:v>0</x:v>
      </x:c>
      <x:c r="O3" s="80" t="n">
        <x:f>'Calc_Monthly'!AF3</x:f>
        <x:v>0</x:v>
      </x:c>
    </x:row>
    <x:row r="4">
      <x:c r="A4" s="78" t="str">
        <x:f>'Calc_Monthly'!A4</x:f>
        <x:v>1|aggregate</x:v>
      </x:c>
      <x:c r="B4" s="78" t="str">
        <x:f>'Calc_Monthly'!B4</x:f>
        <x:v>1</x:v>
      </x:c>
      <x:c r="C4" s="78" t="str">
        <x:f>'Calc_Monthly'!C4</x:f>
        <x:v>Test building 1</x:v>
      </x:c>
      <x:c r="D4" s="78" t="str">
        <x:f>'Calc_Monthly'!D4</x:f>
        <x:v>aggregate</x:v>
      </x:c>
      <x:c r="E4" s="78" t="str">
        <x:f>'Calc_Monthly'!E4</x:f>
        <x:v>2023-03</x:v>
      </x:c>
      <x:c r="F4" s="80" t="n">
        <x:f>'Calc_Monthly'!H4</x:f>
        <x:v>7.746908602150539</x:v>
      </x:c>
      <x:c r="G4" s="80" t="n">
        <x:f>'Calc_Case'!J2</x:f>
        <x:v>6334.4471433777035</x:v>
      </x:c>
      <x:c r="H4" s="80" t="n">
        <x:f>'Calc_Case'!M2</x:f>
        <x:v>21.564350451845687</x:v>
      </x:c>
      <x:c r="I4" s="80" t="n">
        <x:f>'Calc_Monthly'!K4</x:f>
        <x:v>25416.43838840937</x:v>
      </x:c>
      <x:c r="J4" s="80" t="n">
        <x:f>'Calc_Monthly'!Q4</x:f>
        <x:v>16183.673543306446</x:v>
      </x:c>
      <x:c r="K4" s="80" t="n">
        <x:f>'Calc_Monthly'!AC4</x:f>
        <x:v>22851.317716629335</x:v>
      </x:c>
      <x:c r="L4" s="80" t="n">
        <x:f>'Calc_Monthly'!AE4</x:f>
        <x:v>39034.99125993578</x:v>
      </x:c>
      <x:c r="M4" s="80" t="n">
        <x:f>'Calc_Monthly'!U4</x:f>
        <x:v>0</x:v>
      </x:c>
      <x:c r="N4" s="80" t="n">
        <x:f>'Calc_Monthly'!AD4</x:f>
        <x:v>0</x:v>
      </x:c>
      <x:c r="O4" s="80" t="n">
        <x:f>'Calc_Monthly'!AF4</x:f>
        <x:v>0</x:v>
      </x:c>
    </x:row>
    <x:row r="5">
      <x:c r="A5" s="78" t="str">
        <x:f>'Calc_Monthly'!A5</x:f>
        <x:v>1|aggregate</x:v>
      </x:c>
      <x:c r="B5" s="78" t="str">
        <x:f>'Calc_Monthly'!B5</x:f>
        <x:v>1</x:v>
      </x:c>
      <x:c r="C5" s="78" t="str">
        <x:f>'Calc_Monthly'!C5</x:f>
        <x:v>Test building 1</x:v>
      </x:c>
      <x:c r="D5" s="78" t="str">
        <x:f>'Calc_Monthly'!D5</x:f>
        <x:v>aggregate</x:v>
      </x:c>
      <x:c r="E5" s="78" t="str">
        <x:f>'Calc_Monthly'!E5</x:f>
        <x:v>2023-04</x:v>
      </x:c>
      <x:c r="F5" s="80" t="n">
        <x:f>'Calc_Monthly'!H5</x:f>
        <x:v>12.03041666666667</x:v>
      </x:c>
      <x:c r="G5" s="80" t="n">
        <x:f>'Calc_Case'!J2</x:f>
        <x:v>6334.4471433777035</x:v>
      </x:c>
      <x:c r="H5" s="80" t="n">
        <x:f>'Calc_Case'!M2</x:f>
        <x:v>21.564350451845687</x:v>
      </x:c>
      <x:c r="I5" s="80" t="n">
        <x:f>'Calc_Monthly'!K5</x:f>
        <x:v>27544.376754177127</x:v>
      </x:c>
      <x:c r="J5" s="80" t="n">
        <x:f>'Calc_Monthly'!Q5</x:f>
        <x:v>4890.894605166355</x:v>
      </x:c>
      <x:c r="K5" s="80" t="n">
        <x:f>'Calc_Monthly'!AC5</x:f>
        <x:v>16374.268294688714</x:v>
      </x:c>
      <x:c r="L5" s="80" t="n">
        <x:f>'Calc_Monthly'!AE5</x:f>
        <x:v>21265.16289985507</x:v>
      </x:c>
      <x:c r="M5" s="80" t="n">
        <x:f>'Calc_Monthly'!U5</x:f>
        <x:v>0</x:v>
      </x:c>
      <x:c r="N5" s="80" t="n">
        <x:f>'Calc_Monthly'!AD5</x:f>
        <x:v>0</x:v>
      </x:c>
      <x:c r="O5" s="80" t="n">
        <x:f>'Calc_Monthly'!AF5</x:f>
        <x:v>0</x:v>
      </x:c>
    </x:row>
    <x:row r="6">
      <x:c r="A6" s="78" t="str">
        <x:f>'Calc_Monthly'!A6</x:f>
        <x:v>1|aggregate</x:v>
      </x:c>
      <x:c r="B6" s="78" t="str">
        <x:f>'Calc_Monthly'!B6</x:f>
        <x:v>1</x:v>
      </x:c>
      <x:c r="C6" s="78" t="str">
        <x:f>'Calc_Monthly'!C6</x:f>
        <x:v>Test building 1</x:v>
      </x:c>
      <x:c r="D6" s="78" t="str">
        <x:f>'Calc_Monthly'!D6</x:f>
        <x:v>aggregate</x:v>
      </x:c>
      <x:c r="E6" s="78" t="str">
        <x:f>'Calc_Monthly'!E6</x:f>
        <x:v>2023-05</x:v>
      </x:c>
      <x:c r="F6" s="80" t="n">
        <x:f>'Calc_Monthly'!H6</x:f>
        <x:v>17.244086021505375</x:v>
      </x:c>
      <x:c r="G6" s="80" t="n">
        <x:f>'Calc_Case'!J2</x:f>
        <x:v>6334.4471433777035</x:v>
      </x:c>
      <x:c r="H6" s="80" t="n">
        <x:f>'Calc_Case'!M2</x:f>
        <x:v>21.564350451845687</x:v>
      </x:c>
      <x:c r="I6" s="80" t="n">
        <x:f>'Calc_Monthly'!K6</x:f>
        <x:v>31845.070513880477</x:v>
      </x:c>
      <x:c r="J6" s="80" t="n">
        <x:f>'Calc_Monthly'!Q6</x:f>
        <x:v>0</x:v>
      </x:c>
      <x:c r="K6" s="80" t="n">
        <x:f>'Calc_Monthly'!AC6</x:f>
        <x:v>7450.7843387727735</x:v>
      </x:c>
      <x:c r="L6" s="80" t="n">
        <x:f>'Calc_Monthly'!AE6</x:f>
        <x:v>7450.7843387727735</x:v>
      </x:c>
      <x:c r="M6" s="80" t="n">
        <x:f>'Calc_Monthly'!U6</x:f>
        <x:v>0</x:v>
      </x:c>
      <x:c r="N6" s="80" t="n">
        <x:f>'Calc_Monthly'!AD6</x:f>
        <x:v>0</x:v>
      </x:c>
      <x:c r="O6" s="80" t="n">
        <x:f>'Calc_Monthly'!AF6</x:f>
        <x:v>0</x:v>
      </x:c>
    </x:row>
    <x:row r="7">
      <x:c r="A7" s="78" t="str">
        <x:f>'Calc_Monthly'!A7</x:f>
        <x:v>1|aggregate</x:v>
      </x:c>
      <x:c r="B7" s="78" t="str">
        <x:f>'Calc_Monthly'!B7</x:f>
        <x:v>1</x:v>
      </x:c>
      <x:c r="C7" s="78" t="str">
        <x:f>'Calc_Monthly'!C7</x:f>
        <x:v>Test building 1</x:v>
      </x:c>
      <x:c r="D7" s="78" t="str">
        <x:f>'Calc_Monthly'!D7</x:f>
        <x:v>aggregate</x:v>
      </x:c>
      <x:c r="E7" s="78" t="str">
        <x:f>'Calc_Monthly'!E7</x:f>
        <x:v>2023-06</x:v>
      </x:c>
      <x:c r="F7" s="80" t="n">
        <x:f>'Calc_Monthly'!H7</x:f>
        <x:v>20.758194444444445</x:v>
      </x:c>
      <x:c r="G7" s="80" t="n">
        <x:f>'Calc_Case'!J2</x:f>
        <x:v>6334.4471433777035</x:v>
      </x:c>
      <x:c r="H7" s="80" t="n">
        <x:f>'Calc_Case'!M2</x:f>
        <x:v>21.564350451845687</x:v>
      </x:c>
      <x:c r="I7" s="80" t="n">
        <x:f>'Calc_Monthly'!K7</x:f>
        <x:v>31759.032267147748</x:v>
      </x:c>
      <x:c r="J7" s="80" t="n">
        <x:f>'Calc_Monthly'!Q7</x:f>
        <x:v>0</x:v>
      </x:c>
      <x:c r="K7" s="80" t="n">
        <x:f>'Calc_Monthly'!AC7</x:f>
        <x:v>0</x:v>
      </x:c>
      <x:c r="L7" s="80" t="n">
        <x:f>'Calc_Monthly'!AE7</x:f>
        <x:v>0</x:v>
      </x:c>
      <x:c r="M7" s="80" t="n">
        <x:f>'Calc_Monthly'!U7</x:f>
        <x:v>11157.198674991945</x:v>
      </x:c>
      <x:c r="N7" s="80" t="n">
        <x:f>'Calc_Monthly'!AD7</x:f>
        <x:v>3025.985476447698</x:v>
      </x:c>
      <x:c r="O7" s="80" t="n">
        <x:f>'Calc_Monthly'!AF7</x:f>
        <x:v>14183.184151439644</x:v>
      </x:c>
    </x:row>
    <x:row r="8">
      <x:c r="A8" s="78" t="str">
        <x:f>'Calc_Monthly'!A8</x:f>
        <x:v>1|aggregate</x:v>
      </x:c>
      <x:c r="B8" s="78" t="str">
        <x:f>'Calc_Monthly'!B8</x:f>
        <x:v>1</x:v>
      </x:c>
      <x:c r="C8" s="78" t="str">
        <x:f>'Calc_Monthly'!C8</x:f>
        <x:v>Test building 1</x:v>
      </x:c>
      <x:c r="D8" s="78" t="str">
        <x:f>'Calc_Monthly'!D8</x:f>
        <x:v>aggregate</x:v>
      </x:c>
      <x:c r="E8" s="78" t="str">
        <x:f>'Calc_Monthly'!E8</x:f>
        <x:v>2023-07</x:v>
      </x:c>
      <x:c r="F8" s="80" t="n">
        <x:f>'Calc_Monthly'!H8</x:f>
        <x:v>23.824193548387097</x:v>
      </x:c>
      <x:c r="G8" s="80" t="n">
        <x:f>'Calc_Case'!J2</x:f>
        <x:v>6334.4471433777035</x:v>
      </x:c>
      <x:c r="H8" s="80" t="n">
        <x:f>'Calc_Case'!M2</x:f>
        <x:v>21.564350451845687</x:v>
      </x:c>
      <x:c r="I8" s="80" t="n">
        <x:f>'Calc_Monthly'!K8</x:f>
        <x:v>33446.22063567044</x:v>
      </x:c>
      <x:c r="J8" s="80" t="n">
        <x:f>'Calc_Monthly'!Q8</x:f>
        <x:v>0</x:v>
      </x:c>
      <x:c r="K8" s="80" t="n">
        <x:f>'Calc_Monthly'!AC8</x:f>
        <x:v>0</x:v>
      </x:c>
      <x:c r="L8" s="80" t="n">
        <x:f>'Calc_Monthly'!AE8</x:f>
        <x:v>0</x:v>
      </x:c>
      <x:c r="M8" s="80" t="n">
        <x:f>'Calc_Monthly'!U8</x:f>
        <x:v>17786.80805816674</x:v>
      </x:c>
      <x:c r="N8" s="80" t="n">
        <x:f>'Calc_Monthly'!AD8</x:f>
        <x:v>7372.245322162863</x:v>
      </x:c>
      <x:c r="O8" s="80" t="n">
        <x:f>'Calc_Monthly'!AF8</x:f>
        <x:v>25159.053380329602</x:v>
      </x:c>
    </x:row>
    <x:row r="9">
      <x:c r="A9" s="78" t="str">
        <x:f>'Calc_Monthly'!A9</x:f>
        <x:v>1|aggregate</x:v>
      </x:c>
      <x:c r="B9" s="78" t="str">
        <x:f>'Calc_Monthly'!B9</x:f>
        <x:v>1</x:v>
      </x:c>
      <x:c r="C9" s="78" t="str">
        <x:f>'Calc_Monthly'!C9</x:f>
        <x:v>Test building 1</x:v>
      </x:c>
      <x:c r="D9" s="78" t="str">
        <x:f>'Calc_Monthly'!D9</x:f>
        <x:v>aggregate</x:v>
      </x:c>
      <x:c r="E9" s="78" t="str">
        <x:f>'Calc_Monthly'!E9</x:f>
        <x:v>2023-08</x:v>
      </x:c>
      <x:c r="F9" s="80" t="n">
        <x:f>'Calc_Monthly'!H9</x:f>
        <x:v>22.74717741935484</x:v>
      </x:c>
      <x:c r="G9" s="80" t="n">
        <x:f>'Calc_Case'!J2</x:f>
        <x:v>6334.4471433777035</x:v>
      </x:c>
      <x:c r="H9" s="80" t="n">
        <x:f>'Calc_Case'!M2</x:f>
        <x:v>21.564350451845687</x:v>
      </x:c>
      <x:c r="I9" s="80" t="n">
        <x:f>'Calc_Monthly'!K9</x:f>
        <x:v>31195.850360730863</x:v>
      </x:c>
      <x:c r="J9" s="80" t="n">
        <x:f>'Calc_Monthly'!Q9</x:f>
        <x:v>0</x:v>
      </x:c>
      <x:c r="K9" s="80" t="n">
        <x:f>'Calc_Monthly'!AC9</x:f>
        <x:v>0</x:v>
      </x:c>
      <x:c r="L9" s="80" t="n">
        <x:f>'Calc_Monthly'!AE9</x:f>
        <x:v>0</x:v>
      </x:c>
      <x:c r="M9" s="80" t="n">
        <x:f>'Calc_Monthly'!U9</x:f>
        <x:v>13594.240829445</x:v>
      </x:c>
      <x:c r="N9" s="80" t="n">
        <x:f>'Calc_Monthly'!AD9</x:f>
        <x:v>5880.934563642949</x:v>
      </x:c>
      <x:c r="O9" s="80" t="n">
        <x:f>'Calc_Monthly'!AF9</x:f>
        <x:v>19475.17539308795</x:v>
      </x:c>
    </x:row>
    <x:row r="10">
      <x:c r="A10" s="78" t="str">
        <x:f>'Calc_Monthly'!A10</x:f>
        <x:v>1|aggregate</x:v>
      </x:c>
      <x:c r="B10" s="78" t="str">
        <x:f>'Calc_Monthly'!B10</x:f>
        <x:v>1</x:v>
      </x:c>
      <x:c r="C10" s="78" t="str">
        <x:f>'Calc_Monthly'!C10</x:f>
        <x:v>Test building 1</x:v>
      </x:c>
      <x:c r="D10" s="78" t="str">
        <x:f>'Calc_Monthly'!D10</x:f>
        <x:v>aggregate</x:v>
      </x:c>
      <x:c r="E10" s="78" t="str">
        <x:f>'Calc_Monthly'!E10</x:f>
        <x:v>2023-09</x:v>
      </x:c>
      <x:c r="F10" s="80" t="n">
        <x:f>'Calc_Monthly'!H10</x:f>
        <x:v>19.61638888888889</x:v>
      </x:c>
      <x:c r="G10" s="80" t="n">
        <x:f>'Calc_Case'!J2</x:f>
        <x:v>6334.4471433777035</x:v>
      </x:c>
      <x:c r="H10" s="80" t="n">
        <x:f>'Calc_Case'!M2</x:f>
        <x:v>21.564350451845687</x:v>
      </x:c>
      <x:c r="I10" s="80" t="n">
        <x:f>'Calc_Monthly'!K10</x:f>
        <x:v>26871.62264345236</x:v>
      </x:c>
      <x:c r="J10" s="80" t="n">
        <x:f>'Calc_Monthly'!Q10</x:f>
        <x:v>0</x:v>
      </x:c>
      <x:c r="K10" s="80" t="n">
        <x:f>'Calc_Monthly'!AC10</x:f>
        <x:v>0</x:v>
      </x:c>
      <x:c r="L10" s="80" t="n">
        <x:f>'Calc_Monthly'!AE10</x:f>
        <x:v>0</x:v>
      </x:c>
      <x:c r="M10" s="80" t="n">
        <x:f>'Calc_Monthly'!U10</x:f>
        <x:v>6618.603415105998</x:v>
      </x:c>
      <x:c r="N10" s="80" t="n">
        <x:f>'Calc_Monthly'!AD10</x:f>
        <x:v>1495.9635438641185</x:v>
      </x:c>
      <x:c r="O10" s="80" t="n">
        <x:f>'Calc_Monthly'!AF10</x:f>
        <x:v>8114.566958970116</x:v>
      </x:c>
    </x:row>
    <x:row r="11">
      <x:c r="A11" s="78" t="str">
        <x:f>'Calc_Monthly'!A11</x:f>
        <x:v>1|aggregate</x:v>
      </x:c>
      <x:c r="B11" s="78" t="str">
        <x:f>'Calc_Monthly'!B11</x:f>
        <x:v>1</x:v>
      </x:c>
      <x:c r="C11" s="78" t="str">
        <x:f>'Calc_Monthly'!C11</x:f>
        <x:v>Test building 1</x:v>
      </x:c>
      <x:c r="D11" s="78" t="str">
        <x:f>'Calc_Monthly'!D11</x:f>
        <x:v>aggregate</x:v>
      </x:c>
      <x:c r="E11" s="78" t="str">
        <x:f>'Calc_Monthly'!E11</x:f>
        <x:v>2023-10</x:v>
      </x:c>
      <x:c r="F11" s="80" t="n">
        <x:f>'Calc_Monthly'!H11</x:f>
        <x:v>13.926209677419354</x:v>
      </x:c>
      <x:c r="G11" s="80" t="n">
        <x:f>'Calc_Case'!J2</x:f>
        <x:v>6334.4471433777035</x:v>
      </x:c>
      <x:c r="H11" s="80" t="n">
        <x:f>'Calc_Case'!M2</x:f>
        <x:v>21.564350451845687</x:v>
      </x:c>
      <x:c r="I11" s="80" t="n">
        <x:f>'Calc_Monthly'!K11</x:f>
        <x:v>23722.938206860985</x:v>
      </x:c>
      <x:c r="J11" s="80" t="n">
        <x:f>'Calc_Monthly'!Q11</x:f>
        <x:v>572.8553461543215</x:v>
      </x:c>
      <x:c r="K11" s="80" t="n">
        <x:f>'Calc_Monthly'!AC11</x:f>
        <x:v>13278.863260905713</x:v>
      </x:c>
      <x:c r="L11" s="80" t="n">
        <x:f>'Calc_Monthly'!AE11</x:f>
        <x:v>13851.718607060035</x:v>
      </x:c>
      <x:c r="M11" s="80" t="n">
        <x:f>'Calc_Monthly'!U11</x:f>
        <x:v>0</x:v>
      </x:c>
      <x:c r="N11" s="80" t="n">
        <x:f>'Calc_Monthly'!AD11</x:f>
        <x:v>0</x:v>
      </x:c>
      <x:c r="O11" s="80" t="n">
        <x:f>'Calc_Monthly'!AF11</x:f>
        <x:v>0</x:v>
      </x:c>
    </x:row>
    <x:row r="12">
      <x:c r="A12" s="78" t="str">
        <x:f>'Calc_Monthly'!A12</x:f>
        <x:v>1|aggregate</x:v>
      </x:c>
      <x:c r="B12" s="78" t="str">
        <x:f>'Calc_Monthly'!B12</x:f>
        <x:v>1</x:v>
      </x:c>
      <x:c r="C12" s="78" t="str">
        <x:f>'Calc_Monthly'!C12</x:f>
        <x:v>Test building 1</x:v>
      </x:c>
      <x:c r="D12" s="78" t="str">
        <x:f>'Calc_Monthly'!D12</x:f>
        <x:v>aggregate</x:v>
      </x:c>
      <x:c r="E12" s="78" t="str">
        <x:f>'Calc_Monthly'!E12</x:f>
        <x:v>2023-11</x:v>
      </x:c>
      <x:c r="F12" s="80" t="n">
        <x:f>'Calc_Monthly'!H12</x:f>
        <x:v>8.68388888888889</x:v>
      </x:c>
      <x:c r="G12" s="80" t="n">
        <x:f>'Calc_Case'!J2</x:f>
        <x:v>6334.4471433777035</x:v>
      </x:c>
      <x:c r="H12" s="80" t="n">
        <x:f>'Calc_Case'!M2</x:f>
        <x:v>21.564350451845687</x:v>
      </x:c>
      <x:c r="I12" s="80" t="n">
        <x:f>'Calc_Monthly'!K12</x:f>
        <x:v>19416.607936240052</x:v>
      </x:c>
      <x:c r="J12" s="80" t="n">
        <x:f>'Calc_Monthly'!Q12</x:f>
        <x:v>16227.70109091204</x:v>
      </x:c>
      <x:c r="K12" s="80" t="n">
        <x:f>'Calc_Monthly'!AC12</x:f>
        <x:v>20858.62280941946</x:v>
      </x:c>
      <x:c r="L12" s="80" t="n">
        <x:f>'Calc_Monthly'!AE12</x:f>
        <x:v>37086.323900331496</x:v>
      </x:c>
      <x:c r="M12" s="80" t="n">
        <x:f>'Calc_Monthly'!U12</x:f>
        <x:v>0</x:v>
      </x:c>
      <x:c r="N12" s="80" t="n">
        <x:f>'Calc_Monthly'!AD12</x:f>
        <x:v>0</x:v>
      </x:c>
      <x:c r="O12" s="80" t="n">
        <x:f>'Calc_Monthly'!AF12</x:f>
        <x:v>0</x:v>
      </x:c>
    </x:row>
    <x:row r="13">
      <x:c r="A13" s="78" t="str">
        <x:f>'Calc_Monthly'!A13</x:f>
        <x:v>1|aggregate</x:v>
      </x:c>
      <x:c r="B13" s="78" t="str">
        <x:f>'Calc_Monthly'!B13</x:f>
        <x:v>1</x:v>
      </x:c>
      <x:c r="C13" s="78" t="str">
        <x:f>'Calc_Monthly'!C13</x:f>
        <x:v>Test building 1</x:v>
      </x:c>
      <x:c r="D13" s="78" t="str">
        <x:f>'Calc_Monthly'!D13</x:f>
        <x:v>aggregate</x:v>
      </x:c>
      <x:c r="E13" s="78" t="str">
        <x:f>'Calc_Monthly'!E13</x:f>
        <x:v>2023-12</x:v>
      </x:c>
      <x:c r="F13" s="80" t="n">
        <x:f>'Calc_Monthly'!H13</x:f>
        <x:v>3.9963709677419357</x:v>
      </x:c>
      <x:c r="G13" s="80" t="n">
        <x:f>'Calc_Case'!J2</x:f>
        <x:v>6334.4471433777035</x:v>
      </x:c>
      <x:c r="H13" s="80" t="n">
        <x:f>'Calc_Case'!M2</x:f>
        <x:v>21.564350451845687</x:v>
      </x:c>
      <x:c r="I13" s="80" t="n">
        <x:f>'Calc_Monthly'!K13</x:f>
        <x:v>19394.523393062173</x:v>
      </x:c>
      <x:c r="J13" s="80" t="n">
        <x:f>'Calc_Monthly'!Q13</x:f>
        <x:v>31579.920999992883</x:v>
      </x:c>
      <x:c r="K13" s="80" t="n">
        <x:f>'Calc_Monthly'!AC13</x:f>
        <x:v>28044.57060640093</x:v>
      </x:c>
      <x:c r="L13" s="80" t="n">
        <x:f>'Calc_Monthly'!AE13</x:f>
        <x:v>59624.491606393814</x:v>
      </x:c>
      <x:c r="M13" s="80" t="n">
        <x:f>'Calc_Monthly'!U13</x:f>
        <x:v>0</x:v>
      </x:c>
      <x:c r="N13" s="80" t="n">
        <x:f>'Calc_Monthly'!AD13</x:f>
        <x:v>0</x:v>
      </x:c>
      <x:c r="O13" s="80" t="n">
        <x:f>'Calc_Monthly'!AF13</x:f>
        <x:v>0</x:v>
      </x:c>
    </x:row>
    <x:row r="14">
      <x:c r="A14" s="78" t="str">
        <x:f>'Calc_Monthly'!A14</x:f>
        <x:v>1|lower</x:v>
      </x:c>
      <x:c r="B14" s="78" t="str">
        <x:f>'Calc_Monthly'!B14</x:f>
        <x:v>1</x:v>
      </x:c>
      <x:c r="C14" s="78" t="str">
        <x:f>'Calc_Monthly'!C14</x:f>
        <x:v>Test building 1</x:v>
      </x:c>
      <x:c r="D14" s="78" t="str">
        <x:f>'Calc_Monthly'!D14</x:f>
        <x:v>lower</x:v>
      </x:c>
      <x:c r="E14" s="78" t="str">
        <x:f>'Calc_Monthly'!E14</x:f>
        <x:v>2023-01</x:v>
      </x:c>
      <x:c r="F14" s="80" t="n">
        <x:f>'Calc_Monthly'!H14</x:f>
        <x:v>2.638440860215054</x:v>
      </x:c>
      <x:c r="G14" s="80" t="n">
        <x:f>'Calc_Case'!J3</x:f>
        <x:v>2760.7894289500446</x:v>
      </x:c>
      <x:c r="H14" s="80" t="n">
        <x:f>'Calc_Case'!M3</x:f>
        <x:v>19.491318886298338</x:v>
      </x:c>
      <x:c r="I14" s="80" t="n">
        <x:f>'Calc_Monthly'!K14</x:f>
        <x:v>17380.990246649653</x:v>
      </x:c>
      <x:c r="J14" s="80" t="n">
        <x:f>'Calc_Monthly'!Q14</x:f>
        <x:v>11219.880831165583</x:v>
      </x:c>
      <x:c r="K14" s="80" t="n">
        <x:f>'Calc_Monthly'!AC14</x:f>
        <x:v>14383.231353352603</x:v>
      </x:c>
      <x:c r="L14" s="80" t="n">
        <x:f>'Calc_Monthly'!AE14</x:f>
        <x:v>25603.112184518184</x:v>
      </x:c>
      <x:c r="M14" s="80" t="n">
        <x:f>'Calc_Monthly'!U14</x:f>
        <x:v>0</x:v>
      </x:c>
      <x:c r="N14" s="80" t="n">
        <x:f>'Calc_Monthly'!AD14</x:f>
        <x:v>0</x:v>
      </x:c>
      <x:c r="O14" s="80" t="n">
        <x:f>'Calc_Monthly'!AF14</x:f>
        <x:v>0</x:v>
      </x:c>
    </x:row>
    <x:row r="15">
      <x:c r="A15" s="78" t="str">
        <x:f>'Calc_Monthly'!A15</x:f>
        <x:v>1|lower</x:v>
      </x:c>
      <x:c r="B15" s="78" t="str">
        <x:f>'Calc_Monthly'!B15</x:f>
        <x:v>1</x:v>
      </x:c>
      <x:c r="C15" s="78" t="str">
        <x:f>'Calc_Monthly'!C15</x:f>
        <x:v>Test building 1</x:v>
      </x:c>
      <x:c r="D15" s="78" t="str">
        <x:f>'Calc_Monthly'!D15</x:f>
        <x:v>lower</x:v>
      </x:c>
      <x:c r="E15" s="78" t="str">
        <x:f>'Calc_Monthly'!E15</x:f>
        <x:v>2023-02</x:v>
      </x:c>
      <x:c r="F15" s="80" t="n">
        <x:f>'Calc_Monthly'!H15</x:f>
        <x:v>3.8903273809523813</x:v>
      </x:c>
      <x:c r="G15" s="80" t="n">
        <x:f>'Calc_Case'!J3</x:f>
        <x:v>2760.7894289500446</x:v>
      </x:c>
      <x:c r="H15" s="80" t="n">
        <x:f>'Calc_Case'!M3</x:f>
        <x:v>19.491318886298338</x:v>
      </x:c>
      <x:c r="I15" s="80" t="n">
        <x:f>'Calc_Monthly'!K15</x:f>
        <x:v>15903.42097904507</x:v>
      </x:c>
      <x:c r="J15" s="80" t="n">
        <x:f>'Calc_Monthly'!Q15</x:f>
        <x:v>8838.457416362937</x:v>
      </x:c>
      <x:c r="K15" s="80" t="n">
        <x:f>'Calc_Monthly'!AC15</x:f>
        <x:v>12151.309309329756</x:v>
      </x:c>
      <x:c r="L15" s="80" t="n">
        <x:f>'Calc_Monthly'!AE15</x:f>
        <x:v>20989.766725692694</x:v>
      </x:c>
      <x:c r="M15" s="80" t="n">
        <x:f>'Calc_Monthly'!U15</x:f>
        <x:v>0</x:v>
      </x:c>
      <x:c r="N15" s="80" t="n">
        <x:f>'Calc_Monthly'!AD15</x:f>
        <x:v>0</x:v>
      </x:c>
      <x:c r="O15" s="80" t="n">
        <x:f>'Calc_Monthly'!AF15</x:f>
        <x:v>0</x:v>
      </x:c>
    </x:row>
    <x:row r="16">
      <x:c r="A16" s="78" t="str">
        <x:f>'Calc_Monthly'!A16</x:f>
        <x:v>1|lower</x:v>
      </x:c>
      <x:c r="B16" s="78" t="str">
        <x:f>'Calc_Monthly'!B16</x:f>
        <x:v>1</x:v>
      </x:c>
      <x:c r="C16" s="78" t="str">
        <x:f>'Calc_Monthly'!C16</x:f>
        <x:v>Test building 1</x:v>
      </x:c>
      <x:c r="D16" s="78" t="str">
        <x:f>'Calc_Monthly'!D16</x:f>
        <x:v>lower</x:v>
      </x:c>
      <x:c r="E16" s="78" t="str">
        <x:f>'Calc_Monthly'!E16</x:f>
        <x:v>2023-03</x:v>
      </x:c>
      <x:c r="F16" s="80" t="n">
        <x:f>'Calc_Monthly'!H16</x:f>
        <x:v>7.746908602150539</x:v>
      </x:c>
      <x:c r="G16" s="80" t="n">
        <x:f>'Calc_Case'!J3</x:f>
        <x:v>2760.7894289500446</x:v>
      </x:c>
      <x:c r="H16" s="80" t="n">
        <x:f>'Calc_Case'!M3</x:f>
        <x:v>19.491318886298338</x:v>
      </x:c>
      <x:c r="I16" s="80" t="n">
        <x:f>'Calc_Monthly'!K16</x:f>
        <x:v>18431.15222991399</x:v>
      </x:c>
      <x:c r="J16" s="80" t="n">
        <x:f>'Calc_Monthly'!Q16</x:f>
        <x:v>5754.388471327116</x:v>
      </x:c>
      <x:c r="K16" s="80" t="n">
        <x:f>'Calc_Monthly'!AC16</x:f>
        <x:v>10588.274921232698</x:v>
      </x:c>
      <x:c r="L16" s="80" t="n">
        <x:f>'Calc_Monthly'!AE16</x:f>
        <x:v>16342.663392559814</x:v>
      </x:c>
      <x:c r="M16" s="80" t="n">
        <x:f>'Calc_Monthly'!U16</x:f>
        <x:v>0</x:v>
      </x:c>
      <x:c r="N16" s="80" t="n">
        <x:f>'Calc_Monthly'!AD16</x:f>
        <x:v>0</x:v>
      </x:c>
      <x:c r="O16" s="80" t="n">
        <x:f>'Calc_Monthly'!AF16</x:f>
        <x:v>0</x:v>
      </x:c>
    </x:row>
    <x:row r="17">
      <x:c r="A17" s="78" t="str">
        <x:f>'Calc_Monthly'!A17</x:f>
        <x:v>1|lower</x:v>
      </x:c>
      <x:c r="B17" s="78" t="str">
        <x:f>'Calc_Monthly'!B17</x:f>
        <x:v>1</x:v>
      </x:c>
      <x:c r="C17" s="78" t="str">
        <x:f>'Calc_Monthly'!C17</x:f>
        <x:v>Test building 1</x:v>
      </x:c>
      <x:c r="D17" s="78" t="str">
        <x:f>'Calc_Monthly'!D17</x:f>
        <x:v>lower</x:v>
      </x:c>
      <x:c r="E17" s="78" t="str">
        <x:f>'Calc_Monthly'!E17</x:f>
        <x:v>2023-04</x:v>
      </x:c>
      <x:c r="F17" s="80" t="n">
        <x:f>'Calc_Monthly'!H17</x:f>
        <x:v>12.03041666666667</x:v>
      </x:c>
      <x:c r="G17" s="80" t="n">
        <x:f>'Calc_Case'!J3</x:f>
        <x:v>2760.7894289500446</x:v>
      </x:c>
      <x:c r="H17" s="80" t="n">
        <x:f>'Calc_Case'!M3</x:f>
        <x:v>19.491318886298338</x:v>
      </x:c>
      <x:c r="I17" s="80" t="n">
        <x:f>'Calc_Monthly'!K17</x:f>
        <x:v>18430.491225736587</x:v>
      </x:c>
      <x:c r="J17" s="80" t="n">
        <x:f>'Calc_Monthly'!Q17</x:f>
        <x:v>2348.240094206836</x:v>
      </x:c>
      <x:c r="K17" s="80" t="n">
        <x:f>'Calc_Monthly'!AC17</x:f>
        <x:v>7167.252549635565</x:v>
      </x:c>
      <x:c r="L17" s="80" t="n">
        <x:f>'Calc_Monthly'!AE17</x:f>
        <x:v>9515.4926438424</x:v>
      </x:c>
      <x:c r="M17" s="80" t="n">
        <x:f>'Calc_Monthly'!U17</x:f>
        <x:v>0</x:v>
      </x:c>
      <x:c r="N17" s="80" t="n">
        <x:f>'Calc_Monthly'!AD17</x:f>
        <x:v>0</x:v>
      </x:c>
      <x:c r="O17" s="80" t="n">
        <x:f>'Calc_Monthly'!AF17</x:f>
        <x:v>0</x:v>
      </x:c>
    </x:row>
    <x:row r="18">
      <x:c r="A18" s="78" t="str">
        <x:f>'Calc_Monthly'!A18</x:f>
        <x:v>1|lower</x:v>
      </x:c>
      <x:c r="B18" s="78" t="str">
        <x:f>'Calc_Monthly'!B18</x:f>
        <x:v>1</x:v>
      </x:c>
      <x:c r="C18" s="78" t="str">
        <x:f>'Calc_Monthly'!C18</x:f>
        <x:v>Test building 1</x:v>
      </x:c>
      <x:c r="D18" s="78" t="str">
        <x:f>'Calc_Monthly'!D18</x:f>
        <x:v>lower</x:v>
      </x:c>
      <x:c r="E18" s="78" t="str">
        <x:f>'Calc_Monthly'!E18</x:f>
        <x:v>2023-05</x:v>
      </x:c>
      <x:c r="F18" s="80" t="n">
        <x:f>'Calc_Monthly'!H18</x:f>
        <x:v>17.244086021505375</x:v>
      </x:c>
      <x:c r="G18" s="80" t="n">
        <x:f>'Calc_Case'!J3</x:f>
        <x:v>2760.7894289500446</x:v>
      </x:c>
      <x:c r="H18" s="80" t="n">
        <x:f>'Calc_Case'!M3</x:f>
        <x:v>19.491318886298338</x:v>
      </x:c>
      <x:c r="I18" s="80" t="n">
        <x:f>'Calc_Monthly'!K18</x:f>
        <x:v>19607.673133232936</x:v>
      </x:c>
      <x:c r="J18" s="80" t="n">
        <x:f>'Calc_Monthly'!Q18</x:f>
        <x:v>0</x:v>
      </x:c>
      <x:c r="K18" s="80" t="n">
        <x:f>'Calc_Monthly'!AC18</x:f>
        <x:v>3161.614977942082</x:v>
      </x:c>
      <x:c r="L18" s="80" t="n">
        <x:f>'Calc_Monthly'!AE18</x:f>
        <x:v>3161.614977942082</x:v>
      </x:c>
      <x:c r="M18" s="80" t="n">
        <x:f>'Calc_Monthly'!U18</x:f>
        <x:v>0</x:v>
      </x:c>
      <x:c r="N18" s="80" t="n">
        <x:f>'Calc_Monthly'!AD18</x:f>
        <x:v>0</x:v>
      </x:c>
      <x:c r="O18" s="80" t="n">
        <x:f>'Calc_Monthly'!AF18</x:f>
        <x:v>0</x:v>
      </x:c>
    </x:row>
    <x:row r="19">
      <x:c r="A19" s="78" t="str">
        <x:f>'Calc_Monthly'!A19</x:f>
        <x:v>1|lower</x:v>
      </x:c>
      <x:c r="B19" s="78" t="str">
        <x:f>'Calc_Monthly'!B19</x:f>
        <x:v>1</x:v>
      </x:c>
      <x:c r="C19" s="78" t="str">
        <x:f>'Calc_Monthly'!C19</x:f>
        <x:v>Test building 1</x:v>
      </x:c>
      <x:c r="D19" s="78" t="str">
        <x:f>'Calc_Monthly'!D19</x:f>
        <x:v>lower</x:v>
      </x:c>
      <x:c r="E19" s="78" t="str">
        <x:f>'Calc_Monthly'!E19</x:f>
        <x:v>2023-06</x:v>
      </x:c>
      <x:c r="F19" s="80" t="n">
        <x:f>'Calc_Monthly'!H19</x:f>
        <x:v>20.758194444444445</x:v>
      </x:c>
      <x:c r="G19" s="80" t="n">
        <x:f>'Calc_Case'!J3</x:f>
        <x:v>2760.7894289500446</x:v>
      </x:c>
      <x:c r="H19" s="80" t="n">
        <x:f>'Calc_Case'!M3</x:f>
        <x:v>19.491318886298338</x:v>
      </x:c>
      <x:c r="I19" s="80" t="n">
        <x:f>'Calc_Monthly'!K19</x:f>
        <x:v>19139.567404276975</x:v>
      </x:c>
      <x:c r="J19" s="80" t="n">
        <x:f>'Calc_Monthly'!Q19</x:f>
        <x:v>0</x:v>
      </x:c>
      <x:c r="K19" s="80" t="n">
        <x:f>'Calc_Monthly'!AC19</x:f>
        <x:v>0</x:v>
      </x:c>
      <x:c r="L19" s="80" t="n">
        <x:f>'Calc_Monthly'!AE19</x:f>
        <x:v>0</x:v>
      </x:c>
      <x:c r="M19" s="80" t="n">
        <x:f>'Calc_Monthly'!U19</x:f>
        <x:v>9061.636614763574</x:v>
      </x:c>
      <x:c r="N19" s="80" t="n">
        <x:f>'Calc_Monthly'!AD19</x:f>
        <x:v>1623.442961292328</x:v>
      </x:c>
      <x:c r="O19" s="80" t="n">
        <x:f>'Calc_Monthly'!AF19</x:f>
        <x:v>10685.079576055903</x:v>
      </x:c>
    </x:row>
    <x:row r="20">
      <x:c r="A20" s="78" t="str">
        <x:f>'Calc_Monthly'!A20</x:f>
        <x:v>1|lower</x:v>
      </x:c>
      <x:c r="B20" s="78" t="str">
        <x:f>'Calc_Monthly'!B20</x:f>
        <x:v>1</x:v>
      </x:c>
      <x:c r="C20" s="78" t="str">
        <x:f>'Calc_Monthly'!C20</x:f>
        <x:v>Test building 1</x:v>
      </x:c>
      <x:c r="D20" s="78" t="str">
        <x:f>'Calc_Monthly'!D20</x:f>
        <x:v>lower</x:v>
      </x:c>
      <x:c r="E20" s="78" t="str">
        <x:f>'Calc_Monthly'!E20</x:f>
        <x:v>2023-07</x:v>
      </x:c>
      <x:c r="F20" s="80" t="n">
        <x:f>'Calc_Monthly'!H20</x:f>
        <x:v>23.824193548387097</x:v>
      </x:c>
      <x:c r="G20" s="80" t="n">
        <x:f>'Calc_Case'!J3</x:f>
        <x:v>2760.7894289500446</x:v>
      </x:c>
      <x:c r="H20" s="80" t="n">
        <x:f>'Calc_Case'!M3</x:f>
        <x:v>19.491318886298338</x:v>
      </x:c>
      <x:c r="I20" s="80" t="n">
        <x:f>'Calc_Monthly'!K20</x:f>
        <x:v>19937.342065288765</x:v>
      </x:c>
      <x:c r="J20" s="80" t="n">
        <x:f>'Calc_Monthly'!Q20</x:f>
        <x:v>0</x:v>
      </x:c>
      <x:c r="K20" s="80" t="n">
        <x:f>'Calc_Monthly'!AC20</x:f>
        <x:v>0</x:v>
      </x:c>
      <x:c r="L20" s="80" t="n">
        <x:f>'Calc_Monthly'!AE20</x:f>
        <x:v>0</x:v>
      </x:c>
      <x:c r="M20" s="80" t="n">
        <x:f>'Calc_Monthly'!U20</x:f>
        <x:v>12225.584531357337</x:v>
      </x:c>
      <x:c r="N20" s="80" t="n">
        <x:f>'Calc_Monthly'!AD20</x:f>
        <x:v>3955.213886629663</x:v>
      </x:c>
      <x:c r="O20" s="80" t="n">
        <x:f>'Calc_Monthly'!AF20</x:f>
        <x:v>16180.798417987</x:v>
      </x:c>
    </x:row>
    <x:row r="21">
      <x:c r="A21" s="78" t="str">
        <x:f>'Calc_Monthly'!A21</x:f>
        <x:v>1|lower</x:v>
      </x:c>
      <x:c r="B21" s="78" t="str">
        <x:f>'Calc_Monthly'!B21</x:f>
        <x:v>1</x:v>
      </x:c>
      <x:c r="C21" s="78" t="str">
        <x:f>'Calc_Monthly'!C21</x:f>
        <x:v>Test building 1</x:v>
      </x:c>
      <x:c r="D21" s="78" t="str">
        <x:f>'Calc_Monthly'!D21</x:f>
        <x:v>lower</x:v>
      </x:c>
      <x:c r="E21" s="78" t="str">
        <x:f>'Calc_Monthly'!E21</x:f>
        <x:v>2023-08</x:v>
      </x:c>
      <x:c r="F21" s="80" t="n">
        <x:f>'Calc_Monthly'!H21</x:f>
        <x:v>22.74717741935484</x:v>
      </x:c>
      <x:c r="G21" s="80" t="n">
        <x:f>'Calc_Case'!J3</x:f>
        <x:v>2760.7894289500446</x:v>
      </x:c>
      <x:c r="H21" s="80" t="n">
        <x:f>'Calc_Case'!M3</x:f>
        <x:v>19.491318886298338</x:v>
      </x:c>
      <x:c r="I21" s="80" t="n">
        <x:f>'Calc_Monthly'!K21</x:f>
        <x:v>19504.8245186347</x:v>
      </x:c>
      <x:c r="J21" s="80" t="n">
        <x:f>'Calc_Monthly'!Q21</x:f>
        <x:v>0</x:v>
      </x:c>
      <x:c r="K21" s="80" t="n">
        <x:f>'Calc_Monthly'!AC21</x:f>
        <x:v>0</x:v>
      </x:c>
      <x:c r="L21" s="80" t="n">
        <x:f>'Calc_Monthly'!AE21</x:f>
        <x:v>0</x:v>
      </x:c>
      <x:c r="M21" s="80" t="n">
        <x:f>'Calc_Monthly'!U21</x:f>
        <x:v>10796.444596847537</x:v>
      </x:c>
      <x:c r="N21" s="80" t="n">
        <x:f>'Calc_Monthly'!AD21</x:f>
        <x:v>3155.124800656639</x:v>
      </x:c>
      <x:c r="O21" s="80" t="n">
        <x:f>'Calc_Monthly'!AF21</x:f>
        <x:v>13951.569397504176</x:v>
      </x:c>
    </x:row>
    <x:row r="22">
      <x:c r="A22" s="78" t="str">
        <x:f>'Calc_Monthly'!A22</x:f>
        <x:v>1|lower</x:v>
      </x:c>
      <x:c r="B22" s="78" t="str">
        <x:f>'Calc_Monthly'!B22</x:f>
        <x:v>1</x:v>
      </x:c>
      <x:c r="C22" s="78" t="str">
        <x:f>'Calc_Monthly'!C22</x:f>
        <x:v>Test building 1</x:v>
      </x:c>
      <x:c r="D22" s="78" t="str">
        <x:f>'Calc_Monthly'!D22</x:f>
        <x:v>lower</x:v>
      </x:c>
      <x:c r="E22" s="78" t="str">
        <x:f>'Calc_Monthly'!E22</x:f>
        <x:v>2023-09</x:v>
      </x:c>
      <x:c r="F22" s="80" t="n">
        <x:f>'Calc_Monthly'!H22</x:f>
        <x:v>19.61638888888889</x:v>
      </x:c>
      <x:c r="G22" s="80" t="n">
        <x:f>'Calc_Case'!J3</x:f>
        <x:v>2760.7894289500446</x:v>
      </x:c>
      <x:c r="H22" s="80" t="n">
        <x:f>'Calc_Case'!M3</x:f>
        <x:v>19.491318886298338</x:v>
      </x:c>
      <x:c r="I22" s="80" t="n">
        <x:f>'Calc_Monthly'!K22</x:f>
        <x:v>18296.575462897654</x:v>
      </x:c>
      <x:c r="J22" s="80" t="n">
        <x:f>'Calc_Monthly'!Q22</x:f>
        <x:v>0</x:v>
      </x:c>
      <x:c r="K22" s="80" t="n">
        <x:f>'Calc_Monthly'!AC22</x:f>
        <x:v>0</x:v>
      </x:c>
      <x:c r="L22" s="80" t="n">
        <x:f>'Calc_Monthly'!AE22</x:f>
        <x:v>0</x:v>
      </x:c>
      <x:c r="M22" s="80" t="n">
        <x:f>'Calc_Monthly'!U22</x:f>
        <x:v>7578.605899687911</x:v>
      </x:c>
      <x:c r="N22" s="80" t="n">
        <x:f>'Calc_Monthly'!AD22</x:f>
        <x:v>802.585308005888</x:v>
      </x:c>
      <x:c r="O22" s="80" t="n">
        <x:f>'Calc_Monthly'!AF22</x:f>
        <x:v>8381.191207693799</x:v>
      </x:c>
    </x:row>
    <x:row r="23">
      <x:c r="A23" s="78" t="str">
        <x:f>'Calc_Monthly'!A23</x:f>
        <x:v>1|lower</x:v>
      </x:c>
      <x:c r="B23" s="78" t="str">
        <x:f>'Calc_Monthly'!B23</x:f>
        <x:v>1</x:v>
      </x:c>
      <x:c r="C23" s="78" t="str">
        <x:f>'Calc_Monthly'!C23</x:f>
        <x:v>Test building 1</x:v>
      </x:c>
      <x:c r="D23" s="78" t="str">
        <x:f>'Calc_Monthly'!D23</x:f>
        <x:v>lower</x:v>
      </x:c>
      <x:c r="E23" s="78" t="str">
        <x:f>'Calc_Monthly'!E23</x:f>
        <x:v>2023-10</x:v>
      </x:c>
      <x:c r="F23" s="80" t="n">
        <x:f>'Calc_Monthly'!H23</x:f>
        <x:v>13.926209677419354</x:v>
      </x:c>
      <x:c r="G23" s="80" t="n">
        <x:f>'Calc_Case'!J3</x:f>
        <x:v>2760.7894289500446</x:v>
      </x:c>
      <x:c r="H23" s="80" t="n">
        <x:f>'Calc_Case'!M3</x:f>
        <x:v>19.491318886298338</x:v>
      </x:c>
      <x:c r="I23" s="80" t="n">
        <x:f>'Calc_Monthly'!K23</x:f>
        <x:v>18139.916899489846</x:v>
      </x:c>
      <x:c r="J23" s="80" t="n">
        <x:f>'Calc_Monthly'!Q23</x:f>
        <x:v>294.2772021305509</x:v>
      </x:c>
      <x:c r="K23" s="80" t="n">
        <x:f>'Calc_Monthly'!AC23</x:f>
        <x:v>5830.076331071887</x:v>
      </x:c>
      <x:c r="L23" s="80" t="n">
        <x:f>'Calc_Monthly'!AE23</x:f>
        <x:v>6124.353533202438</x:v>
      </x:c>
      <x:c r="M23" s="80" t="n">
        <x:f>'Calc_Monthly'!U23</x:f>
        <x:v>0</x:v>
      </x:c>
      <x:c r="N23" s="80" t="n">
        <x:f>'Calc_Monthly'!AD23</x:f>
        <x:v>0</x:v>
      </x:c>
      <x:c r="O23" s="80" t="n">
        <x:f>'Calc_Monthly'!AF23</x:f>
        <x:v>0</x:v>
      </x:c>
    </x:row>
    <x:row r="24">
      <x:c r="A24" s="78" t="str">
        <x:f>'Calc_Monthly'!A24</x:f>
        <x:v>1|lower</x:v>
      </x:c>
      <x:c r="B24" s="78" t="str">
        <x:f>'Calc_Monthly'!B24</x:f>
        <x:v>1</x:v>
      </x:c>
      <x:c r="C24" s="78" t="str">
        <x:f>'Calc_Monthly'!C24</x:f>
        <x:v>Test building 1</x:v>
      </x:c>
      <x:c r="D24" s="78" t="str">
        <x:f>'Calc_Monthly'!D24</x:f>
        <x:v>lower</x:v>
      </x:c>
      <x:c r="E24" s="78" t="str">
        <x:f>'Calc_Monthly'!E24</x:f>
        <x:v>2023-11</x:v>
      </x:c>
      <x:c r="F24" s="80" t="n">
        <x:f>'Calc_Monthly'!H24</x:f>
        <x:v>8.68388888888889</x:v>
      </x:c>
      <x:c r="G24" s="80" t="n">
        <x:f>'Calc_Case'!J3</x:f>
        <x:v>2760.7894289500446</x:v>
      </x:c>
      <x:c r="H24" s="80" t="n">
        <x:f>'Calc_Case'!M3</x:f>
        <x:v>19.491318886298338</x:v>
      </x:c>
      <x:c r="I24" s="80" t="n">
        <x:f>'Calc_Monthly'!K24</x:f>
        <x:v>16827.354398343163</x:v>
      </x:c>
      <x:c r="J24" s="80" t="n">
        <x:f>'Calc_Monthly'!Q24</x:f>
        <x:v>5145.040525175591</x:v>
      </x:c>
      <x:c r="K24" s="80" t="n">
        <x:f>'Calc_Monthly'!AC24</x:f>
        <x:v>9573.111344908253</x:v>
      </x:c>
      <x:c r="L24" s="80" t="n">
        <x:f>'Calc_Monthly'!AE24</x:f>
        <x:v>14718.151870083844</x:v>
      </x:c>
      <x:c r="M24" s="80" t="n">
        <x:f>'Calc_Monthly'!U24</x:f>
        <x:v>0</x:v>
      </x:c>
      <x:c r="N24" s="80" t="n">
        <x:f>'Calc_Monthly'!AD24</x:f>
        <x:v>0</x:v>
      </x:c>
      <x:c r="O24" s="80" t="n">
        <x:f>'Calc_Monthly'!AF24</x:f>
        <x:v>0</x:v>
      </x:c>
    </x:row>
    <x:row r="25">
      <x:c r="A25" s="78" t="str">
        <x:f>'Calc_Monthly'!A25</x:f>
        <x:v>1|lower</x:v>
      </x:c>
      <x:c r="B25" s="78" t="str">
        <x:f>'Calc_Monthly'!B25</x:f>
        <x:v>1</x:v>
      </x:c>
      <x:c r="C25" s="78" t="str">
        <x:f>'Calc_Monthly'!C25</x:f>
        <x:v>Test building 1</x:v>
      </x:c>
      <x:c r="D25" s="78" t="str">
        <x:f>'Calc_Monthly'!D25</x:f>
        <x:v>lower</x:v>
      </x:c>
      <x:c r="E25" s="78" t="str">
        <x:f>'Calc_Monthly'!E25</x:f>
        <x:v>2023-12</x:v>
      </x:c>
      <x:c r="F25" s="80" t="n">
        <x:f>'Calc_Monthly'!H25</x:f>
        <x:v>3.9963709677419357</x:v>
      </x:c>
      <x:c r="G25" s="80" t="n">
        <x:f>'Calc_Case'!J3</x:f>
        <x:v>2760.7894289500446</x:v>
      </x:c>
      <x:c r="H25" s="80" t="n">
        <x:f>'Calc_Case'!M3</x:f>
        <x:v>19.491318886298338</x:v>
      </x:c>
      <x:c r="I25" s="80" t="n">
        <x:f>'Calc_Monthly'!K25</x:f>
        <x:v>17292.60662798047</x:v>
      </x:c>
      <x:c r="J25" s="80" t="n">
        <x:f>'Calc_Monthly'!Q25</x:f>
        <x:v>9835.572267444339</x:v>
      </x:c>
      <x:c r="K25" s="80" t="n">
        <x:f>'Calc_Monthly'!AC25</x:f>
        <x:v>13374.458105432284</x:v>
      </x:c>
      <x:c r="L25" s="80" t="n">
        <x:f>'Calc_Monthly'!AE25</x:f>
        <x:v>23210.030372876623</x:v>
      </x:c>
      <x:c r="M25" s="80" t="n">
        <x:f>'Calc_Monthly'!U25</x:f>
        <x:v>0</x:v>
      </x:c>
      <x:c r="N25" s="80" t="n">
        <x:f>'Calc_Monthly'!AD25</x:f>
        <x:v>0</x:v>
      </x:c>
      <x:c r="O25" s="80" t="n">
        <x:f>'Calc_Monthly'!AF25</x:f>
        <x:v>0</x:v>
      </x:c>
    </x:row>
    <x:row r="26">
      <x:c r="A26" s="78" t="str">
        <x:f>'Calc_Monthly'!A26</x:f>
        <x:v>1|upper</x:v>
      </x:c>
      <x:c r="B26" s="78" t="str">
        <x:f>'Calc_Monthly'!B26</x:f>
        <x:v>1</x:v>
      </x:c>
      <x:c r="C26" s="78" t="str">
        <x:f>'Calc_Monthly'!C26</x:f>
        <x:v>Test building 1</x:v>
      </x:c>
      <x:c r="D26" s="78" t="str">
        <x:f>'Calc_Monthly'!D26</x:f>
        <x:v>upper</x:v>
      </x:c>
      <x:c r="E26" s="78" t="str">
        <x:f>'Calc_Monthly'!E26</x:f>
        <x:v>2023-01</x:v>
      </x:c>
      <x:c r="F26" s="80" t="n">
        <x:f>'Calc_Monthly'!H26</x:f>
        <x:v>2.638440860215054</x:v>
      </x:c>
      <x:c r="G26" s="80" t="n">
        <x:f>'Calc_Case'!J4</x:f>
        <x:v>3573.65771442766</x:v>
      </x:c>
      <x:c r="H26" s="80" t="n">
        <x:f>'Calc_Case'!M4</x:f>
        <x:v>28.667736749174054</x:v>
      </x:c>
      <x:c r="I26" s="80" t="n">
        <x:f>'Calc_Monthly'!K26</x:f>
        <x:v>2550.1710524238356</x:v>
      </x:c>
      <x:c r="J26" s="80" t="n">
        <x:f>'Calc_Monthly'!Q26</x:f>
        <x:v>29260.780573859716</x:v>
      </x:c>
      <x:c r="K26" s="80" t="n">
        <x:f>'Calc_Monthly'!AC26</x:f>
        <x:v>14351.497524226408</x:v>
      </x:c>
      <x:c r="L26" s="80" t="n">
        <x:f>'Calc_Monthly'!AE26</x:f>
        <x:v>43612.27809808613</x:v>
      </x:c>
      <x:c r="M26" s="80" t="n">
        <x:f>'Calc_Monthly'!U26</x:f>
        <x:v>0</x:v>
      </x:c>
      <x:c r="N26" s="80" t="n">
        <x:f>'Calc_Monthly'!AD26</x:f>
        <x:v>0</x:v>
      </x:c>
      <x:c r="O26" s="80" t="n">
        <x:f>'Calc_Monthly'!AF26</x:f>
        <x:v>0</x:v>
      </x:c>
    </x:row>
    <x:row r="27">
      <x:c r="A27" s="78" t="str">
        <x:f>'Calc_Monthly'!A27</x:f>
        <x:v>1|upper</x:v>
      </x:c>
      <x:c r="B27" s="78" t="str">
        <x:f>'Calc_Monthly'!B27</x:f>
        <x:v>1</x:v>
      </x:c>
      <x:c r="C27" s="78" t="str">
        <x:f>'Calc_Monthly'!C27</x:f>
        <x:v>Test building 1</x:v>
      </x:c>
      <x:c r="D27" s="78" t="str">
        <x:f>'Calc_Monthly'!D27</x:f>
        <x:v>upper</x:v>
      </x:c>
      <x:c r="E27" s="78" t="str">
        <x:f>'Calc_Monthly'!E27</x:f>
        <x:v>2023-02</x:v>
      </x:c>
      <x:c r="F27" s="80" t="n">
        <x:f>'Calc_Monthly'!H27</x:f>
        <x:v>3.8903273809523813</x:v>
      </x:c>
      <x:c r="G27" s="80" t="n">
        <x:f>'Calc_Case'!J4</x:f>
        <x:v>3573.65771442766</x:v>
      </x:c>
      <x:c r="H27" s="80" t="n">
        <x:f>'Calc_Case'!M4</x:f>
        <x:v>28.667736749174054</x:v>
      </x:c>
      <x:c r="I27" s="80" t="n">
        <x:f>'Calc_Monthly'!K27</x:f>
        <x:v>3113.693894647919</x:v>
      </x:c>
      <x:c r="J27" s="80" t="n">
        <x:f>'Calc_Monthly'!Q27</x:f>
        <x:v>23342.128871231456</x:v>
      </x:c>
      <x:c r="K27" s="80" t="n">
        <x:f>'Calc_Monthly'!AC27</x:f>
        <x:v>12236.944066202954</x:v>
      </x:c>
      <x:c r="L27" s="80" t="n">
        <x:f>'Calc_Monthly'!AE27</x:f>
        <x:v>35579.07293743441</x:v>
      </x:c>
      <x:c r="M27" s="80" t="n">
        <x:f>'Calc_Monthly'!U27</x:f>
        <x:v>0</x:v>
      </x:c>
      <x:c r="N27" s="80" t="n">
        <x:f>'Calc_Monthly'!AD27</x:f>
        <x:v>0</x:v>
      </x:c>
      <x:c r="O27" s="80" t="n">
        <x:f>'Calc_Monthly'!AF27</x:f>
        <x:v>0</x:v>
      </x:c>
    </x:row>
    <x:row r="28">
      <x:c r="A28" s="78" t="str">
        <x:f>'Calc_Monthly'!A28</x:f>
        <x:v>1|upper</x:v>
      </x:c>
      <x:c r="B28" s="78" t="str">
        <x:f>'Calc_Monthly'!B28</x:f>
        <x:v>1</x:v>
      </x:c>
      <x:c r="C28" s="78" t="str">
        <x:f>'Calc_Monthly'!C28</x:f>
        <x:v>Test building 1</x:v>
      </x:c>
      <x:c r="D28" s="78" t="str">
        <x:f>'Calc_Monthly'!D28</x:f>
        <x:v>upper</x:v>
      </x:c>
      <x:c r="E28" s="78" t="str">
        <x:f>'Calc_Monthly'!E28</x:f>
        <x:v>2023-03</x:v>
      </x:c>
      <x:c r="F28" s="80" t="n">
        <x:f>'Calc_Monthly'!H28</x:f>
        <x:v>7.746908602150539</x:v>
      </x:c>
      <x:c r="G28" s="80" t="n">
        <x:f>'Calc_Case'!J4</x:f>
        <x:v>3573.65771442766</x:v>
      </x:c>
      <x:c r="H28" s="80" t="n">
        <x:f>'Calc_Case'!M4</x:f>
        <x:v>28.667736749174054</x:v>
      </x:c>
      <x:c r="I28" s="80" t="n">
        <x:f>'Calc_Monthly'!K28</x:f>
        <x:v>6985.286158495376</x:v>
      </x:c>
      <x:c r="J28" s="80" t="n">
        <x:f>'Calc_Monthly'!Q28</x:f>
        <x:v>14701.156258879073</x:v>
      </x:c>
      <x:c r="K28" s="80" t="n">
        <x:f>'Calc_Monthly'!AC28</x:f>
        <x:v>11072.917453280486</x:v>
      </x:c>
      <x:c r="L28" s="80" t="n">
        <x:f>'Calc_Monthly'!AE28</x:f>
        <x:v>25774.07371215956</x:v>
      </x:c>
      <x:c r="M28" s="80" t="n">
        <x:f>'Calc_Monthly'!U28</x:f>
        <x:v>0</x:v>
      </x:c>
      <x:c r="N28" s="80" t="n">
        <x:f>'Calc_Monthly'!AD28</x:f>
        <x:v>0</x:v>
      </x:c>
      <x:c r="O28" s="80" t="n">
        <x:f>'Calc_Monthly'!AF28</x:f>
        <x:v>0</x:v>
      </x:c>
    </x:row>
    <x:row r="29">
      <x:c r="A29" s="78" t="str">
        <x:f>'Calc_Monthly'!A29</x:f>
        <x:v>1|upper</x:v>
      </x:c>
      <x:c r="B29" s="78" t="str">
        <x:f>'Calc_Monthly'!B29</x:f>
        <x:v>1</x:v>
      </x:c>
      <x:c r="C29" s="78" t="str">
        <x:f>'Calc_Monthly'!C29</x:f>
        <x:v>Test building 1</x:v>
      </x:c>
      <x:c r="D29" s="78" t="str">
        <x:f>'Calc_Monthly'!D29</x:f>
        <x:v>upper</x:v>
      </x:c>
      <x:c r="E29" s="78" t="str">
        <x:f>'Calc_Monthly'!E29</x:f>
        <x:v>2023-04</x:v>
      </x:c>
      <x:c r="F29" s="80" t="n">
        <x:f>'Calc_Monthly'!H29</x:f>
        <x:v>12.03041666666667</x:v>
      </x:c>
      <x:c r="G29" s="80" t="n">
        <x:f>'Calc_Case'!J4</x:f>
        <x:v>3573.65771442766</x:v>
      </x:c>
      <x:c r="H29" s="80" t="n">
        <x:f>'Calc_Case'!M4</x:f>
        <x:v>28.667736749174054</x:v>
      </x:c>
      <x:c r="I29" s="80" t="n">
        <x:f>'Calc_Monthly'!K29</x:f>
        <x:v>9113.88552844054</x:v>
      </x:c>
      <x:c r="J29" s="80" t="n">
        <x:f>'Calc_Monthly'!Q29</x:f>
        <x:v>4734.234774191594</x:v>
      </x:c>
      <x:c r="K29" s="80" t="n">
        <x:f>'Calc_Monthly'!AC29</x:f>
        <x:v>8055.281543005267</x:v>
      </x:c>
      <x:c r="L29" s="80" t="n">
        <x:f>'Calc_Monthly'!AE29</x:f>
        <x:v>12789.51631719686</x:v>
      </x:c>
      <x:c r="M29" s="80" t="n">
        <x:f>'Calc_Monthly'!U29</x:f>
        <x:v>0</x:v>
      </x:c>
      <x:c r="N29" s="80" t="n">
        <x:f>'Calc_Monthly'!AD29</x:f>
        <x:v>0</x:v>
      </x:c>
      <x:c r="O29" s="80" t="n">
        <x:f>'Calc_Monthly'!AF29</x:f>
        <x:v>0</x:v>
      </x:c>
    </x:row>
    <x:row r="30">
      <x:c r="A30" s="78" t="str">
        <x:f>'Calc_Monthly'!A30</x:f>
        <x:v>1|upper</x:v>
      </x:c>
      <x:c r="B30" s="78" t="str">
        <x:f>'Calc_Monthly'!B30</x:f>
        <x:v>1</x:v>
      </x:c>
      <x:c r="C30" s="78" t="str">
        <x:f>'Calc_Monthly'!C30</x:f>
        <x:v>Test building 1</x:v>
      </x:c>
      <x:c r="D30" s="78" t="str">
        <x:f>'Calc_Monthly'!D30</x:f>
        <x:v>upper</x:v>
      </x:c>
      <x:c r="E30" s="78" t="str">
        <x:f>'Calc_Monthly'!E30</x:f>
        <x:v>2023-05</x:v>
      </x:c>
      <x:c r="F30" s="80" t="n">
        <x:f>'Calc_Monthly'!H30</x:f>
        <x:v>17.244086021505375</x:v>
      </x:c>
      <x:c r="G30" s="80" t="n">
        <x:f>'Calc_Case'!J4</x:f>
        <x:v>3573.65771442766</x:v>
      </x:c>
      <x:c r="H30" s="80" t="n">
        <x:f>'Calc_Case'!M4</x:f>
        <x:v>28.667736749174054</x:v>
      </x:c>
      <x:c r="I30" s="80" t="n">
        <x:f>'Calc_Monthly'!K30</x:f>
        <x:v>12237.397380647539</x:v>
      </x:c>
      <x:c r="J30" s="80" t="n">
        <x:f>'Calc_Monthly'!Q30</x:f>
        <x:v>0</x:v>
      </x:c>
      <x:c r="K30" s="80" t="n">
        <x:f>'Calc_Monthly'!AC30</x:f>
        <x:v>3694.106689772628</x:v>
      </x:c>
      <x:c r="L30" s="80" t="n">
        <x:f>'Calc_Monthly'!AE30</x:f>
        <x:v>3694.106689772628</x:v>
      </x:c>
      <x:c r="M30" s="80" t="n">
        <x:f>'Calc_Monthly'!U30</x:f>
        <x:v>0</x:v>
      </x:c>
      <x:c r="N30" s="80" t="n">
        <x:f>'Calc_Monthly'!AD30</x:f>
        <x:v>0</x:v>
      </x:c>
      <x:c r="O30" s="80" t="n">
        <x:f>'Calc_Monthly'!AF30</x:f>
        <x:v>0</x:v>
      </x:c>
    </x:row>
    <x:row r="31">
      <x:c r="A31" s="78" t="str">
        <x:f>'Calc_Monthly'!A31</x:f>
        <x:v>1|upper</x:v>
      </x:c>
      <x:c r="B31" s="78" t="str">
        <x:f>'Calc_Monthly'!B31</x:f>
        <x:v>1</x:v>
      </x:c>
      <x:c r="C31" s="78" t="str">
        <x:f>'Calc_Monthly'!C31</x:f>
        <x:v>Test building 1</x:v>
      </x:c>
      <x:c r="D31" s="78" t="str">
        <x:f>'Calc_Monthly'!D31</x:f>
        <x:v>upper</x:v>
      </x:c>
      <x:c r="E31" s="78" t="str">
        <x:f>'Calc_Monthly'!E31</x:f>
        <x:v>2023-06</x:v>
      </x:c>
      <x:c r="F31" s="80" t="n">
        <x:f>'Calc_Monthly'!H31</x:f>
        <x:v>20.758194444444445</x:v>
      </x:c>
      <x:c r="G31" s="80" t="n">
        <x:f>'Calc_Case'!J4</x:f>
        <x:v>3573.65771442766</x:v>
      </x:c>
      <x:c r="H31" s="80" t="n">
        <x:f>'Calc_Case'!M4</x:f>
        <x:v>28.667736749174054</x:v>
      </x:c>
      <x:c r="I31" s="80" t="n">
        <x:f>'Calc_Monthly'!K31</x:f>
        <x:v>12619.46486287077</x:v>
      </x:c>
      <x:c r="J31" s="80" t="n">
        <x:f>'Calc_Monthly'!Q31</x:f>
        <x:v>0</x:v>
      </x:c>
      <x:c r="K31" s="80" t="n">
        <x:f>'Calc_Monthly'!AC31</x:f>
        <x:v>0</x:v>
      </x:c>
      <x:c r="L31" s="80" t="n">
        <x:f>'Calc_Monthly'!AE31</x:f>
        <x:v>0</x:v>
      </x:c>
      <x:c r="M31" s="80" t="n">
        <x:f>'Calc_Monthly'!U31</x:f>
        <x:v>2495.1281129339477</x:v>
      </x:c>
      <x:c r="N31" s="80" t="n">
        <x:f>'Calc_Monthly'!AD31</x:f>
        <x:v>1402.5425151553588</x:v>
      </x:c>
      <x:c r="O31" s="80" t="n">
        <x:f>'Calc_Monthly'!AF31</x:f>
        <x:v>3897.670628089307</x:v>
      </x:c>
    </x:row>
    <x:row r="32">
      <x:c r="A32" s="78" t="str">
        <x:f>'Calc_Monthly'!A32</x:f>
        <x:v>1|upper</x:v>
      </x:c>
      <x:c r="B32" s="78" t="str">
        <x:f>'Calc_Monthly'!B32</x:f>
        <x:v>1</x:v>
      </x:c>
      <x:c r="C32" s="78" t="str">
        <x:f>'Calc_Monthly'!C32</x:f>
        <x:v>Test building 1</x:v>
      </x:c>
      <x:c r="D32" s="78" t="str">
        <x:f>'Calc_Monthly'!D32</x:f>
        <x:v>upper</x:v>
      </x:c>
      <x:c r="E32" s="78" t="str">
        <x:f>'Calc_Monthly'!E32</x:f>
        <x:v>2023-07</x:v>
      </x:c>
      <x:c r="F32" s="80" t="n">
        <x:f>'Calc_Monthly'!H32</x:f>
        <x:v>23.824193548387097</x:v>
      </x:c>
      <x:c r="G32" s="80" t="n">
        <x:f>'Calc_Case'!J4</x:f>
        <x:v>3573.65771442766</x:v>
      </x:c>
      <x:c r="H32" s="80" t="n">
        <x:f>'Calc_Case'!M4</x:f>
        <x:v>28.667736749174054</x:v>
      </x:c>
      <x:c r="I32" s="80" t="n">
        <x:f>'Calc_Monthly'!K32</x:f>
        <x:v>13508.87857038167</x:v>
      </x:c>
      <x:c r="J32" s="80" t="n">
        <x:f>'Calc_Monthly'!Q32</x:f>
        <x:v>0</x:v>
      </x:c>
      <x:c r="K32" s="80" t="n">
        <x:f>'Calc_Monthly'!AC32</x:f>
        <x:v>0</x:v>
      </x:c>
      <x:c r="L32" s="80" t="n">
        <x:f>'Calc_Monthly'!AE32</x:f>
        <x:v>0</x:v>
      </x:c>
      <x:c r="M32" s="80" t="n">
        <x:f>'Calc_Monthly'!U32</x:f>
        <x:v>5541.291408337277</x:v>
      </x:c>
      <x:c r="N32" s="80" t="n">
        <x:f>'Calc_Monthly'!AD32</x:f>
        <x:v>3417.0314355331866</x:v>
      </x:c>
      <x:c r="O32" s="80" t="n">
        <x:f>'Calc_Monthly'!AF32</x:f>
        <x:v>8958.322843870465</x:v>
      </x:c>
    </x:row>
    <x:row r="33">
      <x:c r="A33" s="78" t="str">
        <x:f>'Calc_Monthly'!A33</x:f>
        <x:v>1|upper</x:v>
      </x:c>
      <x:c r="B33" s="78" t="str">
        <x:f>'Calc_Monthly'!B33</x:f>
        <x:v>1</x:v>
      </x:c>
      <x:c r="C33" s="78" t="str">
        <x:f>'Calc_Monthly'!C33</x:f>
        <x:v>Test building 1</x:v>
      </x:c>
      <x:c r="D33" s="78" t="str">
        <x:f>'Calc_Monthly'!D33</x:f>
        <x:v>upper</x:v>
      </x:c>
      <x:c r="E33" s="78" t="str">
        <x:f>'Calc_Monthly'!E33</x:f>
        <x:v>2023-08</x:v>
      </x:c>
      <x:c r="F33" s="80" t="n">
        <x:f>'Calc_Monthly'!H33</x:f>
        <x:v>22.74717741935484</x:v>
      </x:c>
      <x:c r="G33" s="80" t="n">
        <x:f>'Calc_Case'!J4</x:f>
        <x:v>3573.65771442766</x:v>
      </x:c>
      <x:c r="H33" s="80" t="n">
        <x:f>'Calc_Case'!M4</x:f>
        <x:v>28.667736749174054</x:v>
      </x:c>
      <x:c r="I33" s="80" t="n">
        <x:f>'Calc_Monthly'!K33</x:f>
        <x:v>11691.025842096167</x:v>
      </x:c>
      <x:c r="J33" s="80" t="n">
        <x:f>'Calc_Monthly'!Q33</x:f>
        <x:v>0</x:v>
      </x:c>
      <x:c r="K33" s="80" t="n">
        <x:f>'Calc_Monthly'!AC33</x:f>
        <x:v>0</x:v>
      </x:c>
      <x:c r="L33" s="80" t="n">
        <x:f>'Calc_Monthly'!AE33</x:f>
        <x:v>0</x:v>
      </x:c>
      <x:c r="M33" s="80" t="n">
        <x:f>'Calc_Monthly'!U33</x:f>
        <x:v>3109.6045152053885</x:v>
      </x:c>
      <x:c r="N33" s="80" t="n">
        <x:f>'Calc_Monthly'!AD33</x:f>
        <x:v>2725.8097629862978</x:v>
      </x:c>
      <x:c r="O33" s="80" t="n">
        <x:f>'Calc_Monthly'!AF33</x:f>
        <x:v>5835.414278191686</x:v>
      </x:c>
    </x:row>
    <x:row r="34">
      <x:c r="A34" s="78" t="str">
        <x:f>'Calc_Monthly'!A34</x:f>
        <x:v>1|upper</x:v>
      </x:c>
      <x:c r="B34" s="78" t="str">
        <x:f>'Calc_Monthly'!B34</x:f>
        <x:v>1</x:v>
      </x:c>
      <x:c r="C34" s="78" t="str">
        <x:f>'Calc_Monthly'!C34</x:f>
        <x:v>Test building 1</x:v>
      </x:c>
      <x:c r="D34" s="78" t="str">
        <x:f>'Calc_Monthly'!D34</x:f>
        <x:v>upper</x:v>
      </x:c>
      <x:c r="E34" s="78" t="str">
        <x:f>'Calc_Monthly'!E34</x:f>
        <x:v>2023-09</x:v>
      </x:c>
      <x:c r="F34" s="80" t="n">
        <x:f>'Calc_Monthly'!H34</x:f>
        <x:v>19.61638888888889</x:v>
      </x:c>
      <x:c r="G34" s="80" t="n">
        <x:f>'Calc_Case'!J4</x:f>
        <x:v>3573.65771442766</x:v>
      </x:c>
      <x:c r="H34" s="80" t="n">
        <x:f>'Calc_Case'!M4</x:f>
        <x:v>28.667736749174054</x:v>
      </x:c>
      <x:c r="I34" s="80" t="n">
        <x:f>'Calc_Monthly'!K34</x:f>
        <x:v>8575.047180554715</x:v>
      </x:c>
      <x:c r="J34" s="80" t="n">
        <x:f>'Calc_Monthly'!Q34</x:f>
        <x:v>0</x:v>
      </x:c>
      <x:c r="K34" s="80" t="n">
        <x:f>'Calc_Monthly'!AC34</x:f>
        <x:v>0</x:v>
      </x:c>
      <x:c r="L34" s="80" t="n">
        <x:f>'Calc_Monthly'!AE34</x:f>
        <x:v>0</x:v>
      </x:c>
      <x:c r="M34" s="80" t="n">
        <x:f>'Calc_Monthly'!U34</x:f>
        <x:v>613.0139768880108</x:v>
      </x:c>
      <x:c r="N34" s="80" t="n">
        <x:f>'Calc_Monthly'!AD34</x:f>
        <x:v>693.3782358582185</x:v>
      </x:c>
      <x:c r="O34" s="80" t="n">
        <x:f>'Calc_Monthly'!AF34</x:f>
        <x:v>1306.3922127462292</x:v>
      </x:c>
    </x:row>
    <x:row r="35">
      <x:c r="A35" s="78" t="str">
        <x:f>'Calc_Monthly'!A35</x:f>
        <x:v>1|upper</x:v>
      </x:c>
      <x:c r="B35" s="78" t="str">
        <x:f>'Calc_Monthly'!B35</x:f>
        <x:v>1</x:v>
      </x:c>
      <x:c r="C35" s="78" t="str">
        <x:f>'Calc_Monthly'!C35</x:f>
        <x:v>Test building 1</x:v>
      </x:c>
      <x:c r="D35" s="78" t="str">
        <x:f>'Calc_Monthly'!D35</x:f>
        <x:v>upper</x:v>
      </x:c>
      <x:c r="E35" s="78" t="str">
        <x:f>'Calc_Monthly'!E35</x:f>
        <x:v>2023-10</x:v>
      </x:c>
      <x:c r="F35" s="80" t="n">
        <x:f>'Calc_Monthly'!H35</x:f>
        <x:v>13.926209677419354</x:v>
      </x:c>
      <x:c r="G35" s="80" t="n">
        <x:f>'Calc_Case'!J4</x:f>
        <x:v>3573.65771442766</x:v>
      </x:c>
      <x:c r="H35" s="80" t="n">
        <x:f>'Calc_Case'!M4</x:f>
        <x:v>28.667736749174054</x:v>
      </x:c>
      <x:c r="I35" s="80" t="n">
        <x:f>'Calc_Monthly'!K35</x:f>
        <x:v>5583.021307371141</x:v>
      </x:c>
      <x:c r="J35" s="80" t="n">
        <x:f>'Calc_Monthly'!Q35</x:f>
        <x:v>1057.818821250271</x:v>
      </x:c>
      <x:c r="K35" s="80" t="n">
        <x:f>'Calc_Monthly'!AC35</x:f>
        <x:v>6527.399568195515</x:v>
      </x:c>
      <x:c r="L35" s="80" t="n">
        <x:f>'Calc_Monthly'!AE35</x:f>
        <x:v>7585.218389445786</x:v>
      </x:c>
      <x:c r="M35" s="80" t="n">
        <x:f>'Calc_Monthly'!U35</x:f>
        <x:v>0</x:v>
      </x:c>
      <x:c r="N35" s="80" t="n">
        <x:f>'Calc_Monthly'!AD35</x:f>
        <x:v>0</x:v>
      </x:c>
      <x:c r="O35" s="80" t="n">
        <x:f>'Calc_Monthly'!AF35</x:f>
        <x:v>0</x:v>
      </x:c>
    </x:row>
    <x:row r="36">
      <x:c r="A36" s="78" t="str">
        <x:f>'Calc_Monthly'!A36</x:f>
        <x:v>1|upper</x:v>
      </x:c>
      <x:c r="B36" s="78" t="str">
        <x:f>'Calc_Monthly'!B36</x:f>
        <x:v>1</x:v>
      </x:c>
      <x:c r="C36" s="78" t="str">
        <x:f>'Calc_Monthly'!C36</x:f>
        <x:v>Test building 1</x:v>
      </x:c>
      <x:c r="D36" s="78" t="str">
        <x:f>'Calc_Monthly'!D36</x:f>
        <x:v>upper</x:v>
      </x:c>
      <x:c r="E36" s="78" t="str">
        <x:f>'Calc_Monthly'!E36</x:f>
        <x:v>2023-11</x:v>
      </x:c>
      <x:c r="F36" s="80" t="n">
        <x:f>'Calc_Monthly'!H36</x:f>
        <x:v>8.68388888888889</x:v>
      </x:c>
      <x:c r="G36" s="80" t="n">
        <x:f>'Calc_Case'!J4</x:f>
        <x:v>3573.65771442766</x:v>
      </x:c>
      <x:c r="H36" s="80" t="n">
        <x:f>'Calc_Case'!M4</x:f>
        <x:v>28.667736749174054</x:v>
      </x:c>
      <x:c r="I36" s="80" t="n">
        <x:f>'Calc_Monthly'!K36</x:f>
        <x:v>2589.2535378968896</x:v>
      </x:c>
      <x:c r="J36" s="80" t="n">
        <x:f>'Calc_Monthly'!Q36</x:f>
        <x:v>16400.478326081047</x:v>
      </x:c>
      <x:c r="K36" s="80" t="n">
        <x:f>'Calc_Monthly'!AC36</x:f>
        <x:v>10133.777262463313</x:v>
      </x:c>
      <x:c r="L36" s="80" t="n">
        <x:f>'Calc_Monthly'!AE36</x:f>
        <x:v>26534.255588544358</x:v>
      </x:c>
      <x:c r="M36" s="80" t="n">
        <x:f>'Calc_Monthly'!U36</x:f>
        <x:v>0</x:v>
      </x:c>
      <x:c r="N36" s="80" t="n">
        <x:f>'Calc_Monthly'!AD36</x:f>
        <x:v>0</x:v>
      </x:c>
      <x:c r="O36" s="80" t="n">
        <x:f>'Calc_Monthly'!AF36</x:f>
        <x:v>0</x:v>
      </x:c>
    </x:row>
    <x:row r="37">
      <x:c r="A37" s="78" t="str">
        <x:f>'Calc_Monthly'!A37</x:f>
        <x:v>1|upper</x:v>
      </x:c>
      <x:c r="B37" s="78" t="str">
        <x:f>'Calc_Monthly'!B37</x:f>
        <x:v>1</x:v>
      </x:c>
      <x:c r="C37" s="78" t="str">
        <x:f>'Calc_Monthly'!C37</x:f>
        <x:v>Test building 1</x:v>
      </x:c>
      <x:c r="D37" s="78" t="str">
        <x:f>'Calc_Monthly'!D37</x:f>
        <x:v>upper</x:v>
      </x:c>
      <x:c r="E37" s="78" t="str">
        <x:f>'Calc_Monthly'!E37</x:f>
        <x:v>2023-12</x:v>
      </x:c>
      <x:c r="F37" s="80" t="n">
        <x:f>'Calc_Monthly'!H37</x:f>
        <x:v>3.9963709677419357</x:v>
      </x:c>
      <x:c r="G37" s="80" t="n">
        <x:f>'Calc_Case'!J4</x:f>
        <x:v>3573.65771442766</x:v>
      </x:c>
      <x:c r="H37" s="80" t="n">
        <x:f>'Calc_Case'!M4</x:f>
        <x:v>28.667736749174054</x:v>
      </x:c>
      <x:c r="I37" s="80" t="n">
        <x:f>'Calc_Monthly'!K37</x:f>
        <x:v>2101.916765081705</x:v>
      </x:c>
      <x:c r="J37" s="80" t="n">
        <x:f>'Calc_Monthly'!Q37</x:f>
        <x:v>26969.49717556072</x:v>
      </x:c>
      <x:c r="K37" s="80" t="n">
        <x:f>'Calc_Monthly'!AC37</x:f>
        <x:v>13479.987158852487</x:v>
      </x:c>
      <x:c r="L37" s="80" t="n">
        <x:f>'Calc_Monthly'!AE37</x:f>
        <x:v>40449.48433441321</x:v>
      </x:c>
      <x:c r="M37" s="80" t="n">
        <x:f>'Calc_Monthly'!U37</x:f>
        <x:v>0</x:v>
      </x:c>
      <x:c r="N37" s="80" t="n">
        <x:f>'Calc_Monthly'!AD37</x:f>
        <x:v>0</x:v>
      </x:c>
      <x:c r="O37" s="80" t="n">
        <x:f>'Calc_Monthly'!AF37</x:f>
        <x:v>0</x:v>
      </x:c>
    </x:row>
    <x:row r="38">
      <x:c r="A38" s="78" t="str">
        <x:f>'Calc_Monthly'!A38</x:f>
        <x:v>18|aggregate</x:v>
      </x:c>
      <x:c r="B38" s="78" t="str">
        <x:f>'Calc_Monthly'!B38</x:f>
        <x:v>18</x:v>
      </x:c>
      <x:c r="C38" s="78" t="str">
        <x:f>'Calc_Monthly'!C38</x:f>
        <x:v>Test building 2</x:v>
      </x:c>
      <x:c r="D38" s="78" t="str">
        <x:f>'Calc_Monthly'!D38</x:f>
        <x:v>aggregate</x:v>
      </x:c>
      <x:c r="E38" s="78" t="str">
        <x:f>'Calc_Monthly'!E38</x:f>
        <x:v>2023-01</x:v>
      </x:c>
      <x:c r="F38" s="80" t="n">
        <x:f>'Calc_Monthly'!H38</x:f>
        <x:v>2.638440860215054</x:v>
      </x:c>
      <x:c r="G38" s="80" t="n">
        <x:f>'Calc_Case'!J5</x:f>
        <x:v>2881.318246627434</x:v>
      </x:c>
      <x:c r="H38" s="80" t="n">
        <x:f>'Calc_Case'!M5</x:f>
        <x:v>23.06187042377672</x:v>
      </x:c>
      <x:c r="I38" s="80" t="n">
        <x:f>'Calc_Monthly'!K38</x:f>
        <x:v>8858.229353644294</x:v>
      </x:c>
      <x:c r="J38" s="80" t="n">
        <x:f>'Calc_Monthly'!Q38</x:f>
        <x:v>23503.836880340532</x:v>
      </x:c>
      <x:c r="K38" s="80" t="n">
        <x:f>'Calc_Monthly'!AC38</x:f>
        <x:v>6531.893260319233</x:v>
      </x:c>
      <x:c r="L38" s="80" t="n">
        <x:f>'Calc_Monthly'!AE38</x:f>
        <x:v>30035.730140659765</x:v>
      </x:c>
      <x:c r="M38" s="80" t="n">
        <x:f>'Calc_Monthly'!U38</x:f>
        <x:v>0</x:v>
      </x:c>
      <x:c r="N38" s="80" t="n">
        <x:f>'Calc_Monthly'!AD38</x:f>
        <x:v>0</x:v>
      </x:c>
      <x:c r="O38" s="80" t="n">
        <x:f>'Calc_Monthly'!AF38</x:f>
        <x:v>0</x:v>
      </x:c>
    </x:row>
    <x:row r="39">
      <x:c r="A39" s="78" t="str">
        <x:f>'Calc_Monthly'!A39</x:f>
        <x:v>18|aggregate</x:v>
      </x:c>
      <x:c r="B39" s="78" t="str">
        <x:f>'Calc_Monthly'!B39</x:f>
        <x:v>18</x:v>
      </x:c>
      <x:c r="C39" s="78" t="str">
        <x:f>'Calc_Monthly'!C39</x:f>
        <x:v>Test building 2</x:v>
      </x:c>
      <x:c r="D39" s="78" t="str">
        <x:f>'Calc_Monthly'!D39</x:f>
        <x:v>aggregate</x:v>
      </x:c>
      <x:c r="E39" s="78" t="str">
        <x:f>'Calc_Monthly'!E39</x:f>
        <x:v>2023-02</x:v>
      </x:c>
      <x:c r="F39" s="80" t="n">
        <x:f>'Calc_Monthly'!H39</x:f>
        <x:v>3.8903273809523813</x:v>
      </x:c>
      <x:c r="G39" s="80" t="n">
        <x:f>'Calc_Case'!J5</x:f>
        <x:v>2881.318246627434</x:v>
      </x:c>
      <x:c r="H39" s="80" t="n">
        <x:f>'Calc_Case'!M5</x:f>
        <x:v>23.06187042377672</x:v>
      </x:c>
      <x:c r="I39" s="80" t="n">
        <x:f>'Calc_Monthly'!K39</x:f>
        <x:v>8759.172770820296</x:v>
      </x:c>
      <x:c r="J39" s="80" t="n">
        <x:f>'Calc_Monthly'!Q39</x:f>
        <x:v>18518.404179094035</x:v>
      </x:c>
      <x:c r="K39" s="80" t="n">
        <x:f>'Calc_Monthly'!AC39</x:f>
        <x:v>5554.0203833119</x:v>
      </x:c>
      <x:c r="L39" s="80" t="n">
        <x:f>'Calc_Monthly'!AE39</x:f>
        <x:v>24072.424562405937</x:v>
      </x:c>
      <x:c r="M39" s="80" t="n">
        <x:f>'Calc_Monthly'!U39</x:f>
        <x:v>0</x:v>
      </x:c>
      <x:c r="N39" s="80" t="n">
        <x:f>'Calc_Monthly'!AD39</x:f>
        <x:v>0</x:v>
      </x:c>
      <x:c r="O39" s="80" t="n">
        <x:f>'Calc_Monthly'!AF39</x:f>
        <x:v>0</x:v>
      </x:c>
    </x:row>
    <x:row r="40">
      <x:c r="A40" s="78" t="str">
        <x:f>'Calc_Monthly'!A40</x:f>
        <x:v>18|aggregate</x:v>
      </x:c>
      <x:c r="B40" s="78" t="str">
        <x:f>'Calc_Monthly'!B40</x:f>
        <x:v>18</x:v>
      </x:c>
      <x:c r="C40" s="78" t="str">
        <x:f>'Calc_Monthly'!C40</x:f>
        <x:v>Test building 2</x:v>
      </x:c>
      <x:c r="D40" s="78" t="str">
        <x:f>'Calc_Monthly'!D40</x:f>
        <x:v>aggregate</x:v>
      </x:c>
      <x:c r="E40" s="78" t="str">
        <x:f>'Calc_Monthly'!E40</x:f>
        <x:v>2023-03</x:v>
      </x:c>
      <x:c r="F40" s="80" t="n">
        <x:f>'Calc_Monthly'!H40</x:f>
        <x:v>7.746908602150539</x:v>
      </x:c>
      <x:c r="G40" s="80" t="n">
        <x:f>'Calc_Case'!J5</x:f>
        <x:v>2881.318246627434</x:v>
      </x:c>
      <x:c r="H40" s="80" t="n">
        <x:f>'Calc_Case'!M5</x:f>
        <x:v>23.06187042377672</x:v>
      </x:c>
      <x:c r="I40" s="80" t="n">
        <x:f>'Calc_Monthly'!K40</x:f>
        <x:v>12324.037691503028</x:v>
      </x:c>
      <x:c r="J40" s="80" t="n">
        <x:f>'Calc_Monthly'!Q40</x:f>
        <x:v>11750.882139612355</x:v>
      </x:c>
      <x:c r="K40" s="80" t="n">
        <x:f>'Calc_Monthly'!AC40</x:f>
        <x:v>4969.836586658168</x:v>
      </x:c>
      <x:c r="L40" s="80" t="n">
        <x:f>'Calc_Monthly'!AE40</x:f>
        <x:v>16720.718726270523</x:v>
      </x:c>
      <x:c r="M40" s="80" t="n">
        <x:f>'Calc_Monthly'!U40</x:f>
        <x:v>0</x:v>
      </x:c>
      <x:c r="N40" s="80" t="n">
        <x:f>'Calc_Monthly'!AD40</x:f>
        <x:v>0</x:v>
      </x:c>
      <x:c r="O40" s="80" t="n">
        <x:f>'Calc_Monthly'!AF40</x:f>
        <x:v>0</x:v>
      </x:c>
    </x:row>
    <x:row r="41">
      <x:c r="A41" s="78" t="str">
        <x:f>'Calc_Monthly'!A41</x:f>
        <x:v>18|aggregate</x:v>
      </x:c>
      <x:c r="B41" s="78" t="str">
        <x:f>'Calc_Monthly'!B41</x:f>
        <x:v>18</x:v>
      </x:c>
      <x:c r="C41" s="78" t="str">
        <x:f>'Calc_Monthly'!C41</x:f>
        <x:v>Test building 2</x:v>
      </x:c>
      <x:c r="D41" s="78" t="str">
        <x:f>'Calc_Monthly'!D41</x:f>
        <x:v>aggregate</x:v>
      </x:c>
      <x:c r="E41" s="78" t="str">
        <x:f>'Calc_Monthly'!E41</x:f>
        <x:v>2023-04</x:v>
      </x:c>
      <x:c r="F41" s="80" t="n">
        <x:f>'Calc_Monthly'!H41</x:f>
        <x:v>12.03041666666667</x:v>
      </x:c>
      <x:c r="G41" s="80" t="n">
        <x:f>'Calc_Case'!J5</x:f>
        <x:v>2881.318246627434</x:v>
      </x:c>
      <x:c r="H41" s="80" t="n">
        <x:f>'Calc_Case'!M5</x:f>
        <x:v>23.06187042377672</x:v>
      </x:c>
      <x:c r="I41" s="80" t="n">
        <x:f>'Calc_Monthly'!K41</x:f>
        <x:v>13582.977435237199</x:v>
      </x:c>
      <x:c r="J41" s="80" t="n">
        <x:f>'Calc_Monthly'!Q41</x:f>
        <x:v>4359.449201806812</x:v>
      </x:c>
      <x:c r="K41" s="80" t="n">
        <x:f>'Calc_Monthly'!AC41</x:f>
        <x:v>3541.968747672382</x:v>
      </x:c>
      <x:c r="L41" s="80" t="n">
        <x:f>'Calc_Monthly'!AE41</x:f>
        <x:v>7901.417949479194</x:v>
      </x:c>
      <x:c r="M41" s="80" t="n">
        <x:f>'Calc_Monthly'!U41</x:f>
        <x:v>0</x:v>
      </x:c>
      <x:c r="N41" s="80" t="n">
        <x:f>'Calc_Monthly'!AD41</x:f>
        <x:v>0</x:v>
      </x:c>
      <x:c r="O41" s="80" t="n">
        <x:f>'Calc_Monthly'!AF41</x:f>
        <x:v>0</x:v>
      </x:c>
    </x:row>
    <x:row r="42">
      <x:c r="A42" s="78" t="str">
        <x:f>'Calc_Monthly'!A42</x:f>
        <x:v>18|aggregate</x:v>
      </x:c>
      <x:c r="B42" s="78" t="str">
        <x:f>'Calc_Monthly'!B42</x:f>
        <x:v>18</x:v>
      </x:c>
      <x:c r="C42" s="78" t="str">
        <x:f>'Calc_Monthly'!C42</x:f>
        <x:v>Test building 2</x:v>
      </x:c>
      <x:c r="D42" s="78" t="str">
        <x:f>'Calc_Monthly'!D42</x:f>
        <x:v>aggregate</x:v>
      </x:c>
      <x:c r="E42" s="78" t="str">
        <x:f>'Calc_Monthly'!E42</x:f>
        <x:v>2023-05</x:v>
      </x:c>
      <x:c r="F42" s="80" t="n">
        <x:f>'Calc_Monthly'!H42</x:f>
        <x:v>17.244086021505375</x:v>
      </x:c>
      <x:c r="G42" s="80" t="n">
        <x:f>'Calc_Case'!J5</x:f>
        <x:v>2881.318246627434</x:v>
      </x:c>
      <x:c r="H42" s="80" t="n">
        <x:f>'Calc_Case'!M5</x:f>
        <x:v>23.06187042377672</x:v>
      </x:c>
      <x:c r="I42" s="80" t="n">
        <x:f>'Calc_Monthly'!K42</x:f>
        <x:v>15667.54261913181</x:v>
      </x:c>
      <x:c r="J42" s="80" t="n">
        <x:f>'Calc_Monthly'!Q42</x:f>
        <x:v>0</x:v>
      </x:c>
      <x:c r="K42" s="80" t="n">
        <x:f>'Calc_Monthly'!AC42</x:f>
        <x:v>1607.1424781446121</x:v>
      </x:c>
      <x:c r="L42" s="80" t="n">
        <x:f>'Calc_Monthly'!AE42</x:f>
        <x:v>1607.1424781446121</x:v>
      </x:c>
      <x:c r="M42" s="80" t="n">
        <x:f>'Calc_Monthly'!U42</x:f>
        <x:v>0</x:v>
      </x:c>
      <x:c r="N42" s="80" t="n">
        <x:f>'Calc_Monthly'!AD42</x:f>
        <x:v>0</x:v>
      </x:c>
      <x:c r="O42" s="80" t="n">
        <x:f>'Calc_Monthly'!AF42</x:f>
        <x:v>0</x:v>
      </x:c>
    </x:row>
    <x:row r="43">
      <x:c r="A43" s="78" t="str">
        <x:f>'Calc_Monthly'!A43</x:f>
        <x:v>18|aggregate</x:v>
      </x:c>
      <x:c r="B43" s="78" t="str">
        <x:f>'Calc_Monthly'!B43</x:f>
        <x:v>18</x:v>
      </x:c>
      <x:c r="C43" s="78" t="str">
        <x:f>'Calc_Monthly'!C43</x:f>
        <x:v>Test building 2</x:v>
      </x:c>
      <x:c r="D43" s="78" t="str">
        <x:f>'Calc_Monthly'!D43</x:f>
        <x:v>aggregate</x:v>
      </x:c>
      <x:c r="E43" s="78" t="str">
        <x:f>'Calc_Monthly'!E43</x:f>
        <x:v>2023-06</x:v>
      </x:c>
      <x:c r="F43" s="80" t="n">
        <x:f>'Calc_Monthly'!H43</x:f>
        <x:v>20.758194444444445</x:v>
      </x:c>
      <x:c r="G43" s="80" t="n">
        <x:f>'Calc_Case'!J5</x:f>
        <x:v>2881.318246627434</x:v>
      </x:c>
      <x:c r="H43" s="80" t="n">
        <x:f>'Calc_Case'!M5</x:f>
        <x:v>23.06187042377672</x:v>
      </x:c>
      <x:c r="I43" s="80" t="n">
        <x:f>'Calc_Monthly'!K43</x:f>
        <x:v>15540.176308022901</x:v>
      </x:c>
      <x:c r="J43" s="80" t="n">
        <x:f>'Calc_Monthly'!Q43</x:f>
        <x:v>0</x:v>
      </x:c>
      <x:c r="K43" s="80" t="n">
        <x:f>'Calc_Monthly'!AC43</x:f>
        <x:v>0</x:v>
      </x:c>
      <x:c r="L43" s="80" t="n">
        <x:f>'Calc_Monthly'!AE43</x:f>
        <x:v>0</x:v>
      </x:c>
      <x:c r="M43" s="80" t="n">
        <x:f>'Calc_Monthly'!U43</x:f>
        <x:v>6142.96651822165</x:v>
      </x:c>
      <x:c r="N43" s="80" t="n">
        <x:f>'Calc_Monthly'!AD43</x:f>
        <x:v>668.2316272543283</x:v>
      </x:c>
      <x:c r="O43" s="80" t="n">
        <x:f>'Calc_Monthly'!AF43</x:f>
        <x:v>6811.198145475979</x:v>
      </x:c>
    </x:row>
    <x:row r="44">
      <x:c r="A44" s="78" t="str">
        <x:f>'Calc_Monthly'!A44</x:f>
        <x:v>18|aggregate</x:v>
      </x:c>
      <x:c r="B44" s="78" t="str">
        <x:f>'Calc_Monthly'!B44</x:f>
        <x:v>18</x:v>
      </x:c>
      <x:c r="C44" s="78" t="str">
        <x:f>'Calc_Monthly'!C44</x:f>
        <x:v>Test building 2</x:v>
      </x:c>
      <x:c r="D44" s="78" t="str">
        <x:f>'Calc_Monthly'!D44</x:f>
        <x:v>aggregate</x:v>
      </x:c>
      <x:c r="E44" s="78" t="str">
        <x:f>'Calc_Monthly'!E44</x:f>
        <x:v>2023-07</x:v>
      </x:c>
      <x:c r="F44" s="80" t="n">
        <x:f>'Calc_Monthly'!H44</x:f>
        <x:v>23.824193548387097</x:v>
      </x:c>
      <x:c r="G44" s="80" t="n">
        <x:f>'Calc_Case'!J5</x:f>
        <x:v>2881.318246627434</x:v>
      </x:c>
      <x:c r="H44" s="80" t="n">
        <x:f>'Calc_Case'!M5</x:f>
        <x:v>23.06187042377672</x:v>
      </x:c>
      <x:c r="I44" s="80" t="n">
        <x:f>'Calc_Monthly'!K44</x:f>
        <x:v>16498.279930319295</x:v>
      </x:c>
      <x:c r="J44" s="80" t="n">
        <x:f>'Calc_Monthly'!Q44</x:f>
        <x:v>0</x:v>
      </x:c>
      <x:c r="K44" s="80" t="n">
        <x:f>'Calc_Monthly'!AC44</x:f>
        <x:v>0</x:v>
      </x:c>
      <x:c r="L44" s="80" t="n">
        <x:f>'Calc_Monthly'!AE44</x:f>
        <x:v>0</x:v>
      </x:c>
      <x:c r="M44" s="80" t="n">
        <x:f>'Calc_Monthly'!U44</x:f>
        <x:v>10554.7720176827</x:v>
      </x:c>
      <x:c r="N44" s="80" t="n">
        <x:f>'Calc_Monthly'!AD44</x:f>
        <x:v>1628.0208634478415</x:v>
      </x:c>
      <x:c r="O44" s="80" t="n">
        <x:f>'Calc_Monthly'!AF44</x:f>
        <x:v>12182.792881130543</x:v>
      </x:c>
    </x:row>
    <x:row r="45">
      <x:c r="A45" s="78" t="str">
        <x:f>'Calc_Monthly'!A45</x:f>
        <x:v>18|aggregate</x:v>
      </x:c>
      <x:c r="B45" s="78" t="str">
        <x:f>'Calc_Monthly'!B45</x:f>
        <x:v>18</x:v>
      </x:c>
      <x:c r="C45" s="78" t="str">
        <x:f>'Calc_Monthly'!C45</x:f>
        <x:v>Test building 2</x:v>
      </x:c>
      <x:c r="D45" s="78" t="str">
        <x:f>'Calc_Monthly'!D45</x:f>
        <x:v>aggregate</x:v>
      </x:c>
      <x:c r="E45" s="78" t="str">
        <x:f>'Calc_Monthly'!E45</x:f>
        <x:v>2023-08</x:v>
      </x:c>
      <x:c r="F45" s="80" t="n">
        <x:f>'Calc_Monthly'!H45</x:f>
        <x:v>22.74717741935484</x:v>
      </x:c>
      <x:c r="G45" s="80" t="n">
        <x:f>'Calc_Case'!J5</x:f>
        <x:v>2881.318246627434</x:v>
      </x:c>
      <x:c r="H45" s="80" t="n">
        <x:f>'Calc_Case'!M5</x:f>
        <x:v>23.06187042377672</x:v>
      </x:c>
      <x:c r="I45" s="80" t="n">
        <x:f>'Calc_Monthly'!K45</x:f>
        <x:v>15499.26478361522</x:v>
      </x:c>
      <x:c r="J45" s="80" t="n">
        <x:f>'Calc_Monthly'!Q45</x:f>
        <x:v>0</x:v>
      </x:c>
      <x:c r="K45" s="80" t="n">
        <x:f>'Calc_Monthly'!AC45</x:f>
        <x:v>0</x:v>
      </x:c>
      <x:c r="L45" s="80" t="n">
        <x:f>'Calc_Monthly'!AE45</x:f>
        <x:v>0</x:v>
      </x:c>
      <x:c r="M45" s="80" t="n">
        <x:f>'Calc_Monthly'!U45</x:f>
        <x:v>8106.799626703796</x:v>
      </x:c>
      <x:c r="N45" s="80" t="n">
        <x:f>'Calc_Monthly'!AD45</x:f>
        <x:v>1298.6931047179735</x:v>
      </x:c>
      <x:c r="O45" s="80" t="n">
        <x:f>'Calc_Monthly'!AF45</x:f>
        <x:v>9405.49273142177</x:v>
      </x:c>
    </x:row>
    <x:row r="46">
      <x:c r="A46" s="78" t="str">
        <x:f>'Calc_Monthly'!A46</x:f>
        <x:v>18|aggregate</x:v>
      </x:c>
      <x:c r="B46" s="78" t="str">
        <x:f>'Calc_Monthly'!B46</x:f>
        <x:v>18</x:v>
      </x:c>
      <x:c r="C46" s="78" t="str">
        <x:f>'Calc_Monthly'!C46</x:f>
        <x:v>Test building 2</x:v>
      </x:c>
      <x:c r="D46" s="78" t="str">
        <x:f>'Calc_Monthly'!D46</x:f>
        <x:v>aggregate</x:v>
      </x:c>
      <x:c r="E46" s="78" t="str">
        <x:f>'Calc_Monthly'!E46</x:f>
        <x:v>2023-09</x:v>
      </x:c>
      <x:c r="F46" s="80" t="n">
        <x:f>'Calc_Monthly'!H46</x:f>
        <x:v>19.61638888888889</x:v>
      </x:c>
      <x:c r="G46" s="80" t="n">
        <x:f>'Calc_Case'!J5</x:f>
        <x:v>2881.318246627434</x:v>
      </x:c>
      <x:c r="H46" s="80" t="n">
        <x:f>'Calc_Case'!M5</x:f>
        <x:v>23.06187042377672</x:v>
      </x:c>
      <x:c r="I46" s="80" t="n">
        <x:f>'Calc_Monthly'!K46</x:f>
        <x:v>13346.318280181467</x:v>
      </x:c>
      <x:c r="J46" s="80" t="n">
        <x:f>'Calc_Monthly'!Q46</x:f>
        <x:v>0</x:v>
      </x:c>
      <x:c r="K46" s="80" t="n">
        <x:f>'Calc_Monthly'!AC46</x:f>
        <x:v>0</x:v>
      </x:c>
      <x:c r="L46" s="80" t="n">
        <x:f>'Calc_Monthly'!AE46</x:f>
        <x:v>0</x:v>
      </x:c>
      <x:c r="M46" s="80" t="n">
        <x:f>'Calc_Monthly'!U46</x:f>
        <x:v>3692.4260085074748</x:v>
      </x:c>
      <x:c r="N46" s="80" t="n">
        <x:f>'Calc_Monthly'!AD46</x:f>
        <x:v>330.3552383215628</x:v>
      </x:c>
      <x:c r="O46" s="80" t="n">
        <x:f>'Calc_Monthly'!AF46</x:f>
        <x:v>4022.7812468290376</x:v>
      </x:c>
    </x:row>
    <x:row r="47">
      <x:c r="A47" s="78" t="str">
        <x:f>'Calc_Monthly'!A47</x:f>
        <x:v>18|aggregate</x:v>
      </x:c>
      <x:c r="B47" s="78" t="str">
        <x:f>'Calc_Monthly'!B47</x:f>
        <x:v>18</x:v>
      </x:c>
      <x:c r="C47" s="78" t="str">
        <x:f>'Calc_Monthly'!C47</x:f>
        <x:v>Test building 2</x:v>
      </x:c>
      <x:c r="D47" s="78" t="str">
        <x:f>'Calc_Monthly'!D47</x:f>
        <x:v>aggregate</x:v>
      </x:c>
      <x:c r="E47" s="78" t="str">
        <x:f>'Calc_Monthly'!E47</x:f>
        <x:v>2023-10</x:v>
      </x:c>
      <x:c r="F47" s="80" t="n">
        <x:f>'Calc_Monthly'!H47</x:f>
        <x:v>13.926209677419354</x:v>
      </x:c>
      <x:c r="G47" s="80" t="n">
        <x:f>'Calc_Case'!J5</x:f>
        <x:v>2881.318246627434</x:v>
      </x:c>
      <x:c r="H47" s="80" t="n">
        <x:f>'Calc_Case'!M5</x:f>
        <x:v>23.06187042377672</x:v>
      </x:c>
      <x:c r="I47" s="80" t="n">
        <x:f>'Calc_Monthly'!K47</x:f>
        <x:v>11431.09766912202</x:v>
      </x:c>
      <x:c r="J47" s="80" t="n">
        <x:f>'Calc_Monthly'!Q47</x:f>
        <x:v>689.4379295033532</x:v>
      </x:c>
      <x:c r="K47" s="80" t="n">
        <x:f>'Calc_Monthly'!AC47</x:f>
        <x:v>2873.202831030375</x:v>
      </x:c>
      <x:c r="L47" s="80" t="n">
        <x:f>'Calc_Monthly'!AE47</x:f>
        <x:v>3562.640760533728</x:v>
      </x:c>
      <x:c r="M47" s="80" t="n">
        <x:f>'Calc_Monthly'!U47</x:f>
        <x:v>0</x:v>
      </x:c>
      <x:c r="N47" s="80" t="n">
        <x:f>'Calc_Monthly'!AD47</x:f>
        <x:v>0</x:v>
      </x:c>
      <x:c r="O47" s="80" t="n">
        <x:f>'Calc_Monthly'!AF47</x:f>
        <x:v>0</x:v>
      </x:c>
    </x:row>
    <x:row r="48">
      <x:c r="A48" s="78" t="str">
        <x:f>'Calc_Monthly'!A48</x:f>
        <x:v>18|aggregate</x:v>
      </x:c>
      <x:c r="B48" s="78" t="str">
        <x:f>'Calc_Monthly'!B48</x:f>
        <x:v>18</x:v>
      </x:c>
      <x:c r="C48" s="78" t="str">
        <x:f>'Calc_Monthly'!C48</x:f>
        <x:v>Test building 2</x:v>
      </x:c>
      <x:c r="D48" s="78" t="str">
        <x:f>'Calc_Monthly'!D48</x:f>
        <x:v>aggregate</x:v>
      </x:c>
      <x:c r="E48" s="78" t="str">
        <x:f>'Calc_Monthly'!E48</x:f>
        <x:v>2023-11</x:v>
      </x:c>
      <x:c r="F48" s="80" t="n">
        <x:f>'Calc_Monthly'!H48</x:f>
        <x:v>8.68388888888889</x:v>
      </x:c>
      <x:c r="G48" s="80" t="n">
        <x:f>'Calc_Case'!J5</x:f>
        <x:v>2881.318246627434</x:v>
      </x:c>
      <x:c r="H48" s="80" t="n">
        <x:f>'Calc_Case'!M5</x:f>
        <x:v>23.06187042377672</x:v>
      </x:c>
      <x:c r="I48" s="80" t="n">
        <x:f>'Calc_Monthly'!K48</x:f>
        <x:v>8637.81658821421</x:v>
      </x:c>
      <x:c r="J48" s="80" t="n">
        <x:f>'Calc_Monthly'!Q48</x:f>
        <x:v>12283.907087993846</x:v>
      </x:c>
      <x:c r="K48" s="80" t="n">
        <x:f>'Calc_Monthly'!AC48</x:f>
        <x:v>4532.253578147385</x:v>
      </x:c>
      <x:c r="L48" s="80" t="n">
        <x:f>'Calc_Monthly'!AE48</x:f>
        <x:v>16816.16066614123</x:v>
      </x:c>
      <x:c r="M48" s="80" t="n">
        <x:f>'Calc_Monthly'!U48</x:f>
        <x:v>0</x:v>
      </x:c>
      <x:c r="N48" s="80" t="n">
        <x:f>'Calc_Monthly'!AD48</x:f>
        <x:v>0</x:v>
      </x:c>
      <x:c r="O48" s="80" t="n">
        <x:f>'Calc_Monthly'!AF48</x:f>
        <x:v>0</x:v>
      </x:c>
    </x:row>
    <x:row r="49">
      <x:c r="A49" s="78" t="str">
        <x:f>'Calc_Monthly'!A49</x:f>
        <x:v>18|aggregate</x:v>
      </x:c>
      <x:c r="B49" s="78" t="str">
        <x:f>'Calc_Monthly'!B49</x:f>
        <x:v>18</x:v>
      </x:c>
      <x:c r="C49" s="78" t="str">
        <x:f>'Calc_Monthly'!C49</x:f>
        <x:v>Test building 2</x:v>
      </x:c>
      <x:c r="D49" s="78" t="str">
        <x:f>'Calc_Monthly'!D49</x:f>
        <x:v>aggregate</x:v>
      </x:c>
      <x:c r="E49" s="78" t="str">
        <x:f>'Calc_Monthly'!E49</x:f>
        <x:v>2023-12</x:v>
      </x:c>
      <x:c r="F49" s="80" t="n">
        <x:f>'Calc_Monthly'!H49</x:f>
        <x:v>3.9963709677419357</x:v>
      </x:c>
      <x:c r="G49" s="80" t="n">
        <x:f>'Calc_Case'!J5</x:f>
        <x:v>2881.318246627434</x:v>
      </x:c>
      <x:c r="H49" s="80" t="n">
        <x:f>'Calc_Case'!M5</x:f>
        <x:v>23.06187042377672</x:v>
      </x:c>
      <x:c r="I49" s="80" t="n">
        <x:f>'Calc_Monthly'!K49</x:f>
        <x:v>8521.555576291388</x:v>
      </x:c>
      <x:c r="J49" s="80" t="n">
        <x:f>'Calc_Monthly'!Q49</x:f>
        <x:v>21358.274718421137</x:v>
      </x:c>
      <x:c r="K49" s="80" t="n">
        <x:f>'Calc_Monthly'!AC49</x:f>
        <x:v>6116.66820772372</x:v>
      </x:c>
      <x:c r="L49" s="80" t="n">
        <x:f>'Calc_Monthly'!AE49</x:f>
        <x:v>27474.942926144857</x:v>
      </x:c>
      <x:c r="M49" s="80" t="n">
        <x:f>'Calc_Monthly'!U49</x:f>
        <x:v>0</x:v>
      </x:c>
      <x:c r="N49" s="80" t="n">
        <x:f>'Calc_Monthly'!AD49</x:f>
        <x:v>0</x:v>
      </x:c>
      <x:c r="O49" s="80" t="n">
        <x:f>'Calc_Monthly'!AF49</x:f>
        <x:v>0</x:v>
      </x:c>
    </x:row>
    <x:row r="50">
      <x:c r="A50" s="78" t="str">
        <x:f>'Calc_Monthly'!A50</x:f>
        <x:v>18|lower</x:v>
      </x:c>
      <x:c r="B50" s="78" t="str">
        <x:f>'Calc_Monthly'!B50</x:f>
        <x:v>18</x:v>
      </x:c>
      <x:c r="C50" s="78" t="str">
        <x:f>'Calc_Monthly'!C50</x:f>
        <x:v>Test building 2</x:v>
      </x:c>
      <x:c r="D50" s="78" t="str">
        <x:f>'Calc_Monthly'!D50</x:f>
        <x:v>lower</x:v>
      </x:c>
      <x:c r="E50" s="78" t="str">
        <x:f>'Calc_Monthly'!E50</x:f>
        <x:v>2023-01</x:v>
      </x:c>
      <x:c r="F50" s="80" t="n">
        <x:f>'Calc_Monthly'!H50</x:f>
        <x:v>2.638440860215054</x:v>
      </x:c>
      <x:c r="G50" s="80" t="n">
        <x:f>'Calc_Case'!J6</x:f>
        <x:v>1314.4259050137596</x:v>
      </x:c>
      <x:c r="H50" s="80" t="n">
        <x:f>'Calc_Case'!M6</x:f>
        <x:v>16.851105312700458</x:v>
      </x:c>
      <x:c r="I50" s="80" t="n">
        <x:f>'Calc_Monthly'!K50</x:f>
        <x:v>7463.953678705302</x:v>
      </x:c>
      <x:c r="J50" s="80" t="n">
        <x:f>'Calc_Monthly'!Q50</x:f>
        <x:v>6736.678625847302</x:v>
      </x:c>
      <x:c r="K50" s="80" t="n">
        <x:f>'Calc_Monthly'!AC50</x:f>
        <x:v>5920.337407342767</x:v>
      </x:c>
      <x:c r="L50" s="80" t="n">
        <x:f>'Calc_Monthly'!AE50</x:f>
        <x:v>12657.01603319007</x:v>
      </x:c>
      <x:c r="M50" s="80" t="n">
        <x:f>'Calc_Monthly'!U50</x:f>
        <x:v>0</x:v>
      </x:c>
      <x:c r="N50" s="80" t="n">
        <x:f>'Calc_Monthly'!AD50</x:f>
        <x:v>0</x:v>
      </x:c>
      <x:c r="O50" s="80" t="n">
        <x:f>'Calc_Monthly'!AF50</x:f>
        <x:v>0</x:v>
      </x:c>
    </x:row>
    <x:row r="51">
      <x:c r="A51" s="78" t="str">
        <x:f>'Calc_Monthly'!A51</x:f>
        <x:v>18|lower</x:v>
      </x:c>
      <x:c r="B51" s="78" t="str">
        <x:f>'Calc_Monthly'!B51</x:f>
        <x:v>18</x:v>
      </x:c>
      <x:c r="C51" s="78" t="str">
        <x:f>'Calc_Monthly'!C51</x:f>
        <x:v>Test building 2</x:v>
      </x:c>
      <x:c r="D51" s="78" t="str">
        <x:f>'Calc_Monthly'!D51</x:f>
        <x:v>lower</x:v>
      </x:c>
      <x:c r="E51" s="78" t="str">
        <x:f>'Calc_Monthly'!E51</x:f>
        <x:v>2023-02</x:v>
      </x:c>
      <x:c r="F51" s="80" t="n">
        <x:f>'Calc_Monthly'!H51</x:f>
        <x:v>3.8903273809523813</x:v>
      </x:c>
      <x:c r="G51" s="80" t="n">
        <x:f>'Calc_Case'!J6</x:f>
        <x:v>1314.4259050137596</x:v>
      </x:c>
      <x:c r="H51" s="80" t="n">
        <x:f>'Calc_Case'!M6</x:f>
        <x:v>16.851105312700458</x:v>
      </x:c>
      <x:c r="I51" s="80" t="n">
        <x:f>'Calc_Monthly'!K51</x:f>
        <x:v>6970.200988821341</x:v>
      </x:c>
      <x:c r="J51" s="80" t="n">
        <x:f>'Calc_Monthly'!Q51</x:f>
        <x:v>5301.219840347253</x:v>
      </x:c>
      <x:c r="K51" s="80" t="n">
        <x:f>'Calc_Monthly'!AC51</x:f>
        <x:v>5001.647354817026</x:v>
      </x:c>
      <x:c r="L51" s="80" t="n">
        <x:f>'Calc_Monthly'!AE51</x:f>
        <x:v>10302.86719516428</x:v>
      </x:c>
      <x:c r="M51" s="80" t="n">
        <x:f>'Calc_Monthly'!U51</x:f>
        <x:v>0</x:v>
      </x:c>
      <x:c r="N51" s="80" t="n">
        <x:f>'Calc_Monthly'!AD51</x:f>
        <x:v>0</x:v>
      </x:c>
      <x:c r="O51" s="80" t="n">
        <x:f>'Calc_Monthly'!AF51</x:f>
        <x:v>0</x:v>
      </x:c>
    </x:row>
    <x:row r="52">
      <x:c r="A52" s="78" t="str">
        <x:f>'Calc_Monthly'!A52</x:f>
        <x:v>18|lower</x:v>
      </x:c>
      <x:c r="B52" s="78" t="str">
        <x:f>'Calc_Monthly'!B52</x:f>
        <x:v>18</x:v>
      </x:c>
      <x:c r="C52" s="78" t="str">
        <x:f>'Calc_Monthly'!C52</x:f>
        <x:v>Test building 2</x:v>
      </x:c>
      <x:c r="D52" s="78" t="str">
        <x:f>'Calc_Monthly'!D52</x:f>
        <x:v>lower</x:v>
      </x:c>
      <x:c r="E52" s="78" t="str">
        <x:f>'Calc_Monthly'!E52</x:f>
        <x:v>2023-03</x:v>
      </x:c>
      <x:c r="F52" s="80" t="n">
        <x:f>'Calc_Monthly'!H52</x:f>
        <x:v>7.746908602150539</x:v>
      </x:c>
      <x:c r="G52" s="80" t="n">
        <x:f>'Calc_Case'!J6</x:f>
        <x:v>1314.4259050137596</x:v>
      </x:c>
      <x:c r="H52" s="80" t="n">
        <x:f>'Calc_Case'!M6</x:f>
        <x:v>16.851105312700458</x:v>
      </x:c>
      <x:c r="I52" s="80" t="n">
        <x:f>'Calc_Monthly'!K52</x:f>
        <x:v>8453.628429400393</x:v>
      </x:c>
      <x:c r="J52" s="80" t="n">
        <x:f>'Calc_Monthly'!Q52</x:f>
        <x:v>3483.062876594041</x:v>
      </x:c>
      <x:c r="K52" s="80" t="n">
        <x:f>'Calc_Monthly'!AC52</x:f>
        <x:v>4358.280733681701</x:v>
      </x:c>
      <x:c r="L52" s="80" t="n">
        <x:f>'Calc_Monthly'!AE52</x:f>
        <x:v>7841.343610275742</x:v>
      </x:c>
      <x:c r="M52" s="80" t="n">
        <x:f>'Calc_Monthly'!U52</x:f>
        <x:v>0</x:v>
      </x:c>
      <x:c r="N52" s="80" t="n">
        <x:f>'Calc_Monthly'!AD52</x:f>
        <x:v>0</x:v>
      </x:c>
      <x:c r="O52" s="80" t="n">
        <x:f>'Calc_Monthly'!AF52</x:f>
        <x:v>0</x:v>
      </x:c>
    </x:row>
    <x:row r="53">
      <x:c r="A53" s="78" t="str">
        <x:f>'Calc_Monthly'!A53</x:f>
        <x:v>18|lower</x:v>
      </x:c>
      <x:c r="B53" s="78" t="str">
        <x:f>'Calc_Monthly'!B53</x:f>
        <x:v>18</x:v>
      </x:c>
      <x:c r="C53" s="78" t="str">
        <x:f>'Calc_Monthly'!C53</x:f>
        <x:v>Test building 2</x:v>
      </x:c>
      <x:c r="D53" s="78" t="str">
        <x:f>'Calc_Monthly'!D53</x:f>
        <x:v>lower</x:v>
      </x:c>
      <x:c r="E53" s="78" t="str">
        <x:f>'Calc_Monthly'!E53</x:f>
        <x:v>2023-04</x:v>
      </x:c>
      <x:c r="F53" s="80" t="n">
        <x:f>'Calc_Monthly'!H53</x:f>
        <x:v>12.03041666666667</x:v>
      </x:c>
      <x:c r="G53" s="80" t="n">
        <x:f>'Calc_Case'!J6</x:f>
        <x:v>1314.4259050137596</x:v>
      </x:c>
      <x:c r="H53" s="80" t="n">
        <x:f>'Calc_Case'!M6</x:f>
        <x:v>16.851105312700458</x:v>
      </x:c>
      <x:c r="I53" s="80" t="n">
        <x:f>'Calc_Monthly'!K53</x:f>
        <x:v>8634.813919638384</x:v>
      </x:c>
      <x:c r="J53" s="80" t="n">
        <x:f>'Calc_Monthly'!Q53</x:f>
        <x:v>1487.1791513828557</x:v>
      </x:c>
      <x:c r="K53" s="80" t="n">
        <x:f>'Calc_Monthly'!AC53</x:f>
        <x:v>2950.140502856447</x:v>
      </x:c>
      <x:c r="L53" s="80" t="n">
        <x:f>'Calc_Monthly'!AE53</x:f>
        <x:v>4437.3196542393025</x:v>
      </x:c>
      <x:c r="M53" s="80" t="n">
        <x:f>'Calc_Monthly'!U53</x:f>
        <x:v>0</x:v>
      </x:c>
      <x:c r="N53" s="80" t="n">
        <x:f>'Calc_Monthly'!AD53</x:f>
        <x:v>0</x:v>
      </x:c>
      <x:c r="O53" s="80" t="n">
        <x:f>'Calc_Monthly'!AF53</x:f>
        <x:v>0</x:v>
      </x:c>
    </x:row>
    <x:row r="54">
      <x:c r="A54" s="78" t="str">
        <x:f>'Calc_Monthly'!A54</x:f>
        <x:v>18|lower</x:v>
      </x:c>
      <x:c r="B54" s="78" t="str">
        <x:f>'Calc_Monthly'!B54</x:f>
        <x:v>18</x:v>
      </x:c>
      <x:c r="C54" s="78" t="str">
        <x:f>'Calc_Monthly'!C54</x:f>
        <x:v>Test building 2</x:v>
      </x:c>
      <x:c r="D54" s="78" t="str">
        <x:f>'Calc_Monthly'!D54</x:f>
        <x:v>lower</x:v>
      </x:c>
      <x:c r="E54" s="78" t="str">
        <x:f>'Calc_Monthly'!E54</x:f>
        <x:v>2023-05</x:v>
      </x:c>
      <x:c r="F54" s="80" t="n">
        <x:f>'Calc_Monthly'!H54</x:f>
        <x:v>17.244086021505375</x:v>
      </x:c>
      <x:c r="G54" s="80" t="n">
        <x:f>'Calc_Case'!J6</x:f>
        <x:v>1314.4259050137596</x:v>
      </x:c>
      <x:c r="H54" s="80" t="n">
        <x:f>'Calc_Case'!M6</x:f>
        <x:v>16.851105312700458</x:v>
      </x:c>
      <x:c r="I54" s="80" t="n">
        <x:f>'Calc_Monthly'!K54</x:f>
        <x:v>9331.788456669792</x:v>
      </x:c>
      <x:c r="J54" s="80" t="n">
        <x:f>'Calc_Monthly'!Q54</x:f>
        <x:v>0</x:v>
      </x:c>
      <x:c r="K54" s="80" t="n">
        <x:f>'Calc_Monthly'!AC54</x:f>
        <x:v>1301.3645516563788</x:v>
      </x:c>
      <x:c r="L54" s="80" t="n">
        <x:f>'Calc_Monthly'!AE54</x:f>
        <x:v>1301.3645516563788</x:v>
      </x:c>
      <x:c r="M54" s="80" t="n">
        <x:f>'Calc_Monthly'!U54</x:f>
        <x:v>0</x:v>
      </x:c>
      <x:c r="N54" s="80" t="n">
        <x:f>'Calc_Monthly'!AD54</x:f>
        <x:v>0</x:v>
      </x:c>
      <x:c r="O54" s="80" t="n">
        <x:f>'Calc_Monthly'!AF54</x:f>
        <x:v>0</x:v>
      </x:c>
    </x:row>
    <x:row r="55">
      <x:c r="A55" s="78" t="str">
        <x:f>'Calc_Monthly'!A55</x:f>
        <x:v>18|lower</x:v>
      </x:c>
      <x:c r="B55" s="78" t="str">
        <x:f>'Calc_Monthly'!B55</x:f>
        <x:v>18</x:v>
      </x:c>
      <x:c r="C55" s="78" t="str">
        <x:f>'Calc_Monthly'!C55</x:f>
        <x:v>Test building 2</x:v>
      </x:c>
      <x:c r="D55" s="78" t="str">
        <x:f>'Calc_Monthly'!D55</x:f>
        <x:v>lower</x:v>
      </x:c>
      <x:c r="E55" s="78" t="str">
        <x:f>'Calc_Monthly'!E55</x:f>
        <x:v>2023-06</x:v>
      </x:c>
      <x:c r="F55" s="80" t="n">
        <x:f>'Calc_Monthly'!H55</x:f>
        <x:v>20.758194444444445</x:v>
      </x:c>
      <x:c r="G55" s="80" t="n">
        <x:f>'Calc_Case'!J6</x:f>
        <x:v>1314.4259050137596</x:v>
      </x:c>
      <x:c r="H55" s="80" t="n">
        <x:f>'Calc_Case'!M6</x:f>
        <x:v>16.851105312700458</x:v>
      </x:c>
      <x:c r="I55" s="80" t="n">
        <x:f>'Calc_Monthly'!K55</x:f>
        <x:v>9115.60270227003</x:v>
      </x:c>
      <x:c r="J55" s="80" t="n">
        <x:f>'Calc_Monthly'!Q55</x:f>
        <x:v>0</x:v>
      </x:c>
      <x:c r="K55" s="80" t="n">
        <x:f>'Calc_Monthly'!AC55</x:f>
        <x:v>0</x:v>
      </x:c>
      <x:c r="L55" s="80" t="n">
        <x:f>'Calc_Monthly'!AE55</x:f>
        <x:v>0</x:v>
      </x:c>
      <x:c r="M55" s="80" t="n">
        <x:f>'Calc_Monthly'!U55</x:f>
        <x:v>4480.751548802587</x:v>
      </x:c>
      <x:c r="N55" s="80" t="n">
        <x:f>'Calc_Monthly'!AD55</x:f>
        <x:v>668.2316272543283</x:v>
      </x:c>
      <x:c r="O55" s="80" t="n">
        <x:f>'Calc_Monthly'!AF55</x:f>
        <x:v>5148.983176056916</x:v>
      </x:c>
    </x:row>
    <x:row r="56">
      <x:c r="A56" s="78" t="str">
        <x:f>'Calc_Monthly'!A56</x:f>
        <x:v>18|lower</x:v>
      </x:c>
      <x:c r="B56" s="78" t="str">
        <x:f>'Calc_Monthly'!B56</x:f>
        <x:v>18</x:v>
      </x:c>
      <x:c r="C56" s="78" t="str">
        <x:f>'Calc_Monthly'!C56</x:f>
        <x:v>Test building 2</x:v>
      </x:c>
      <x:c r="D56" s="78" t="str">
        <x:f>'Calc_Monthly'!D56</x:f>
        <x:v>lower</x:v>
      </x:c>
      <x:c r="E56" s="78" t="str">
        <x:f>'Calc_Monthly'!E56</x:f>
        <x:v>2023-07</x:v>
      </x:c>
      <x:c r="F56" s="80" t="n">
        <x:f>'Calc_Monthly'!H56</x:f>
        <x:v>23.824193548387097</x:v>
      </x:c>
      <x:c r="G56" s="80" t="n">
        <x:f>'Calc_Case'!J6</x:f>
        <x:v>1314.4259050137596</x:v>
      </x:c>
      <x:c r="H56" s="80" t="n">
        <x:f>'Calc_Case'!M6</x:f>
        <x:v>16.851105312700458</x:v>
      </x:c>
      <x:c r="I56" s="80" t="n">
        <x:f>'Calc_Monthly'!K56</x:f>
        <x:v>9552.438844773944</x:v>
      </x:c>
      <x:c r="J56" s="80" t="n">
        <x:f>'Calc_Monthly'!Q56</x:f>
        <x:v>0</x:v>
      </x:c>
      <x:c r="K56" s="80" t="n">
        <x:f>'Calc_Monthly'!AC56</x:f>
        <x:v>0</x:v>
      </x:c>
      <x:c r="L56" s="80" t="n">
        <x:f>'Calc_Monthly'!AE56</x:f>
        <x:v>0</x:v>
      </x:c>
      <x:c r="M56" s="80" t="n">
        <x:f>'Calc_Monthly'!U56</x:f>
        <x:v>6128.596054447536</x:v>
      </x:c>
      <x:c r="N56" s="80" t="n">
        <x:f>'Calc_Monthly'!AD56</x:f>
        <x:v>1628.0208634478415</x:v>
      </x:c>
      <x:c r="O56" s="80" t="n">
        <x:f>'Calc_Monthly'!AF56</x:f>
        <x:v>7756.616917895377</x:v>
      </x:c>
    </x:row>
    <x:row r="57">
      <x:c r="A57" s="78" t="str">
        <x:f>'Calc_Monthly'!A57</x:f>
        <x:v>18|lower</x:v>
      </x:c>
      <x:c r="B57" s="78" t="str">
        <x:f>'Calc_Monthly'!B57</x:f>
        <x:v>18</x:v>
      </x:c>
      <x:c r="C57" s="78" t="str">
        <x:f>'Calc_Monthly'!C57</x:f>
        <x:v>Test building 2</x:v>
      </x:c>
      <x:c r="D57" s="78" t="str">
        <x:f>'Calc_Monthly'!D57</x:f>
        <x:v>lower</x:v>
      </x:c>
      <x:c r="E57" s="78" t="str">
        <x:f>'Calc_Monthly'!E57</x:f>
        <x:v>2023-08</x:v>
      </x:c>
      <x:c r="F57" s="80" t="n">
        <x:f>'Calc_Monthly'!H57</x:f>
        <x:v>22.74717741935484</x:v>
      </x:c>
      <x:c r="G57" s="80" t="n">
        <x:f>'Calc_Case'!J6</x:f>
        <x:v>1314.4259050137596</x:v>
      </x:c>
      <x:c r="H57" s="80" t="n">
        <x:f>'Calc_Case'!M6</x:f>
        <x:v>16.851105312700458</x:v>
      </x:c>
      <x:c r="I57" s="80" t="n">
        <x:f>'Calc_Monthly'!K57</x:f>
        <x:v>9308.32662907555</x:v>
      </x:c>
      <x:c r="J57" s="80" t="n">
        <x:f>'Calc_Monthly'!Q57</x:f>
        <x:v>0</x:v>
      </x:c>
      <x:c r="K57" s="80" t="n">
        <x:f>'Calc_Monthly'!AC57</x:f>
        <x:v>0</x:v>
      </x:c>
      <x:c r="L57" s="80" t="n">
        <x:f>'Calc_Monthly'!AE57</x:f>
        <x:v>0</x:v>
      </x:c>
      <x:c r="M57" s="80" t="n">
        <x:f>'Calc_Monthly'!U57</x:f>
        <x:v>5376.131073209018</x:v>
      </x:c>
      <x:c r="N57" s="80" t="n">
        <x:f>'Calc_Monthly'!AD57</x:f>
        <x:v>1298.6931047179735</x:v>
      </x:c>
      <x:c r="O57" s="80" t="n">
        <x:f>'Calc_Monthly'!AF57</x:f>
        <x:v>6674.824177926991</x:v>
      </x:c>
    </x:row>
    <x:row r="58">
      <x:c r="A58" s="78" t="str">
        <x:f>'Calc_Monthly'!A58</x:f>
        <x:v>18|lower</x:v>
      </x:c>
      <x:c r="B58" s="78" t="str">
        <x:f>'Calc_Monthly'!B58</x:f>
        <x:v>18</x:v>
      </x:c>
      <x:c r="C58" s="78" t="str">
        <x:f>'Calc_Monthly'!C58</x:f>
        <x:v>Test building 2</x:v>
      </x:c>
      <x:c r="D58" s="78" t="str">
        <x:f>'Calc_Monthly'!D58</x:f>
        <x:v>lower</x:v>
      </x:c>
      <x:c r="E58" s="78" t="str">
        <x:f>'Calc_Monthly'!E58</x:f>
        <x:v>2023-09</x:v>
      </x:c>
      <x:c r="F58" s="80" t="n">
        <x:f>'Calc_Monthly'!H58</x:f>
        <x:v>19.61638888888889</x:v>
      </x:c>
      <x:c r="G58" s="80" t="n">
        <x:f>'Calc_Case'!J6</x:f>
        <x:v>1314.4259050137596</x:v>
      </x:c>
      <x:c r="H58" s="80" t="n">
        <x:f>'Calc_Case'!M6</x:f>
        <x:v>16.851105312700458</x:v>
      </x:c>
      <x:c r="I58" s="80" t="n">
        <x:f>'Calc_Monthly'!K58</x:f>
        <x:v>8585.399422308285</x:v>
      </x:c>
      <x:c r="J58" s="80" t="n">
        <x:f>'Calc_Monthly'!Q58</x:f>
        <x:v>0</x:v>
      </x:c>
      <x:c r="K58" s="80" t="n">
        <x:f>'Calc_Monthly'!AC58</x:f>
        <x:v>0</x:v>
      </x:c>
      <x:c r="L58" s="80" t="n">
        <x:f>'Calc_Monthly'!AE58</x:f>
        <x:v>0</x:v>
      </x:c>
      <x:c r="M58" s="80" t="n">
        <x:f>'Calc_Monthly'!U58</x:f>
        <x:v>3652.9946837290463</x:v>
      </x:c>
      <x:c r="N58" s="80" t="n">
        <x:f>'Calc_Monthly'!AD58</x:f>
        <x:v>330.3552383215628</x:v>
      </x:c>
      <x:c r="O58" s="80" t="n">
        <x:f>'Calc_Monthly'!AF58</x:f>
        <x:v>3983.349922050609</x:v>
      </x:c>
    </x:row>
    <x:row r="59">
      <x:c r="A59" s="78" t="str">
        <x:f>'Calc_Monthly'!A59</x:f>
        <x:v>18|lower</x:v>
      </x:c>
      <x:c r="B59" s="78" t="str">
        <x:f>'Calc_Monthly'!B59</x:f>
        <x:v>18</x:v>
      </x:c>
      <x:c r="C59" s="78" t="str">
        <x:f>'Calc_Monthly'!C59</x:f>
        <x:v>Test building 2</x:v>
      </x:c>
      <x:c r="D59" s="78" t="str">
        <x:f>'Calc_Monthly'!D59</x:f>
        <x:v>lower</x:v>
      </x:c>
      <x:c r="E59" s="78" t="str">
        <x:f>'Calc_Monthly'!E59</x:f>
        <x:v>2023-10</x:v>
      </x:c>
      <x:c r="F59" s="80" t="n">
        <x:f>'Calc_Monthly'!H59</x:f>
        <x:v>13.926209677419354</x:v>
      </x:c>
      <x:c r="G59" s="80" t="n">
        <x:f>'Calc_Case'!J6</x:f>
        <x:v>1314.4259050137596</x:v>
      </x:c>
      <x:c r="H59" s="80" t="n">
        <x:f>'Calc_Case'!M6</x:f>
        <x:v>16.851105312700458</x:v>
      </x:c>
      <x:c r="I59" s="80" t="n">
        <x:f>'Calc_Monthly'!K59</x:f>
        <x:v>8217.840112278484</x:v>
      </x:c>
      <x:c r="J59" s="80" t="n">
        <x:f>'Calc_Monthly'!Q59</x:f>
        <x:v>229.22540604039523</x:v>
      </x:c>
      <x:c r="K59" s="80" t="n">
        <x:f>'Calc_Monthly'!AC59</x:f>
        <x:v>2399.740235177625</x:v>
      </x:c>
      <x:c r="L59" s="80" t="n">
        <x:f>'Calc_Monthly'!AE59</x:f>
        <x:v>2628.96564121802</x:v>
      </x:c>
      <x:c r="M59" s="80" t="n">
        <x:f>'Calc_Monthly'!U59</x:f>
        <x:v>0</x:v>
      </x:c>
      <x:c r="N59" s="80" t="n">
        <x:f>'Calc_Monthly'!AD59</x:f>
        <x:v>0</x:v>
      </x:c>
      <x:c r="O59" s="80" t="n">
        <x:f>'Calc_Monthly'!AF59</x:f>
        <x:v>0</x:v>
      </x:c>
    </x:row>
    <x:row r="60">
      <x:c r="A60" s="78" t="str">
        <x:f>'Calc_Monthly'!A60</x:f>
        <x:v>18|lower</x:v>
      </x:c>
      <x:c r="B60" s="78" t="str">
        <x:f>'Calc_Monthly'!B60</x:f>
        <x:v>18</x:v>
      </x:c>
      <x:c r="C60" s="78" t="str">
        <x:f>'Calc_Monthly'!C60</x:f>
        <x:v>Test building 2</x:v>
      </x:c>
      <x:c r="D60" s="78" t="str">
        <x:f>'Calc_Monthly'!D60</x:f>
        <x:v>lower</x:v>
      </x:c>
      <x:c r="E60" s="78" t="str">
        <x:f>'Calc_Monthly'!E60</x:f>
        <x:v>2023-11</x:v>
      </x:c>
      <x:c r="F60" s="80" t="n">
        <x:f>'Calc_Monthly'!H60</x:f>
        <x:v>8.68388888888889</x:v>
      </x:c>
      <x:c r="G60" s="80" t="n">
        <x:f>'Calc_Case'!J6</x:f>
        <x:v>1314.4259050137596</x:v>
      </x:c>
      <x:c r="H60" s="80" t="n">
        <x:f>'Calc_Case'!M6</x:f>
        <x:v>16.851105312700458</x:v>
      </x:c>
      <x:c r="I60" s="80" t="n">
        <x:f>'Calc_Monthly'!K60</x:f>
        <x:v>7239.268544050754</x:v>
      </x:c>
      <x:c r="J60" s="80" t="n">
        <x:f>'Calc_Monthly'!Q60</x:f>
        <x:v>3315.983541887278</x:v>
      </x:c>
      <x:c r="K60" s="80" t="n">
        <x:f>'Calc_Monthly'!AC60</x:f>
        <x:v>3940.4253333314477</x:v>
      </x:c>
      <x:c r="L60" s="80" t="n">
        <x:f>'Calc_Monthly'!AE60</x:f>
        <x:v>7256.408875218725</x:v>
      </x:c>
      <x:c r="M60" s="80" t="n">
        <x:f>'Calc_Monthly'!U60</x:f>
        <x:v>0</x:v>
      </x:c>
      <x:c r="N60" s="80" t="n">
        <x:f>'Calc_Monthly'!AD60</x:f>
        <x:v>0</x:v>
      </x:c>
      <x:c r="O60" s="80" t="n">
        <x:f>'Calc_Monthly'!AF60</x:f>
        <x:v>0</x:v>
      </x:c>
    </x:row>
    <x:row r="61">
      <x:c r="A61" s="78" t="str">
        <x:f>'Calc_Monthly'!A61</x:f>
        <x:v>18|lower</x:v>
      </x:c>
      <x:c r="B61" s="78" t="str">
        <x:f>'Calc_Monthly'!B61</x:f>
        <x:v>18</x:v>
      </x:c>
      <x:c r="C61" s="78" t="str">
        <x:f>'Calc_Monthly'!C61</x:f>
        <x:v>Test building 2</x:v>
      </x:c>
      <x:c r="D61" s="78" t="str">
        <x:f>'Calc_Monthly'!D61</x:f>
        <x:v>lower</x:v>
      </x:c>
      <x:c r="E61" s="78" t="str">
        <x:f>'Calc_Monthly'!E61</x:f>
        <x:v>2023-12</x:v>
      </x:c>
      <x:c r="F61" s="80" t="n">
        <x:f>'Calc_Monthly'!H61</x:f>
        <x:v>3.9963709677419357</x:v>
      </x:c>
      <x:c r="G61" s="80" t="n">
        <x:f>'Calc_Case'!J6</x:f>
        <x:v>1314.4259050137596</x:v>
      </x:c>
      <x:c r="H61" s="80" t="n">
        <x:f>'Calc_Case'!M6</x:f>
        <x:v>16.851105312700458</x:v>
      </x:c>
      <x:c r="I61" s="80" t="n">
        <x:f>'Calc_Monthly'!K61</x:f>
        <x:v>7370.008827058174</x:v>
      </x:c>
      <x:c r="J61" s="80" t="n">
        <x:f>'Calc_Monthly'!Q61</x:f>
        <x:v>6007.821653022582</x:v>
      </x:c>
      <x:c r="K61" s="80" t="n">
        <x:f>'Calc_Monthly'!AC61</x:f>
        <x:v>5505.11235474725</x:v>
      </x:c>
      <x:c r="L61" s="80" t="n">
        <x:f>'Calc_Monthly'!AE61</x:f>
        <x:v>11512.934007769833</x:v>
      </x:c>
      <x:c r="M61" s="80" t="n">
        <x:f>'Calc_Monthly'!U61</x:f>
        <x:v>0</x:v>
      </x:c>
      <x:c r="N61" s="80" t="n">
        <x:f>'Calc_Monthly'!AD61</x:f>
        <x:v>0</x:v>
      </x:c>
      <x:c r="O61" s="80" t="n">
        <x:f>'Calc_Monthly'!AF61</x:f>
        <x:v>0</x:v>
      </x:c>
    </x:row>
    <x:row r="62">
      <x:c r="A62" s="78" t="str">
        <x:f>'Calc_Monthly'!A62</x:f>
        <x:v>18|upper</x:v>
      </x:c>
      <x:c r="B62" s="78" t="str">
        <x:f>'Calc_Monthly'!B62</x:f>
        <x:v>18</x:v>
      </x:c>
      <x:c r="C62" s="78" t="str">
        <x:f>'Calc_Monthly'!C62</x:f>
        <x:v>Test building 2</x:v>
      </x:c>
      <x:c r="D62" s="78" t="str">
        <x:f>'Calc_Monthly'!D62</x:f>
        <x:v>upper</x:v>
      </x:c>
      <x:c r="E62" s="78" t="str">
        <x:f>'Calc_Monthly'!E62</x:f>
        <x:v>2023-01</x:v>
      </x:c>
      <x:c r="F62" s="80" t="n">
        <x:f>'Calc_Monthly'!H62</x:f>
        <x:v>2.638440860215054</x:v>
      </x:c>
      <x:c r="G62" s="80" t="n">
        <x:f>'Calc_Case'!J7</x:f>
        <x:v>1566.8923416136743</x:v>
      </x:c>
      <x:c r="H62" s="80" t="n">
        <x:f>'Calc_Case'!M7</x:f>
        <x:v>17.941796912147822</x:v>
      </x:c>
      <x:c r="I62" s="80" t="n">
        <x:f>'Calc_Monthly'!K62</x:f>
        <x:v>1394.2756749389914</x:v>
      </x:c>
      <x:c r="J62" s="80" t="n">
        <x:f>'Calc_Monthly'!Q62</x:f>
        <x:v>18848.91913052406</x:v>
      </x:c>
      <x:c r="K62" s="80" t="n">
        <x:f>'Calc_Monthly'!AC62</x:f>
        <x:v>0</x:v>
      </x:c>
      <x:c r="L62" s="80" t="n">
        <x:f>'Calc_Monthly'!AE62</x:f>
        <x:v>18848.91913052406</x:v>
      </x:c>
      <x:c r="M62" s="80" t="n">
        <x:f>'Calc_Monthly'!U62</x:f>
        <x:v>0</x:v>
      </x:c>
      <x:c r="N62" s="80" t="n">
        <x:f>'Calc_Monthly'!AD62</x:f>
        <x:v>0</x:v>
      </x:c>
      <x:c r="O62" s="80" t="n">
        <x:f>'Calc_Monthly'!AF62</x:f>
        <x:v>0</x:v>
      </x:c>
    </x:row>
    <x:row r="63">
      <x:c r="A63" s="78" t="str">
        <x:f>'Calc_Monthly'!A63</x:f>
        <x:v>18|upper</x:v>
      </x:c>
      <x:c r="B63" s="78" t="str">
        <x:f>'Calc_Monthly'!B63</x:f>
        <x:v>18</x:v>
      </x:c>
      <x:c r="C63" s="78" t="str">
        <x:f>'Calc_Monthly'!C63</x:f>
        <x:v>Test building 2</x:v>
      </x:c>
      <x:c r="D63" s="78" t="str">
        <x:f>'Calc_Monthly'!D63</x:f>
        <x:v>upper</x:v>
      </x:c>
      <x:c r="E63" s="78" t="str">
        <x:f>'Calc_Monthly'!E63</x:f>
        <x:v>2023-02</x:v>
      </x:c>
      <x:c r="F63" s="80" t="n">
        <x:f>'Calc_Monthly'!H63</x:f>
        <x:v>3.8903273809523813</x:v>
      </x:c>
      <x:c r="G63" s="80" t="n">
        <x:f>'Calc_Case'!J7</x:f>
        <x:v>1566.8923416136743</x:v>
      </x:c>
      <x:c r="H63" s="80" t="n">
        <x:f>'Calc_Case'!M7</x:f>
        <x:v>17.941796912147822</x:v>
      </x:c>
      <x:c r="I63" s="80" t="n">
        <x:f>'Calc_Monthly'!K63</x:f>
        <x:v>1788.971781998956</x:v>
      </x:c>
      <x:c r="J63" s="80" t="n">
        <x:f>'Calc_Monthly'!Q63</x:f>
        <x:v>15185.19392733427</x:v>
      </x:c>
      <x:c r="K63" s="80" t="n">
        <x:f>'Calc_Monthly'!AC63</x:f>
        <x:v>0</x:v>
      </x:c>
      <x:c r="L63" s="80" t="n">
        <x:f>'Calc_Monthly'!AE63</x:f>
        <x:v>15185.19392733427</x:v>
      </x:c>
      <x:c r="M63" s="80" t="n">
        <x:f>'Calc_Monthly'!U63</x:f>
        <x:v>0</x:v>
      </x:c>
      <x:c r="N63" s="80" t="n">
        <x:f>'Calc_Monthly'!AD63</x:f>
        <x:v>0</x:v>
      </x:c>
      <x:c r="O63" s="80" t="n">
        <x:f>'Calc_Monthly'!AF63</x:f>
        <x:v>0</x:v>
      </x:c>
    </x:row>
    <x:row r="64">
      <x:c r="A64" s="78" t="str">
        <x:f>'Calc_Monthly'!A64</x:f>
        <x:v>18|upper</x:v>
      </x:c>
      <x:c r="B64" s="78" t="str">
        <x:f>'Calc_Monthly'!B64</x:f>
        <x:v>18</x:v>
      </x:c>
      <x:c r="C64" s="78" t="str">
        <x:f>'Calc_Monthly'!C64</x:f>
        <x:v>Test building 2</x:v>
      </x:c>
      <x:c r="D64" s="78" t="str">
        <x:f>'Calc_Monthly'!D64</x:f>
        <x:v>upper</x:v>
      </x:c>
      <x:c r="E64" s="78" t="str">
        <x:f>'Calc_Monthly'!E64</x:f>
        <x:v>2023-03</x:v>
      </x:c>
      <x:c r="F64" s="80" t="n">
        <x:f>'Calc_Monthly'!H64</x:f>
        <x:v>7.746908602150539</x:v>
      </x:c>
      <x:c r="G64" s="80" t="n">
        <x:f>'Calc_Case'!J7</x:f>
        <x:v>1566.8923416136743</x:v>
      </x:c>
      <x:c r="H64" s="80" t="n">
        <x:f>'Calc_Case'!M7</x:f>
        <x:v>17.941796912147822</x:v>
      </x:c>
      <x:c r="I64" s="80" t="n">
        <x:f>'Calc_Monthly'!K64</x:f>
        <x:v>3870.409262102637</x:v>
      </x:c>
      <x:c r="J64" s="80" t="n">
        <x:f>'Calc_Monthly'!Q64</x:f>
        <x:v>10576.716681246122</x:v>
      </x:c>
      <x:c r="K64" s="80" t="n">
        <x:f>'Calc_Monthly'!AC64</x:f>
        <x:v>0</x:v>
      </x:c>
      <x:c r="L64" s="80" t="n">
        <x:f>'Calc_Monthly'!AE64</x:f>
        <x:v>10576.716681246122</x:v>
      </x:c>
      <x:c r="M64" s="80" t="n">
        <x:f>'Calc_Monthly'!U64</x:f>
        <x:v>0</x:v>
      </x:c>
      <x:c r="N64" s="80" t="n">
        <x:f>'Calc_Monthly'!AD64</x:f>
        <x:v>0</x:v>
      </x:c>
      <x:c r="O64" s="80" t="n">
        <x:f>'Calc_Monthly'!AF64</x:f>
        <x:v>0</x:v>
      </x:c>
    </x:row>
    <x:row r="65">
      <x:c r="A65" s="78" t="str">
        <x:f>'Calc_Monthly'!A65</x:f>
        <x:v>18|upper</x:v>
      </x:c>
      <x:c r="B65" s="78" t="str">
        <x:f>'Calc_Monthly'!B65</x:f>
        <x:v>18</x:v>
      </x:c>
      <x:c r="C65" s="78" t="str">
        <x:f>'Calc_Monthly'!C65</x:f>
        <x:v>Test building 2</x:v>
      </x:c>
      <x:c r="D65" s="78" t="str">
        <x:f>'Calc_Monthly'!D65</x:f>
        <x:v>upper</x:v>
      </x:c>
      <x:c r="E65" s="78" t="str">
        <x:f>'Calc_Monthly'!E65</x:f>
        <x:v>2023-04</x:v>
      </x:c>
      <x:c r="F65" s="80" t="n">
        <x:f>'Calc_Monthly'!H65</x:f>
        <x:v>12.03041666666667</x:v>
      </x:c>
      <x:c r="G65" s="80" t="n">
        <x:f>'Calc_Case'!J7</x:f>
        <x:v>1566.8923416136743</x:v>
      </x:c>
      <x:c r="H65" s="80" t="n">
        <x:f>'Calc_Case'!M7</x:f>
        <x:v>17.941796912147822</x:v>
      </x:c>
      <x:c r="I65" s="80" t="n">
        <x:f>'Calc_Monthly'!K65</x:f>
        <x:v>4948.163515598815</x:v>
      </x:c>
      <x:c r="J65" s="80" t="n">
        <x:f>'Calc_Monthly'!Q65</x:f>
        <x:v>4746.582211509791</x:v>
      </x:c>
      <x:c r="K65" s="80" t="n">
        <x:f>'Calc_Monthly'!AC65</x:f>
        <x:v>0</x:v>
      </x:c>
      <x:c r="L65" s="80" t="n">
        <x:f>'Calc_Monthly'!AE65</x:f>
        <x:v>4746.582211509791</x:v>
      </x:c>
      <x:c r="M65" s="80" t="n">
        <x:f>'Calc_Monthly'!U65</x:f>
        <x:v>0</x:v>
      </x:c>
      <x:c r="N65" s="80" t="n">
        <x:f>'Calc_Monthly'!AD65</x:f>
        <x:v>0</x:v>
      </x:c>
      <x:c r="O65" s="80" t="n">
        <x:f>'Calc_Monthly'!AF65</x:f>
        <x:v>0</x:v>
      </x:c>
    </x:row>
    <x:row r="66">
      <x:c r="A66" s="78" t="str">
        <x:f>'Calc_Monthly'!A66</x:f>
        <x:v>18|upper</x:v>
      </x:c>
      <x:c r="B66" s="78" t="str">
        <x:f>'Calc_Monthly'!B66</x:f>
        <x:v>18</x:v>
      </x:c>
      <x:c r="C66" s="78" t="str">
        <x:f>'Calc_Monthly'!C66</x:f>
        <x:v>Test building 2</x:v>
      </x:c>
      <x:c r="D66" s="78" t="str">
        <x:f>'Calc_Monthly'!D66</x:f>
        <x:v>upper</x:v>
      </x:c>
      <x:c r="E66" s="78" t="str">
        <x:f>'Calc_Monthly'!E66</x:f>
        <x:v>2023-05</x:v>
      </x:c>
      <x:c r="F66" s="80" t="n">
        <x:f>'Calc_Monthly'!H66</x:f>
        <x:v>17.244086021505375</x:v>
      </x:c>
      <x:c r="G66" s="80" t="n">
        <x:f>'Calc_Case'!J7</x:f>
        <x:v>1566.8923416136743</x:v>
      </x:c>
      <x:c r="H66" s="80" t="n">
        <x:f>'Calc_Case'!M7</x:f>
        <x:v>17.941796912147822</x:v>
      </x:c>
      <x:c r="I66" s="80" t="n">
        <x:f>'Calc_Monthly'!K66</x:f>
        <x:v>6335.754162462015</x:v>
      </x:c>
      <x:c r="J66" s="80" t="n">
        <x:f>'Calc_Monthly'!Q66</x:f>
        <x:v>0</x:v>
      </x:c>
      <x:c r="K66" s="80" t="n">
        <x:f>'Calc_Monthly'!AC66</x:f>
        <x:v>0</x:v>
      </x:c>
      <x:c r="L66" s="80" t="n">
        <x:f>'Calc_Monthly'!AE66</x:f>
        <x:v>0</x:v>
      </x:c>
      <x:c r="M66" s="80" t="n">
        <x:f>'Calc_Monthly'!U66</x:f>
        <x:v>0</x:v>
      </x:c>
      <x:c r="N66" s="80" t="n">
        <x:f>'Calc_Monthly'!AD66</x:f>
        <x:v>0</x:v>
      </x:c>
      <x:c r="O66" s="80" t="n">
        <x:f>'Calc_Monthly'!AF66</x:f>
        <x:v>0</x:v>
      </x:c>
    </x:row>
    <x:row r="67">
      <x:c r="A67" s="78" t="str">
        <x:f>'Calc_Monthly'!A67</x:f>
        <x:v>18|upper</x:v>
      </x:c>
      <x:c r="B67" s="78" t="str">
        <x:f>'Calc_Monthly'!B67</x:f>
        <x:v>18</x:v>
      </x:c>
      <x:c r="C67" s="78" t="str">
        <x:f>'Calc_Monthly'!C67</x:f>
        <x:v>Test building 2</x:v>
      </x:c>
      <x:c r="D67" s="78" t="str">
        <x:f>'Calc_Monthly'!D67</x:f>
        <x:v>upper</x:v>
      </x:c>
      <x:c r="E67" s="78" t="str">
        <x:f>'Calc_Monthly'!E67</x:f>
        <x:v>2023-06</x:v>
      </x:c>
      <x:c r="F67" s="80" t="n">
        <x:f>'Calc_Monthly'!H67</x:f>
        <x:v>20.758194444444445</x:v>
      </x:c>
      <x:c r="G67" s="80" t="n">
        <x:f>'Calc_Case'!J7</x:f>
        <x:v>1566.8923416136743</x:v>
      </x:c>
      <x:c r="H67" s="80" t="n">
        <x:f>'Calc_Case'!M7</x:f>
        <x:v>17.941796912147822</x:v>
      </x:c>
      <x:c r="I67" s="80" t="n">
        <x:f>'Calc_Monthly'!K67</x:f>
        <x:v>6424.573605752875</x:v>
      </x:c>
      <x:c r="J67" s="80" t="n">
        <x:f>'Calc_Monthly'!Q67</x:f>
        <x:v>0</x:v>
      </x:c>
      <x:c r="K67" s="80" t="n">
        <x:f>'Calc_Monthly'!AC67</x:f>
        <x:v>0</x:v>
      </x:c>
      <x:c r="L67" s="80" t="n">
        <x:f>'Calc_Monthly'!AE67</x:f>
        <x:v>0</x:v>
      </x:c>
      <x:c r="M67" s="80" t="n">
        <x:f>'Calc_Monthly'!U67</x:f>
        <x:v>2195.8253932913167</x:v>
      </x:c>
      <x:c r="N67" s="80" t="n">
        <x:f>'Calc_Monthly'!AD67</x:f>
        <x:v>0</x:v>
      </x:c>
      <x:c r="O67" s="80" t="n">
        <x:f>'Calc_Monthly'!AF67</x:f>
        <x:v>2195.8253932913167</x:v>
      </x:c>
    </x:row>
    <x:row r="68">
      <x:c r="A68" s="78" t="str">
        <x:f>'Calc_Monthly'!A68</x:f>
        <x:v>18|upper</x:v>
      </x:c>
      <x:c r="B68" s="78" t="str">
        <x:f>'Calc_Monthly'!B68</x:f>
        <x:v>18</x:v>
      </x:c>
      <x:c r="C68" s="78" t="str">
        <x:f>'Calc_Monthly'!C68</x:f>
        <x:v>Test building 2</x:v>
      </x:c>
      <x:c r="D68" s="78" t="str">
        <x:f>'Calc_Monthly'!D68</x:f>
        <x:v>upper</x:v>
      </x:c>
      <x:c r="E68" s="78" t="str">
        <x:f>'Calc_Monthly'!E68</x:f>
        <x:v>2023-07</x:v>
      </x:c>
      <x:c r="F68" s="80" t="n">
        <x:f>'Calc_Monthly'!H68</x:f>
        <x:v>23.824193548387097</x:v>
      </x:c>
      <x:c r="G68" s="80" t="n">
        <x:f>'Calc_Case'!J7</x:f>
        <x:v>1566.8923416136743</x:v>
      </x:c>
      <x:c r="H68" s="80" t="n">
        <x:f>'Calc_Case'!M7</x:f>
        <x:v>17.941796912147822</x:v>
      </x:c>
      <x:c r="I68" s="80" t="n">
        <x:f>'Calc_Monthly'!K68</x:f>
        <x:v>6945.841085545352</x:v>
      </x:c>
      <x:c r="J68" s="80" t="n">
        <x:f>'Calc_Monthly'!Q68</x:f>
        <x:v>0</x:v>
      </x:c>
      <x:c r="K68" s="80" t="n">
        <x:f>'Calc_Monthly'!AC68</x:f>
        <x:v>0</x:v>
      </x:c>
      <x:c r="L68" s="80" t="n">
        <x:f>'Calc_Monthly'!AE68</x:f>
        <x:v>0</x:v>
      </x:c>
      <x:c r="M68" s="80" t="n">
        <x:f>'Calc_Monthly'!U68</x:f>
        <x:v>4592.929863485266</x:v>
      </x:c>
      <x:c r="N68" s="80" t="n">
        <x:f>'Calc_Monthly'!AD68</x:f>
        <x:v>0</x:v>
      </x:c>
      <x:c r="O68" s="80" t="n">
        <x:f>'Calc_Monthly'!AF68</x:f>
        <x:v>4592.929863485266</x:v>
      </x:c>
    </x:row>
    <x:row r="69">
      <x:c r="A69" s="78" t="str">
        <x:f>'Calc_Monthly'!A69</x:f>
        <x:v>18|upper</x:v>
      </x:c>
      <x:c r="B69" s="78" t="str">
        <x:f>'Calc_Monthly'!B69</x:f>
        <x:v>18</x:v>
      </x:c>
      <x:c r="C69" s="78" t="str">
        <x:f>'Calc_Monthly'!C69</x:f>
        <x:v>Test building 2</x:v>
      </x:c>
      <x:c r="D69" s="78" t="str">
        <x:f>'Calc_Monthly'!D69</x:f>
        <x:v>upper</x:v>
      </x:c>
      <x:c r="E69" s="78" t="str">
        <x:f>'Calc_Monthly'!E69</x:f>
        <x:v>2023-08</x:v>
      </x:c>
      <x:c r="F69" s="80" t="n">
        <x:f>'Calc_Monthly'!H69</x:f>
        <x:v>22.74717741935484</x:v>
      </x:c>
      <x:c r="G69" s="80" t="n">
        <x:f>'Calc_Case'!J7</x:f>
        <x:v>1566.8923416136743</x:v>
      </x:c>
      <x:c r="H69" s="80" t="n">
        <x:f>'Calc_Case'!M7</x:f>
        <x:v>17.941796912147822</x:v>
      </x:c>
      <x:c r="I69" s="80" t="n">
        <x:f>'Calc_Monthly'!K69</x:f>
        <x:v>6190.93815453967</x:v>
      </x:c>
      <x:c r="J69" s="80" t="n">
        <x:f>'Calc_Monthly'!Q69</x:f>
        <x:v>0</x:v>
      </x:c>
      <x:c r="K69" s="80" t="n">
        <x:f>'Calc_Monthly'!AC69</x:f>
        <x:v>0</x:v>
      </x:c>
      <x:c r="L69" s="80" t="n">
        <x:f>'Calc_Monthly'!AE69</x:f>
        <x:v>0</x:v>
      </x:c>
      <x:c r="M69" s="80" t="n">
        <x:f>'Calc_Monthly'!U69</x:f>
        <x:v>3031.7338306395545</x:v>
      </x:c>
      <x:c r="N69" s="80" t="n">
        <x:f>'Calc_Monthly'!AD69</x:f>
        <x:v>0</x:v>
      </x:c>
      <x:c r="O69" s="80" t="n">
        <x:f>'Calc_Monthly'!AF69</x:f>
        <x:v>3031.7338306395545</x:v>
      </x:c>
    </x:row>
    <x:row r="70">
      <x:c r="A70" s="78" t="str">
        <x:f>'Calc_Monthly'!A70</x:f>
        <x:v>18|upper</x:v>
      </x:c>
      <x:c r="B70" s="78" t="str">
        <x:f>'Calc_Monthly'!B70</x:f>
        <x:v>18</x:v>
      </x:c>
      <x:c r="C70" s="78" t="str">
        <x:f>'Calc_Monthly'!C70</x:f>
        <x:v>Test building 2</x:v>
      </x:c>
      <x:c r="D70" s="78" t="str">
        <x:f>'Calc_Monthly'!D70</x:f>
        <x:v>upper</x:v>
      </x:c>
      <x:c r="E70" s="78" t="str">
        <x:f>'Calc_Monthly'!E70</x:f>
        <x:v>2023-09</x:v>
      </x:c>
      <x:c r="F70" s="80" t="n">
        <x:f>'Calc_Monthly'!H70</x:f>
        <x:v>19.61638888888889</x:v>
      </x:c>
      <x:c r="G70" s="80" t="n">
        <x:f>'Calc_Case'!J7</x:f>
        <x:v>1566.8923416136743</x:v>
      </x:c>
      <x:c r="H70" s="80" t="n">
        <x:f>'Calc_Case'!M7</x:f>
        <x:v>17.941796912147822</x:v>
      </x:c>
      <x:c r="I70" s="80" t="n">
        <x:f>'Calc_Monthly'!K70</x:f>
        <x:v>4760.91885787318</x:v>
      </x:c>
      <x:c r="J70" s="80" t="n">
        <x:f>'Calc_Monthly'!Q70</x:f>
        <x:v>0</x:v>
      </x:c>
      <x:c r="K70" s="80" t="n">
        <x:f>'Calc_Monthly'!AC70</x:f>
        <x:v>0</x:v>
      </x:c>
      <x:c r="L70" s="80" t="n">
        <x:f>'Calc_Monthly'!AE70</x:f>
        <x:v>0</x:v>
      </x:c>
      <x:c r="M70" s="80" t="n">
        <x:f>'Calc_Monthly'!U70</x:f>
        <x:v>886.2870735544411</x:v>
      </x:c>
      <x:c r="N70" s="80" t="n">
        <x:f>'Calc_Monthly'!AD70</x:f>
        <x:v>0</x:v>
      </x:c>
      <x:c r="O70" s="80" t="n">
        <x:f>'Calc_Monthly'!AF70</x:f>
        <x:v>886.2870735544411</x:v>
      </x:c>
    </x:row>
    <x:row r="71">
      <x:c r="A71" s="78" t="str">
        <x:f>'Calc_Monthly'!A71</x:f>
        <x:v>18|upper</x:v>
      </x:c>
      <x:c r="B71" s="78" t="str">
        <x:f>'Calc_Monthly'!B71</x:f>
        <x:v>18</x:v>
      </x:c>
      <x:c r="C71" s="78" t="str">
        <x:f>'Calc_Monthly'!C71</x:f>
        <x:v>Test building 2</x:v>
      </x:c>
      <x:c r="D71" s="78" t="str">
        <x:f>'Calc_Monthly'!D71</x:f>
        <x:v>upper</x:v>
      </x:c>
      <x:c r="E71" s="78" t="str">
        <x:f>'Calc_Monthly'!E71</x:f>
        <x:v>2023-10</x:v>
      </x:c>
      <x:c r="F71" s="80" t="n">
        <x:f>'Calc_Monthly'!H71</x:f>
        <x:v>13.926209677419354</x:v>
      </x:c>
      <x:c r="G71" s="80" t="n">
        <x:f>'Calc_Case'!J7</x:f>
        <x:v>1566.8923416136743</x:v>
      </x:c>
      <x:c r="H71" s="80" t="n">
        <x:f>'Calc_Case'!M7</x:f>
        <x:v>17.941796912147822</x:v>
      </x:c>
      <x:c r="I71" s="80" t="n">
        <x:f>'Calc_Monthly'!K71</x:f>
        <x:v>3213.257556843537</x:v>
      </x:c>
      <x:c r="J71" s="80" t="n">
        <x:f>'Calc_Monthly'!Q71</x:f>
        <x:v>1475.2159765297097</x:v>
      </x:c>
      <x:c r="K71" s="80" t="n">
        <x:f>'Calc_Monthly'!AC71</x:f>
        <x:v>0</x:v>
      </x:c>
      <x:c r="L71" s="80" t="n">
        <x:f>'Calc_Monthly'!AE71</x:f>
        <x:v>1475.2159765297097</x:v>
      </x:c>
      <x:c r="M71" s="80" t="n">
        <x:f>'Calc_Monthly'!U71</x:f>
        <x:v>0</x:v>
      </x:c>
      <x:c r="N71" s="80" t="n">
        <x:f>'Calc_Monthly'!AD71</x:f>
        <x:v>0</x:v>
      </x:c>
      <x:c r="O71" s="80" t="n">
        <x:f>'Calc_Monthly'!AF71</x:f>
        <x:v>0</x:v>
      </x:c>
    </x:row>
    <x:row r="72">
      <x:c r="A72" s="78" t="str">
        <x:f>'Calc_Monthly'!A72</x:f>
        <x:v>18|upper</x:v>
      </x:c>
      <x:c r="B72" s="78" t="str">
        <x:f>'Calc_Monthly'!B72</x:f>
        <x:v>18</x:v>
      </x:c>
      <x:c r="C72" s="78" t="str">
        <x:f>'Calc_Monthly'!C72</x:f>
        <x:v>Test building 2</x:v>
      </x:c>
      <x:c r="D72" s="78" t="str">
        <x:f>'Calc_Monthly'!D72</x:f>
        <x:v>upper</x:v>
      </x:c>
      <x:c r="E72" s="78" t="str">
        <x:f>'Calc_Monthly'!E72</x:f>
        <x:v>2023-11</x:v>
      </x:c>
      <x:c r="F72" s="80" t="n">
        <x:f>'Calc_Monthly'!H72</x:f>
        <x:v>8.68388888888889</x:v>
      </x:c>
      <x:c r="G72" s="80" t="n">
        <x:f>'Calc_Case'!J7</x:f>
        <x:v>1566.8923416136743</x:v>
      </x:c>
      <x:c r="H72" s="80" t="n">
        <x:f>'Calc_Case'!M7</x:f>
        <x:v>17.941796912147822</x:v>
      </x:c>
      <x:c r="I72" s="80" t="n">
        <x:f>'Calc_Monthly'!K72</x:f>
        <x:v>1398.5480441634554</x:v>
      </x:c>
      <x:c r="J72" s="80" t="n">
        <x:f>'Calc_Monthly'!Q72</x:f>
        <x:v>11377.558442153246</x:v>
      </x:c>
      <x:c r="K72" s="80" t="n">
        <x:f>'Calc_Monthly'!AC72</x:f>
        <x:v>0</x:v>
      </x:c>
      <x:c r="L72" s="80" t="n">
        <x:f>'Calc_Monthly'!AE72</x:f>
        <x:v>11377.558442153246</x:v>
      </x:c>
      <x:c r="M72" s="80" t="n">
        <x:f>'Calc_Monthly'!U72</x:f>
        <x:v>0</x:v>
      </x:c>
      <x:c r="N72" s="80" t="n">
        <x:f>'Calc_Monthly'!AD72</x:f>
        <x:v>0</x:v>
      </x:c>
      <x:c r="O72" s="80" t="n">
        <x:f>'Calc_Monthly'!AF72</x:f>
        <x:v>0</x:v>
      </x:c>
    </x:row>
    <x:row r="73">
      <x:c r="A73" s="78" t="str">
        <x:f>'Calc_Monthly'!A73</x:f>
        <x:v>18|upper</x:v>
      </x:c>
      <x:c r="B73" s="78" t="str">
        <x:f>'Calc_Monthly'!B73</x:f>
        <x:v>18</x:v>
      </x:c>
      <x:c r="C73" s="78" t="str">
        <x:f>'Calc_Monthly'!C73</x:f>
        <x:v>Test building 2</x:v>
      </x:c>
      <x:c r="D73" s="78" t="str">
        <x:f>'Calc_Monthly'!D73</x:f>
        <x:v>upper</x:v>
      </x:c>
      <x:c r="E73" s="78" t="str">
        <x:f>'Calc_Monthly'!E73</x:f>
        <x:v>2023-12</x:v>
      </x:c>
      <x:c r="F73" s="80" t="n">
        <x:f>'Calc_Monthly'!H73</x:f>
        <x:v>3.9963709677419357</x:v>
      </x:c>
      <x:c r="G73" s="80" t="n">
        <x:f>'Calc_Case'!J7</x:f>
        <x:v>1566.8923416136743</x:v>
      </x:c>
      <x:c r="H73" s="80" t="n">
        <x:f>'Calc_Case'!M7</x:f>
        <x:v>17.941796912147822</x:v>
      </x:c>
      <x:c r="I73" s="80" t="n">
        <x:f>'Calc_Monthly'!K73</x:f>
        <x:v>1151.5467492332139</x:v>
      </x:c>
      <x:c r="J73" s="80" t="n">
        <x:f>'Calc_Monthly'!Q73</x:f>
        <x:v>17507.354573478282</x:v>
      </x:c>
      <x:c r="K73" s="80" t="n">
        <x:f>'Calc_Monthly'!AC73</x:f>
        <x:v>0</x:v>
      </x:c>
      <x:c r="L73" s="80" t="n">
        <x:f>'Calc_Monthly'!AE73</x:f>
        <x:v>17507.354573478282</x:v>
      </x:c>
      <x:c r="M73" s="80" t="n">
        <x:f>'Calc_Monthly'!U73</x:f>
        <x:v>0</x:v>
      </x:c>
      <x:c r="N73" s="80" t="n">
        <x:f>'Calc_Monthly'!AD73</x:f>
        <x:v>0</x:v>
      </x:c>
      <x:c r="O73" s="80" t="n">
        <x:f>'Calc_Monthly'!AF73</x:f>
        <x:v>0</x:v>
      </x:c>
    </x:row>
    <x:row r="74">
      <x:c r="A74" s="78" t="str">
        <x:f>'Calc_Monthly'!A74</x:f>
        <x:v>19|aggregate</x:v>
      </x:c>
      <x:c r="B74" s="78" t="str">
        <x:f>'Calc_Monthly'!B74</x:f>
        <x:v>19</x:v>
      </x:c>
      <x:c r="C74" s="78" t="str">
        <x:f>'Calc_Monthly'!C74</x:f>
        <x:v>Test building 3</x:v>
      </x:c>
      <x:c r="D74" s="78" t="str">
        <x:f>'Calc_Monthly'!D74</x:f>
        <x:v>aggregate</x:v>
      </x:c>
      <x:c r="E74" s="78" t="str">
        <x:f>'Calc_Monthly'!E74</x:f>
        <x:v>2023-01</x:v>
      </x:c>
      <x:c r="F74" s="80" t="n">
        <x:f>'Calc_Monthly'!H74</x:f>
        <x:v>2.638440860215054</x:v>
      </x:c>
      <x:c r="G74" s="80" t="n">
        <x:f>'Calc_Case'!J8</x:f>
        <x:v>5744.377959899363</x:v>
      </x:c>
      <x:c r="H74" s="80" t="n">
        <x:f>'Calc_Case'!M8</x:f>
        <x:v>12.415847653560878</x:v>
      </x:c>
      <x:c r="I74" s="80" t="n">
        <x:f>'Calc_Monthly'!K74</x:f>
        <x:v>11059.902357405477</x:v>
      </x:c>
      <x:c r="J74" s="80" t="n">
        <x:f>'Calc_Monthly'!Q74</x:f>
        <x:v>57231.922787778356</x:v>
      </x:c>
      <x:c r="K74" s="80" t="n">
        <x:f>'Calc_Monthly'!AC74</x:f>
        <x:v>8382.557153779793</x:v>
      </x:c>
      <x:c r="L74" s="80" t="n">
        <x:f>'Calc_Monthly'!AE74</x:f>
        <x:v>65614.47994155815</x:v>
      </x:c>
      <x:c r="M74" s="80" t="n">
        <x:f>'Calc_Monthly'!U74</x:f>
        <x:v>0</x:v>
      </x:c>
      <x:c r="N74" s="80" t="n">
        <x:f>'Calc_Monthly'!AD74</x:f>
        <x:v>0</x:v>
      </x:c>
      <x:c r="O74" s="80" t="n">
        <x:f>'Calc_Monthly'!AF74</x:f>
        <x:v>0</x:v>
      </x:c>
    </x:row>
    <x:row r="75">
      <x:c r="A75" s="78" t="str">
        <x:f>'Calc_Monthly'!A75</x:f>
        <x:v>19|aggregate</x:v>
      </x:c>
      <x:c r="B75" s="78" t="str">
        <x:f>'Calc_Monthly'!B75</x:f>
        <x:v>19</x:v>
      </x:c>
      <x:c r="C75" s="78" t="str">
        <x:f>'Calc_Monthly'!C75</x:f>
        <x:v>Test building 3</x:v>
      </x:c>
      <x:c r="D75" s="78" t="str">
        <x:f>'Calc_Monthly'!D75</x:f>
        <x:v>aggregate</x:v>
      </x:c>
      <x:c r="E75" s="78" t="str">
        <x:f>'Calc_Monthly'!E75</x:f>
        <x:v>2023-02</x:v>
      </x:c>
      <x:c r="F75" s="80" t="n">
        <x:f>'Calc_Monthly'!H75</x:f>
        <x:v>3.8903273809523813</x:v>
      </x:c>
      <x:c r="G75" s="80" t="n">
        <x:f>'Calc_Case'!J8</x:f>
        <x:v>5744.377959899363</x:v>
      </x:c>
      <x:c r="H75" s="80" t="n">
        <x:f>'Calc_Case'!M8</x:f>
        <x:v>12.415847653560878</x:v>
      </x:c>
      <x:c r="I75" s="80" t="n">
        <x:f>'Calc_Monthly'!K75</x:f>
        <x:v>10680.110304518994</x:v>
      </x:c>
      <x:c r="J75" s="80" t="n">
        <x:f>'Calc_Monthly'!Q75</x:f>
        <x:v>46714.53828554591</x:v>
      </x:c>
      <x:c r="K75" s="80" t="n">
        <x:f>'Calc_Monthly'!AC75</x:f>
        <x:v>7132.75901554008</x:v>
      </x:c>
      <x:c r="L75" s="80" t="n">
        <x:f>'Calc_Monthly'!AE75</x:f>
        <x:v>53847.29730108599</x:v>
      </x:c>
      <x:c r="M75" s="80" t="n">
        <x:f>'Calc_Monthly'!U75</x:f>
        <x:v>0</x:v>
      </x:c>
      <x:c r="N75" s="80" t="n">
        <x:f>'Calc_Monthly'!AD75</x:f>
        <x:v>0</x:v>
      </x:c>
      <x:c r="O75" s="80" t="n">
        <x:f>'Calc_Monthly'!AF75</x:f>
        <x:v>0</x:v>
      </x:c>
    </x:row>
    <x:row r="76">
      <x:c r="A76" s="78" t="str">
        <x:f>'Calc_Monthly'!A76</x:f>
        <x:v>19|aggregate</x:v>
      </x:c>
      <x:c r="B76" s="78" t="str">
        <x:f>'Calc_Monthly'!B76</x:f>
        <x:v>19</x:v>
      </x:c>
      <x:c r="C76" s="78" t="str">
        <x:f>'Calc_Monthly'!C76</x:f>
        <x:v>Test building 3</x:v>
      </x:c>
      <x:c r="D76" s="78" t="str">
        <x:f>'Calc_Monthly'!D76</x:f>
        <x:v>aggregate</x:v>
      </x:c>
      <x:c r="E76" s="78" t="str">
        <x:f>'Calc_Monthly'!E76</x:f>
        <x:v>2023-03</x:v>
      </x:c>
      <x:c r="F76" s="80" t="n">
        <x:f>'Calc_Monthly'!H76</x:f>
        <x:v>7.746908602150539</x:v>
      </x:c>
      <x:c r="G76" s="80" t="n">
        <x:f>'Calc_Case'!J8</x:f>
        <x:v>5744.377959899363</x:v>
      </x:c>
      <x:c r="H76" s="80" t="n">
        <x:f>'Calc_Case'!M8</x:f>
        <x:v>12.415847653560878</x:v>
      </x:c>
      <x:c r="I76" s="80" t="n">
        <x:f>'Calc_Monthly'!K76</x:f>
        <x:v>15161.080902079344</x:v>
      </x:c>
      <x:c r="J76" s="80" t="n">
        <x:f>'Calc_Monthly'!Q76</x:f>
        <x:v>34250.52616795452</x:v>
      </x:c>
      <x:c r="K76" s="80" t="n">
        <x:f>'Calc_Monthly'!AC76</x:f>
        <x:v>6401.116456325294</x:v>
      </x:c>
      <x:c r="L76" s="80" t="n">
        <x:f>'Calc_Monthly'!AE76</x:f>
        <x:v>40651.64262427982</x:v>
      </x:c>
      <x:c r="M76" s="80" t="n">
        <x:f>'Calc_Monthly'!U76</x:f>
        <x:v>0</x:v>
      </x:c>
      <x:c r="N76" s="80" t="n">
        <x:f>'Calc_Monthly'!AD76</x:f>
        <x:v>0</x:v>
      </x:c>
      <x:c r="O76" s="80" t="n">
        <x:f>'Calc_Monthly'!AF76</x:f>
        <x:v>0</x:v>
      </x:c>
    </x:row>
    <x:row r="77">
      <x:c r="A77" s="78" t="str">
        <x:f>'Calc_Monthly'!A77</x:f>
        <x:v>19|aggregate</x:v>
      </x:c>
      <x:c r="B77" s="78" t="str">
        <x:f>'Calc_Monthly'!B77</x:f>
        <x:v>19</x:v>
      </x:c>
      <x:c r="C77" s="78" t="str">
        <x:f>'Calc_Monthly'!C77</x:f>
        <x:v>Test building 3</x:v>
      </x:c>
      <x:c r="D77" s="78" t="str">
        <x:f>'Calc_Monthly'!D77</x:f>
        <x:v>aggregate</x:v>
      </x:c>
      <x:c r="E77" s="78" t="str">
        <x:f>'Calc_Monthly'!E77</x:f>
        <x:v>2023-04</x:v>
      </x:c>
      <x:c r="F77" s="80" t="n">
        <x:f>'Calc_Monthly'!H77</x:f>
        <x:v>12.03041666666667</x:v>
      </x:c>
      <x:c r="G77" s="80" t="n">
        <x:f>'Calc_Case'!J8</x:f>
        <x:v>5744.377959899363</x:v>
      </x:c>
      <x:c r="H77" s="80" t="n">
        <x:f>'Calc_Case'!M8</x:f>
        <x:v>12.415847653560878</x:v>
      </x:c>
      <x:c r="I77" s="80" t="n">
        <x:f>'Calc_Monthly'!K77</x:f>
        <x:v>17083.453084305507</x:v>
      </x:c>
      <x:c r="J77" s="80" t="n">
        <x:f>'Calc_Monthly'!Q77</x:f>
        <x:v>16599.9613909208</x:v>
      </x:c>
      <x:c r="K77" s="80" t="n">
        <x:f>'Calc_Monthly'!AC77</x:f>
        <x:v>4586.763859361277</x:v>
      </x:c>
      <x:c r="L77" s="80" t="n">
        <x:f>'Calc_Monthly'!AE77</x:f>
        <x:v>21186.725250282077</x:v>
      </x:c>
      <x:c r="M77" s="80" t="n">
        <x:f>'Calc_Monthly'!U77</x:f>
        <x:v>0</x:v>
      </x:c>
      <x:c r="N77" s="80" t="n">
        <x:f>'Calc_Monthly'!AD77</x:f>
        <x:v>0</x:v>
      </x:c>
      <x:c r="O77" s="80" t="n">
        <x:f>'Calc_Monthly'!AF77</x:f>
        <x:v>0</x:v>
      </x:c>
    </x:row>
    <x:row r="78">
      <x:c r="A78" s="78" t="str">
        <x:f>'Calc_Monthly'!A78</x:f>
        <x:v>19|aggregate</x:v>
      </x:c>
      <x:c r="B78" s="78" t="str">
        <x:f>'Calc_Monthly'!B78</x:f>
        <x:v>19</x:v>
      </x:c>
      <x:c r="C78" s="78" t="str">
        <x:f>'Calc_Monthly'!C78</x:f>
        <x:v>Test building 3</x:v>
      </x:c>
      <x:c r="D78" s="78" t="str">
        <x:f>'Calc_Monthly'!D78</x:f>
        <x:v>aggregate</x:v>
      </x:c>
      <x:c r="E78" s="78" t="str">
        <x:f>'Calc_Monthly'!E78</x:f>
        <x:v>2023-05</x:v>
      </x:c>
      <x:c r="F78" s="80" t="n">
        <x:f>'Calc_Monthly'!H78</x:f>
        <x:v>17.244086021505375</x:v>
      </x:c>
      <x:c r="G78" s="80" t="n">
        <x:f>'Calc_Case'!J8</x:f>
        <x:v>5744.377959899363</x:v>
      </x:c>
      <x:c r="H78" s="80" t="n">
        <x:f>'Calc_Case'!M8</x:f>
        <x:v>12.415847653560878</x:v>
      </x:c>
      <x:c r="I78" s="80" t="n">
        <x:f>'Calc_Monthly'!K78</x:f>
        <x:v>20263.806173444384</x:v>
      </x:c>
      <x:c r="J78" s="80" t="n">
        <x:f>'Calc_Monthly'!Q78</x:f>
        <x:v>0</x:v>
      </x:c>
      <x:c r="K78" s="80" t="n">
        <x:f>'Calc_Monthly'!AC78</x:f>
        <x:v>2087.1154493091617</x:v>
      </x:c>
      <x:c r="L78" s="80" t="n">
        <x:f>'Calc_Monthly'!AE78</x:f>
        <x:v>2087.1154493091617</x:v>
      </x:c>
      <x:c r="M78" s="80" t="n">
        <x:f>'Calc_Monthly'!U78</x:f>
        <x:v>0</x:v>
      </x:c>
      <x:c r="N78" s="80" t="n">
        <x:f>'Calc_Monthly'!AD78</x:f>
        <x:v>0</x:v>
      </x:c>
      <x:c r="O78" s="80" t="n">
        <x:f>'Calc_Monthly'!AF78</x:f>
        <x:v>0</x:v>
      </x:c>
    </x:row>
    <x:row r="79">
      <x:c r="A79" s="78" t="str">
        <x:f>'Calc_Monthly'!A79</x:f>
        <x:v>19|aggregate</x:v>
      </x:c>
      <x:c r="B79" s="78" t="str">
        <x:f>'Calc_Monthly'!B79</x:f>
        <x:v>19</x:v>
      </x:c>
      <x:c r="C79" s="78" t="str">
        <x:f>'Calc_Monthly'!C79</x:f>
        <x:v>Test building 3</x:v>
      </x:c>
      <x:c r="D79" s="78" t="str">
        <x:f>'Calc_Monthly'!D79</x:f>
        <x:v>aggregate</x:v>
      </x:c>
      <x:c r="E79" s="78" t="str">
        <x:f>'Calc_Monthly'!E79</x:f>
        <x:v>2023-06</x:v>
      </x:c>
      <x:c r="F79" s="80" t="n">
        <x:f>'Calc_Monthly'!H79</x:f>
        <x:v>20.758194444444445</x:v>
      </x:c>
      <x:c r="G79" s="80" t="n">
        <x:f>'Calc_Case'!J8</x:f>
        <x:v>5744.377959899363</x:v>
      </x:c>
      <x:c r="H79" s="80" t="n">
        <x:f>'Calc_Case'!M8</x:f>
        <x:v>12.415847653560878</x:v>
      </x:c>
      <x:c r="I79" s="80" t="n">
        <x:f>'Calc_Monthly'!K79</x:f>
        <x:v>20378.529768112556</x:v>
      </x:c>
      <x:c r="J79" s="80" t="n">
        <x:f>'Calc_Monthly'!Q79</x:f>
        <x:v>0</x:v>
      </x:c>
      <x:c r="K79" s="80" t="n">
        <x:f>'Calc_Monthly'!AC79</x:f>
        <x:v>0</x:v>
      </x:c>
      <x:c r="L79" s="80" t="n">
        <x:f>'Calc_Monthly'!AE79</x:f>
        <x:v>0</x:v>
      </x:c>
      <x:c r="M79" s="80" t="n">
        <x:f>'Calc_Monthly'!U79</x:f>
        <x:v>6556.542381902067</x:v>
      </x:c>
      <x:c r="N79" s="80" t="n">
        <x:f>'Calc_Monthly'!AD79</x:f>
        <x:v>847.6397584632474</x:v>
      </x:c>
      <x:c r="O79" s="80" t="n">
        <x:f>'Calc_Monthly'!AF79</x:f>
        <x:v>7404.182140365315</x:v>
      </x:c>
    </x:row>
    <x:row r="80">
      <x:c r="A80" s="78" t="str">
        <x:f>'Calc_Monthly'!A80</x:f>
        <x:v>19|aggregate</x:v>
      </x:c>
      <x:c r="B80" s="78" t="str">
        <x:f>'Calc_Monthly'!B80</x:f>
        <x:v>19</x:v>
      </x:c>
      <x:c r="C80" s="78" t="str">
        <x:f>'Calc_Monthly'!C80</x:f>
        <x:v>Test building 3</x:v>
      </x:c>
      <x:c r="D80" s="78" t="str">
        <x:f>'Calc_Monthly'!D80</x:f>
        <x:v>aggregate</x:v>
      </x:c>
      <x:c r="E80" s="78" t="str">
        <x:f>'Calc_Monthly'!E80</x:f>
        <x:v>2023-07</x:v>
      </x:c>
      <x:c r="F80" s="80" t="n">
        <x:f>'Calc_Monthly'!H80</x:f>
        <x:v>23.824193548387097</x:v>
      </x:c>
      <x:c r="G80" s="80" t="n">
        <x:f>'Calc_Case'!J8</x:f>
        <x:v>5744.377959899363</x:v>
      </x:c>
      <x:c r="H80" s="80" t="n">
        <x:f>'Calc_Case'!M8</x:f>
        <x:v>12.415847653560878</x:v>
      </x:c>
      <x:c r="I80" s="80" t="n">
        <x:f>'Calc_Monthly'!K80</x:f>
        <x:v>21574.07816406244</x:v>
      </x:c>
      <x:c r="J80" s="80" t="n">
        <x:f>'Calc_Monthly'!Q80</x:f>
        <x:v>0</x:v>
      </x:c>
      <x:c r="K80" s="80" t="n">
        <x:f>'Calc_Monthly'!AC80</x:f>
        <x:v>0</x:v>
      </x:c>
      <x:c r="L80" s="80" t="n">
        <x:f>'Calc_Monthly'!AE80</x:f>
        <x:v>0</x:v>
      </x:c>
      <x:c r="M80" s="80" t="n">
        <x:f>'Calc_Monthly'!U80</x:f>
        <x:v>12201.480161573352</x:v>
      </x:c>
      <x:c r="N80" s="80" t="n">
        <x:f>'Calc_Monthly'!AD80</x:f>
        <x:v>2065.1150816314757</x:v>
      </x:c>
      <x:c r="O80" s="80" t="n">
        <x:f>'Calc_Monthly'!AF80</x:f>
        <x:v>14266.595243204829</x:v>
      </x:c>
    </x:row>
    <x:row r="81">
      <x:c r="A81" s="78" t="str">
        <x:f>'Calc_Monthly'!A81</x:f>
        <x:v>19|aggregate</x:v>
      </x:c>
      <x:c r="B81" s="78" t="str">
        <x:f>'Calc_Monthly'!B81</x:f>
        <x:v>19</x:v>
      </x:c>
      <x:c r="C81" s="78" t="str">
        <x:f>'Calc_Monthly'!C81</x:f>
        <x:v>Test building 3</x:v>
      </x:c>
      <x:c r="D81" s="78" t="str">
        <x:f>'Calc_Monthly'!D81</x:f>
        <x:v>aggregate</x:v>
      </x:c>
      <x:c r="E81" s="78" t="str">
        <x:f>'Calc_Monthly'!E81</x:f>
        <x:v>2023-08</x:v>
      </x:c>
      <x:c r="F81" s="80" t="n">
        <x:f>'Calc_Monthly'!H81</x:f>
        <x:v>22.74717741935484</x:v>
      </x:c>
      <x:c r="G81" s="80" t="n">
        <x:f>'Calc_Case'!J8</x:f>
        <x:v>5744.377959899363</x:v>
      </x:c>
      <x:c r="H81" s="80" t="n">
        <x:f>'Calc_Case'!M8</x:f>
        <x:v>12.415847653560878</x:v>
      </x:c>
      <x:c r="I81" s="80" t="n">
        <x:f>'Calc_Monthly'!K81</x:f>
        <x:v>19690.10955152474</x:v>
      </x:c>
      <x:c r="J81" s="80" t="n">
        <x:f>'Calc_Monthly'!Q81</x:f>
        <x:v>0</x:v>
      </x:c>
      <x:c r="K81" s="80" t="n">
        <x:f>'Calc_Monthly'!AC81</x:f>
        <x:v>0</x:v>
      </x:c>
      <x:c r="L81" s="80" t="n">
        <x:f>'Calc_Monthly'!AE81</x:f>
        <x:v>0</x:v>
      </x:c>
      <x:c r="M81" s="80" t="n">
        <x:f>'Calc_Monthly'!U81</x:f>
        <x:v>8501.34434319009</x:v>
      </x:c>
      <x:c r="N81" s="80" t="n">
        <x:f>'Calc_Monthly'!AD81</x:f>
        <x:v>1647.3687636189293</x:v>
      </x:c>
      <x:c r="O81" s="80" t="n">
        <x:f>'Calc_Monthly'!AF81</x:f>
        <x:v>10148.71310680902</x:v>
      </x:c>
    </x:row>
    <x:row r="82">
      <x:c r="A82" s="78" t="str">
        <x:f>'Calc_Monthly'!A82</x:f>
        <x:v>19|aggregate</x:v>
      </x:c>
      <x:c r="B82" s="78" t="str">
        <x:f>'Calc_Monthly'!B82</x:f>
        <x:v>19</x:v>
      </x:c>
      <x:c r="C82" s="78" t="str">
        <x:f>'Calc_Monthly'!C82</x:f>
        <x:v>Test building 3</x:v>
      </x:c>
      <x:c r="D82" s="78" t="str">
        <x:f>'Calc_Monthly'!D82</x:f>
        <x:v>aggregate</x:v>
      </x:c>
      <x:c r="E82" s="78" t="str">
        <x:f>'Calc_Monthly'!E82</x:f>
        <x:v>2023-09</x:v>
      </x:c>
      <x:c r="F82" s="80" t="n">
        <x:f>'Calc_Monthly'!H82</x:f>
        <x:v>19.61638888888889</x:v>
      </x:c>
      <x:c r="G82" s="80" t="n">
        <x:f>'Calc_Case'!J8</x:f>
        <x:v>5744.377959899363</x:v>
      </x:c>
      <x:c r="H82" s="80" t="n">
        <x:f>'Calc_Case'!M8</x:f>
        <x:v>12.415847653560878</x:v>
      </x:c>
      <x:c r="I82" s="80" t="n">
        <x:f>'Calc_Monthly'!K82</x:f>
        <x:v>16449.75301698582</x:v>
      </x:c>
      <x:c r="J82" s="80" t="n">
        <x:f>'Calc_Monthly'!Q82</x:f>
        <x:v>0</x:v>
      </x:c>
      <x:c r="K82" s="80" t="n">
        <x:f>'Calc_Monthly'!AC82</x:f>
        <x:v>0</x:v>
      </x:c>
      <x:c r="L82" s="80" t="n">
        <x:f>'Calc_Monthly'!AE82</x:f>
        <x:v>0</x:v>
      </x:c>
      <x:c r="M82" s="80" t="n">
        <x:f>'Calc_Monthly'!U82</x:f>
        <x:v>3475.0254180342727</x:v>
      </x:c>
      <x:c r="N82" s="80" t="n">
        <x:f>'Calc_Monthly'!AD82</x:f>
        <x:v>419.0496573299455</x:v>
      </x:c>
      <x:c r="O82" s="80" t="n">
        <x:f>'Calc_Monthly'!AF82</x:f>
        <x:v>3894.0750753642183</x:v>
      </x:c>
    </x:row>
    <x:row r="83">
      <x:c r="A83" s="78" t="str">
        <x:f>'Calc_Monthly'!A83</x:f>
        <x:v>19|aggregate</x:v>
      </x:c>
      <x:c r="B83" s="78" t="str">
        <x:f>'Calc_Monthly'!B83</x:f>
        <x:v>19</x:v>
      </x:c>
      <x:c r="C83" s="78" t="str">
        <x:f>'Calc_Monthly'!C83</x:f>
        <x:v>Test building 3</x:v>
      </x:c>
      <x:c r="D83" s="78" t="str">
        <x:f>'Calc_Monthly'!D83</x:f>
        <x:v>aggregate</x:v>
      </x:c>
      <x:c r="E83" s="78" t="str">
        <x:f>'Calc_Monthly'!E83</x:f>
        <x:v>2023-10</x:v>
      </x:c>
      <x:c r="F83" s="80" t="n">
        <x:f>'Calc_Monthly'!H83</x:f>
        <x:v>13.926209677419354</x:v>
      </x:c>
      <x:c r="G83" s="80" t="n">
        <x:f>'Calc_Case'!J8</x:f>
        <x:v>5744.377959899363</x:v>
      </x:c>
      <x:c r="H83" s="80" t="n">
        <x:f>'Calc_Case'!M8</x:f>
        <x:v>12.415847653560878</x:v>
      </x:c>
      <x:c r="I83" s="80" t="n">
        <x:f>'Calc_Monthly'!K83</x:f>
        <x:v>13845.536284922904</x:v>
      </x:c>
      <x:c r="J83" s="80" t="n">
        <x:f>'Calc_Monthly'!Q83</x:f>
        <x:v>4473.096337060984</x:v>
      </x:c>
      <x:c r="K83" s="80" t="n">
        <x:f>'Calc_Monthly'!AC83</x:f>
        <x:v>3719.678278282445</x:v>
      </x:c>
      <x:c r="L83" s="80" t="n">
        <x:f>'Calc_Monthly'!AE83</x:f>
        <x:v>8192.77461534343</x:v>
      </x:c>
      <x:c r="M83" s="80" t="n">
        <x:f>'Calc_Monthly'!U83</x:f>
        <x:v>0</x:v>
      </x:c>
      <x:c r="N83" s="80" t="n">
        <x:f>'Calc_Monthly'!AD83</x:f>
        <x:v>0</x:v>
      </x:c>
      <x:c r="O83" s="80" t="n">
        <x:f>'Calc_Monthly'!AF83</x:f>
        <x:v>0</x:v>
      </x:c>
    </x:row>
    <x:row r="84">
      <x:c r="A84" s="78" t="str">
        <x:f>'Calc_Monthly'!A84</x:f>
        <x:v>19|aggregate</x:v>
      </x:c>
      <x:c r="B84" s="78" t="str">
        <x:f>'Calc_Monthly'!B84</x:f>
        <x:v>19</x:v>
      </x:c>
      <x:c r="C84" s="78" t="str">
        <x:f>'Calc_Monthly'!C84</x:f>
        <x:v>Test building 3</x:v>
      </x:c>
      <x:c r="D84" s="78" t="str">
        <x:f>'Calc_Monthly'!D84</x:f>
        <x:v>aggregate</x:v>
      </x:c>
      <x:c r="E84" s="78" t="str">
        <x:f>'Calc_Monthly'!E84</x:f>
        <x:v>2023-11</x:v>
      </x:c>
      <x:c r="F84" s="80" t="n">
        <x:f>'Calc_Monthly'!H84</x:f>
        <x:v>8.68388888888889</x:v>
      </x:c>
      <x:c r="G84" s="80" t="n">
        <x:f>'Calc_Case'!J8</x:f>
        <x:v>5744.377959899363</x:v>
      </x:c>
      <x:c r="H84" s="80" t="n">
        <x:f>'Calc_Case'!M8</x:f>
        <x:v>12.415847653560878</x:v>
      </x:c>
      <x:c r="I84" s="80" t="n">
        <x:f>'Calc_Monthly'!K84</x:f>
        <x:v>10771.374380255716</x:v>
      </x:c>
      <x:c r="J84" s="80" t="n">
        <x:f>'Calc_Monthly'!Q84</x:f>
        <x:v>32912.01934823358</x:v>
      </x:c>
      <x:c r="K84" s="80" t="n">
        <x:f>'Calc_Monthly'!AC84</x:f>
        <x:v>5842.922293469891</x:v>
      </x:c>
      <x:c r="L84" s="80" t="n">
        <x:f>'Calc_Monthly'!AE84</x:f>
        <x:v>38754.94164170347</x:v>
      </x:c>
      <x:c r="M84" s="80" t="n">
        <x:f>'Calc_Monthly'!U84</x:f>
        <x:v>0</x:v>
      </x:c>
      <x:c r="N84" s="80" t="n">
        <x:f>'Calc_Monthly'!AD84</x:f>
        <x:v>0</x:v>
      </x:c>
      <x:c r="O84" s="80" t="n">
        <x:f>'Calc_Monthly'!AF84</x:f>
        <x:v>0</x:v>
      </x:c>
    </x:row>
    <x:row r="85">
      <x:c r="A85" s="78" t="str">
        <x:f>'Calc_Monthly'!A85</x:f>
        <x:v>19|aggregate</x:v>
      </x:c>
      <x:c r="B85" s="78" t="str">
        <x:f>'Calc_Monthly'!B85</x:f>
        <x:v>19</x:v>
      </x:c>
      <x:c r="C85" s="78" t="str">
        <x:f>'Calc_Monthly'!C85</x:f>
        <x:v>Test building 3</x:v>
      </x:c>
      <x:c r="D85" s="78" t="str">
        <x:f>'Calc_Monthly'!D85</x:f>
        <x:v>aggregate</x:v>
      </x:c>
      <x:c r="E85" s="78" t="str">
        <x:f>'Calc_Monthly'!E85</x:f>
        <x:v>2023-12</x:v>
      </x:c>
      <x:c r="F85" s="80" t="n">
        <x:f>'Calc_Monthly'!H85</x:f>
        <x:v>3.9963709677419357</x:v>
      </x:c>
      <x:c r="G85" s="80" t="n">
        <x:f>'Calc_Case'!J8</x:f>
        <x:v>5744.377959899363</x:v>
      </x:c>
      <x:c r="H85" s="80" t="n">
        <x:f>'Calc_Case'!M8</x:f>
        <x:v>12.415847653560878</x:v>
      </x:c>
      <x:c r="I85" s="80" t="n">
        <x:f>'Calc_Monthly'!K85</x:f>
        <x:v>10685.3426475119</x:v>
      </x:c>
      <x:c r="J85" s="80" t="n">
        <x:f>'Calc_Monthly'!Q85</x:f>
        <x:v>52344.069785993604</x:v>
      </x:c>
      <x:c r="K85" s="80" t="n">
        <x:f>'Calc_Monthly'!AC85</x:f>
        <x:v>7855.8516688327345</x:v>
      </x:c>
      <x:c r="L85" s="80" t="n">
        <x:f>'Calc_Monthly'!AE85</x:f>
        <x:v>60199.92145482634</x:v>
      </x:c>
      <x:c r="M85" s="80" t="n">
        <x:f>'Calc_Monthly'!U85</x:f>
        <x:v>0</x:v>
      </x:c>
      <x:c r="N85" s="80" t="n">
        <x:f>'Calc_Monthly'!AD85</x:f>
        <x:v>0</x:v>
      </x:c>
      <x:c r="O85" s="80" t="n">
        <x:f>'Calc_Monthly'!AF85</x:f>
        <x:v>0</x:v>
      </x:c>
    </x:row>
    <x:row r="86">
      <x:c r="A86" s="78" t="str">
        <x:f>'Calc_Monthly'!A86</x:f>
        <x:v>19|lower</x:v>
      </x:c>
      <x:c r="B86" s="78" t="str">
        <x:f>'Calc_Monthly'!B86</x:f>
        <x:v>19</x:v>
      </x:c>
      <x:c r="C86" s="78" t="str">
        <x:f>'Calc_Monthly'!C86</x:f>
        <x:v>Test building 3</x:v>
      </x:c>
      <x:c r="D86" s="78" t="str">
        <x:f>'Calc_Monthly'!D86</x:f>
        <x:v>lower</x:v>
      </x:c>
      <x:c r="E86" s="78" t="str">
        <x:f>'Calc_Monthly'!E86</x:f>
        <x:v>2023-01</x:v>
      </x:c>
      <x:c r="F86" s="80" t="n">
        <x:f>'Calc_Monthly'!H86</x:f>
        <x:v>2.638440860215054</x:v>
      </x:c>
      <x:c r="G86" s="80" t="n">
        <x:f>'Calc_Case'!J9</x:f>
        <x:v>1684.388703532603</x:v>
      </x:c>
      <x:c r="H86" s="80" t="n">
        <x:f>'Calc_Case'!M9</x:f>
        <x:v>16.680400523276084</x:v>
      </x:c>
      <x:c r="I86" s="80" t="n">
        <x:f>'Calc_Monthly'!K86</x:f>
        <x:v>9177.931641850922</x:v>
      </x:c>
      <x:c r="J86" s="80" t="n">
        <x:f>'Calc_Monthly'!Q86</x:f>
        <x:v>8951.51026499688</x:v>
      </x:c>
      <x:c r="K86" s="80" t="n">
        <x:f>'Calc_Monthly'!AC86</x:f>
        <x:v>7509.841146849798</x:v>
      </x:c>
      <x:c r="L86" s="80" t="n">
        <x:f>'Calc_Monthly'!AE86</x:f>
        <x:v>16461.351411846677</x:v>
      </x:c>
      <x:c r="M86" s="80" t="n">
        <x:f>'Calc_Monthly'!U86</x:f>
        <x:v>0</x:v>
      </x:c>
      <x:c r="N86" s="80" t="n">
        <x:f>'Calc_Monthly'!AD86</x:f>
        <x:v>0</x:v>
      </x:c>
      <x:c r="O86" s="80" t="n">
        <x:f>'Calc_Monthly'!AF86</x:f>
        <x:v>0</x:v>
      </x:c>
    </x:row>
    <x:row r="87">
      <x:c r="A87" s="78" t="str">
        <x:f>'Calc_Monthly'!A87</x:f>
        <x:v>19|lower</x:v>
      </x:c>
      <x:c r="B87" s="78" t="str">
        <x:f>'Calc_Monthly'!B87</x:f>
        <x:v>19</x:v>
      </x:c>
      <x:c r="C87" s="78" t="str">
        <x:f>'Calc_Monthly'!C87</x:f>
        <x:v>Test building 3</x:v>
      </x:c>
      <x:c r="D87" s="78" t="str">
        <x:f>'Calc_Monthly'!D87</x:f>
        <x:v>lower</x:v>
      </x:c>
      <x:c r="E87" s="78" t="str">
        <x:f>'Calc_Monthly'!E87</x:f>
        <x:v>2023-02</x:v>
      </x:c>
      <x:c r="F87" s="80" t="n">
        <x:f>'Calc_Monthly'!H87</x:f>
        <x:v>3.8903273809523813</x:v>
      </x:c>
      <x:c r="G87" s="80" t="n">
        <x:f>'Calc_Case'!J9</x:f>
        <x:v>1684.388703532603</x:v>
      </x:c>
      <x:c r="H87" s="80" t="n">
        <x:f>'Calc_Case'!M9</x:f>
        <x:v>16.680400523276084</x:v>
      </x:c>
      <x:c r="I87" s="80" t="n">
        <x:f>'Calc_Monthly'!K87</x:f>
        <x:v>8439.151460022022</x:v>
      </x:c>
      <x:c r="J87" s="80" t="n">
        <x:f>'Calc_Monthly'!Q87</x:f>
        <x:v>7143.852603828848</x:v>
      </x:c>
      <x:c r="K87" s="80" t="n">
        <x:f>'Calc_Monthly'!AC87</x:f>
        <x:v>6344.499396377508</x:v>
      </x:c>
      <x:c r="L87" s="80" t="n">
        <x:f>'Calc_Monthly'!AE87</x:f>
        <x:v>13488.352000206356</x:v>
      </x:c>
      <x:c r="M87" s="80" t="n">
        <x:f>'Calc_Monthly'!U87</x:f>
        <x:v>0</x:v>
      </x:c>
      <x:c r="N87" s="80" t="n">
        <x:f>'Calc_Monthly'!AD87</x:f>
        <x:v>0</x:v>
      </x:c>
      <x:c r="O87" s="80" t="n">
        <x:f>'Calc_Monthly'!AF87</x:f>
        <x:v>0</x:v>
      </x:c>
    </x:row>
    <x:row r="88">
      <x:c r="A88" s="78" t="str">
        <x:f>'Calc_Monthly'!A88</x:f>
        <x:v>19|lower</x:v>
      </x:c>
      <x:c r="B88" s="78" t="str">
        <x:f>'Calc_Monthly'!B88</x:f>
        <x:v>19</x:v>
      </x:c>
      <x:c r="C88" s="78" t="str">
        <x:f>'Calc_Monthly'!C88</x:f>
        <x:v>Test building 3</x:v>
      </x:c>
      <x:c r="D88" s="78" t="str">
        <x:f>'Calc_Monthly'!D88</x:f>
        <x:v>lower</x:v>
      </x:c>
      <x:c r="E88" s="78" t="str">
        <x:f>'Calc_Monthly'!E88</x:f>
        <x:v>2023-03</x:v>
      </x:c>
      <x:c r="F88" s="80" t="n">
        <x:f>'Calc_Monthly'!H88</x:f>
        <x:v>7.746908602150539</x:v>
      </x:c>
      <x:c r="G88" s="80" t="n">
        <x:f>'Calc_Case'!J9</x:f>
        <x:v>1684.388703532603</x:v>
      </x:c>
      <x:c r="H88" s="80" t="n">
        <x:f>'Calc_Case'!M9</x:f>
        <x:v>16.680400523276084</x:v>
      </x:c>
      <x:c r="I88" s="80" t="n">
        <x:f>'Calc_Monthly'!K88</x:f>
        <x:v>10043.873863930145</x:v>
      </x:c>
      <x:c r="J88" s="80" t="n">
        <x:f>'Calc_Monthly'!Q88</x:f>
        <x:v>4848.548518673957</x:v>
      </x:c>
      <x:c r="K88" s="80" t="n">
        <x:f>'Calc_Monthly'!AC88</x:f>
        <x:v>5528.400449395302</x:v>
      </x:c>
      <x:c r="L88" s="80" t="n">
        <x:f>'Calc_Monthly'!AE88</x:f>
        <x:v>10376.948968069259</x:v>
      </x:c>
      <x:c r="M88" s="80" t="n">
        <x:f>'Calc_Monthly'!U88</x:f>
        <x:v>0</x:v>
      </x:c>
      <x:c r="N88" s="80" t="n">
        <x:f>'Calc_Monthly'!AD88</x:f>
        <x:v>0</x:v>
      </x:c>
      <x:c r="O88" s="80" t="n">
        <x:f>'Calc_Monthly'!AF88</x:f>
        <x:v>0</x:v>
      </x:c>
    </x:row>
    <x:row r="89">
      <x:c r="A89" s="78" t="str">
        <x:f>'Calc_Monthly'!A89</x:f>
        <x:v>19|lower</x:v>
      </x:c>
      <x:c r="B89" s="78" t="str">
        <x:f>'Calc_Monthly'!B89</x:f>
        <x:v>19</x:v>
      </x:c>
      <x:c r="C89" s="78" t="str">
        <x:f>'Calc_Monthly'!C89</x:f>
        <x:v>Test building 3</x:v>
      </x:c>
      <x:c r="D89" s="78" t="str">
        <x:f>'Calc_Monthly'!D89</x:f>
        <x:v>lower</x:v>
      </x:c>
      <x:c r="E89" s="78" t="str">
        <x:f>'Calc_Monthly'!E89</x:f>
        <x:v>2023-04</x:v>
      </x:c>
      <x:c r="F89" s="80" t="n">
        <x:f>'Calc_Monthly'!H89</x:f>
        <x:v>12.03041666666667</x:v>
      </x:c>
      <x:c r="G89" s="80" t="n">
        <x:f>'Calc_Case'!J9</x:f>
        <x:v>1684.388703532603</x:v>
      </x:c>
      <x:c r="H89" s="80" t="n">
        <x:f>'Calc_Case'!M9</x:f>
        <x:v>16.680400523276084</x:v>
      </x:c>
      <x:c r="I89" s="80" t="n">
        <x:f>'Calc_Monthly'!K89</x:f>
        <x:v>10233.329636437424</x:v>
      </x:c>
      <x:c r="J89" s="80" t="n">
        <x:f>'Calc_Monthly'!Q89</x:f>
        <x:v>2131.656151510465</x:v>
      </x:c>
      <x:c r="K89" s="80" t="n">
        <x:f>'Calc_Monthly'!AC89</x:f>
        <x:v>3742.1999816870907</x:v>
      </x:c>
      <x:c r="L89" s="80" t="n">
        <x:f>'Calc_Monthly'!AE89</x:f>
        <x:v>5873.856133197556</x:v>
      </x:c>
      <x:c r="M89" s="80" t="n">
        <x:f>'Calc_Monthly'!U89</x:f>
        <x:v>0</x:v>
      </x:c>
      <x:c r="N89" s="80" t="n">
        <x:f>'Calc_Monthly'!AD89</x:f>
        <x:v>0</x:v>
      </x:c>
      <x:c r="O89" s="80" t="n">
        <x:f>'Calc_Monthly'!AF89</x:f>
        <x:v>0</x:v>
      </x:c>
    </x:row>
    <x:row r="90">
      <x:c r="A90" s="78" t="str">
        <x:f>'Calc_Monthly'!A90</x:f>
        <x:v>19|lower</x:v>
      </x:c>
      <x:c r="B90" s="78" t="str">
        <x:f>'Calc_Monthly'!B90</x:f>
        <x:v>19</x:v>
      </x:c>
      <x:c r="C90" s="78" t="str">
        <x:f>'Calc_Monthly'!C90</x:f>
        <x:v>Test building 3</x:v>
      </x:c>
      <x:c r="D90" s="78" t="str">
        <x:f>'Calc_Monthly'!D90</x:f>
        <x:v>lower</x:v>
      </x:c>
      <x:c r="E90" s="78" t="str">
        <x:f>'Calc_Monthly'!E90</x:f>
        <x:v>2023-05</x:v>
      </x:c>
      <x:c r="F90" s="80" t="n">
        <x:f>'Calc_Monthly'!H90</x:f>
        <x:v>17.244086021505375</x:v>
      </x:c>
      <x:c r="G90" s="80" t="n">
        <x:f>'Calc_Case'!J9</x:f>
        <x:v>1684.388703532603</x:v>
      </x:c>
      <x:c r="H90" s="80" t="n">
        <x:f>'Calc_Case'!M9</x:f>
        <x:v>16.680400523276084</x:v>
      </x:c>
      <x:c r="I90" s="80" t="n">
        <x:f>'Calc_Monthly'!K90</x:f>
        <x:v>11094.70887678386</x:v>
      </x:c>
      <x:c r="J90" s="80" t="n">
        <x:f>'Calc_Monthly'!Q90</x:f>
        <x:v>0</x:v>
      </x:c>
      <x:c r="K90" s="80" t="n">
        <x:f>'Calc_Monthly'!AC90</x:f>
        <x:v>1650.7574458441654</x:v>
      </x:c>
      <x:c r="L90" s="80" t="n">
        <x:f>'Calc_Monthly'!AE90</x:f>
        <x:v>1650.7574458441654</x:v>
      </x:c>
      <x:c r="M90" s="80" t="n">
        <x:f>'Calc_Monthly'!U90</x:f>
        <x:v>0</x:v>
      </x:c>
      <x:c r="N90" s="80" t="n">
        <x:f>'Calc_Monthly'!AD90</x:f>
        <x:v>0</x:v>
      </x:c>
      <x:c r="O90" s="80" t="n">
        <x:f>'Calc_Monthly'!AF90</x:f>
        <x:v>0</x:v>
      </x:c>
    </x:row>
    <x:row r="91">
      <x:c r="A91" s="78" t="str">
        <x:f>'Calc_Monthly'!A91</x:f>
        <x:v>19|lower</x:v>
      </x:c>
      <x:c r="B91" s="78" t="str">
        <x:f>'Calc_Monthly'!B91</x:f>
        <x:v>19</x:v>
      </x:c>
      <x:c r="C91" s="78" t="str">
        <x:f>'Calc_Monthly'!C91</x:f>
        <x:v>Test building 3</x:v>
      </x:c>
      <x:c r="D91" s="78" t="str">
        <x:f>'Calc_Monthly'!D91</x:f>
        <x:v>lower</x:v>
      </x:c>
      <x:c r="E91" s="78" t="str">
        <x:f>'Calc_Monthly'!E91</x:f>
        <x:v>2023-06</x:v>
      </x:c>
      <x:c r="F91" s="80" t="n">
        <x:f>'Calc_Monthly'!H91</x:f>
        <x:v>20.758194444444445</x:v>
      </x:c>
      <x:c r="G91" s="80" t="n">
        <x:f>'Calc_Case'!J9</x:f>
        <x:v>1684.388703532603</x:v>
      </x:c>
      <x:c r="H91" s="80" t="n">
        <x:f>'Calc_Case'!M9</x:f>
        <x:v>16.680400523276084</x:v>
      </x:c>
      <x:c r="I91" s="80" t="n">
        <x:f>'Calc_Monthly'!K91</x:f>
        <x:v>10890.210861018106</x:v>
      </x:c>
      <x:c r="J91" s="80" t="n">
        <x:f>'Calc_Monthly'!Q91</x:f>
        <x:v>0</x:v>
      </x:c>
      <x:c r="K91" s="80" t="n">
        <x:f>'Calc_Monthly'!AC91</x:f>
        <x:v>0</x:v>
      </x:c>
      <x:c r="L91" s="80" t="n">
        <x:f>'Calc_Monthly'!AE91</x:f>
        <x:v>0</x:v>
      </x:c>
      <x:c r="M91" s="80" t="n">
        <x:f>'Calc_Monthly'!U91</x:f>
        <x:v>5093.755590956733</x:v>
      </x:c>
      <x:c r="N91" s="80" t="n">
        <x:f>'Calc_Monthly'!AD91</x:f>
        <x:v>847.6397584632474</x:v>
      </x:c>
      <x:c r="O91" s="80" t="n">
        <x:f>'Calc_Monthly'!AF91</x:f>
        <x:v>5941.39534941998</x:v>
      </x:c>
    </x:row>
    <x:row r="92">
      <x:c r="A92" s="78" t="str">
        <x:f>'Calc_Monthly'!A92</x:f>
        <x:v>19|lower</x:v>
      </x:c>
      <x:c r="B92" s="78" t="str">
        <x:f>'Calc_Monthly'!B92</x:f>
        <x:v>19</x:v>
      </x:c>
      <x:c r="C92" s="78" t="str">
        <x:f>'Calc_Monthly'!C92</x:f>
        <x:v>Test building 3</x:v>
      </x:c>
      <x:c r="D92" s="78" t="str">
        <x:f>'Calc_Monthly'!D92</x:f>
        <x:v>lower</x:v>
      </x:c>
      <x:c r="E92" s="78" t="str">
        <x:f>'Calc_Monthly'!E92</x:f>
        <x:v>2023-07</x:v>
      </x:c>
      <x:c r="F92" s="80" t="n">
        <x:f>'Calc_Monthly'!H92</x:f>
        <x:v>23.824193548387097</x:v>
      </x:c>
      <x:c r="G92" s="80" t="n">
        <x:f>'Calc_Case'!J9</x:f>
        <x:v>1684.388703532603</x:v>
      </x:c>
      <x:c r="H92" s="80" t="n">
        <x:f>'Calc_Case'!M9</x:f>
        <x:v>16.680400523276084</x:v>
      </x:c>
      <x:c r="I92" s="80" t="n">
        <x:f>'Calc_Monthly'!K92</x:f>
        <x:v>11372.37533413196</x:v>
      </x:c>
      <x:c r="J92" s="80" t="n">
        <x:f>'Calc_Monthly'!Q92</x:f>
        <x:v>0</x:v>
      </x:c>
      <x:c r="K92" s="80" t="n">
        <x:f>'Calc_Monthly'!AC92</x:f>
        <x:v>0</x:v>
      </x:c>
      <x:c r="L92" s="80" t="n">
        <x:f>'Calc_Monthly'!AE92</x:f>
        <x:v>0</x:v>
      </x:c>
      <x:c r="M92" s="80" t="n">
        <x:f>'Calc_Monthly'!U92</x:f>
        <x:v>7059.970542510995</x:v>
      </x:c>
      <x:c r="N92" s="80" t="n">
        <x:f>'Calc_Monthly'!AD92</x:f>
        <x:v>2065.1150816314757</x:v>
      </x:c>
      <x:c r="O92" s="80" t="n">
        <x:f>'Calc_Monthly'!AF92</x:f>
        <x:v>9125.08562414247</x:v>
      </x:c>
    </x:row>
    <x:row r="93">
      <x:c r="A93" s="78" t="str">
        <x:f>'Calc_Monthly'!A93</x:f>
        <x:v>19|lower</x:v>
      </x:c>
      <x:c r="B93" s="78" t="str">
        <x:f>'Calc_Monthly'!B93</x:f>
        <x:v>19</x:v>
      </x:c>
      <x:c r="C93" s="78" t="str">
        <x:f>'Calc_Monthly'!C93</x:f>
        <x:v>Test building 3</x:v>
      </x:c>
      <x:c r="D93" s="78" t="str">
        <x:f>'Calc_Monthly'!D93</x:f>
        <x:v>lower</x:v>
      </x:c>
      <x:c r="E93" s="78" t="str">
        <x:f>'Calc_Monthly'!E93</x:f>
        <x:v>2023-08</x:v>
      </x:c>
      <x:c r="F93" s="80" t="n">
        <x:f>'Calc_Monthly'!H93</x:f>
        <x:v>22.74717741935484</x:v>
      </x:c>
      <x:c r="G93" s="80" t="n">
        <x:f>'Calc_Case'!J9</x:f>
        <x:v>1684.388703532603</x:v>
      </x:c>
      <x:c r="H93" s="80" t="n">
        <x:f>'Calc_Case'!M9</x:f>
        <x:v>16.680400523276084</x:v>
      </x:c>
      <x:c r="I93" s="80" t="n">
        <x:f>'Calc_Monthly'!K93</x:f>
        <x:v>10982.32839195737</x:v>
      </x:c>
      <x:c r="J93" s="80" t="n">
        <x:f>'Calc_Monthly'!Q93</x:f>
        <x:v>0</x:v>
      </x:c>
      <x:c r="K93" s="80" t="n">
        <x:f>'Calc_Monthly'!AC93</x:f>
        <x:v>0</x:v>
      </x:c>
      <x:c r="L93" s="80" t="n">
        <x:f>'Calc_Monthly'!AE93</x:f>
        <x:v>0</x:v>
      </x:c>
      <x:c r="M93" s="80" t="n">
        <x:f>'Calc_Monthly'!U93</x:f>
        <x:v>6055.469508923824</x:v>
      </x:c>
      <x:c r="N93" s="80" t="n">
        <x:f>'Calc_Monthly'!AD93</x:f>
        <x:v>1647.3687636189293</x:v>
      </x:c>
      <x:c r="O93" s="80" t="n">
        <x:f>'Calc_Monthly'!AF93</x:f>
        <x:v>7702.838272542753</x:v>
      </x:c>
    </x:row>
    <x:row r="94">
      <x:c r="A94" s="78" t="str">
        <x:f>'Calc_Monthly'!A94</x:f>
        <x:v>19|lower</x:v>
      </x:c>
      <x:c r="B94" s="78" t="str">
        <x:f>'Calc_Monthly'!B94</x:f>
        <x:v>19</x:v>
      </x:c>
      <x:c r="C94" s="78" t="str">
        <x:f>'Calc_Monthly'!C94</x:f>
        <x:v>Test building 3</x:v>
      </x:c>
      <x:c r="D94" s="78" t="str">
        <x:f>'Calc_Monthly'!D94</x:f>
        <x:v>lower</x:v>
      </x:c>
      <x:c r="E94" s="78" t="str">
        <x:f>'Calc_Monthly'!E94</x:f>
        <x:v>2023-09</x:v>
      </x:c>
      <x:c r="F94" s="80" t="n">
        <x:f>'Calc_Monthly'!H94</x:f>
        <x:v>19.61638888888889</x:v>
      </x:c>
      <x:c r="G94" s="80" t="n">
        <x:f>'Calc_Case'!J9</x:f>
        <x:v>1684.388703532603</x:v>
      </x:c>
      <x:c r="H94" s="80" t="n">
        <x:f>'Calc_Case'!M9</x:f>
        <x:v>16.680400523276084</x:v>
      </x:c>
      <x:c r="I94" s="80" t="n">
        <x:f>'Calc_Monthly'!K94</x:f>
        <x:v>10101.131035345838</x:v>
      </x:c>
      <x:c r="J94" s="80" t="n">
        <x:f>'Calc_Monthly'!Q94</x:f>
        <x:v>0</x:v>
      </x:c>
      <x:c r="K94" s="80" t="n">
        <x:f>'Calc_Monthly'!AC94</x:f>
        <x:v>0</x:v>
      </x:c>
      <x:c r="L94" s="80" t="n">
        <x:f>'Calc_Monthly'!AE94</x:f>
        <x:v>0</x:v>
      </x:c>
      <x:c r="M94" s="80" t="n">
        <x:f>'Calc_Monthly'!U94</x:f>
        <x:v>3999.7187645969607</x:v>
      </x:c>
      <x:c r="N94" s="80" t="n">
        <x:f>'Calc_Monthly'!AD94</x:f>
        <x:v>419.0496573299455</x:v>
      </x:c>
      <x:c r="O94" s="80" t="n">
        <x:f>'Calc_Monthly'!AF94</x:f>
        <x:v>4418.768421926906</x:v>
      </x:c>
    </x:row>
    <x:row r="95">
      <x:c r="A95" s="78" t="str">
        <x:f>'Calc_Monthly'!A95</x:f>
        <x:v>19|lower</x:v>
      </x:c>
      <x:c r="B95" s="78" t="str">
        <x:f>'Calc_Monthly'!B95</x:f>
        <x:v>19</x:v>
      </x:c>
      <x:c r="C95" s="78" t="str">
        <x:f>'Calc_Monthly'!C95</x:f>
        <x:v>Test building 3</x:v>
      </x:c>
      <x:c r="D95" s="78" t="str">
        <x:f>'Calc_Monthly'!D95</x:f>
        <x:v>lower</x:v>
      </x:c>
      <x:c r="E95" s="78" t="str">
        <x:f>'Calc_Monthly'!E95</x:f>
        <x:v>2023-10</x:v>
      </x:c>
      <x:c r="F95" s="80" t="n">
        <x:f>'Calc_Monthly'!H95</x:f>
        <x:v>13.926209677419354</x:v>
      </x:c>
      <x:c r="G95" s="80" t="n">
        <x:f>'Calc_Case'!J9</x:f>
        <x:v>1684.388703532603</x:v>
      </x:c>
      <x:c r="H95" s="80" t="n">
        <x:f>'Calc_Case'!M9</x:f>
        <x:v>16.680400523276084</x:v>
      </x:c>
      <x:c r="I95" s="80" t="n">
        <x:f>'Calc_Monthly'!K95</x:f>
        <x:v>9775.64936915424</x:v>
      </x:c>
      <x:c r="J95" s="80" t="n">
        <x:f>'Calc_Monthly'!Q95</x:f>
        <x:v>340.65287814155545</x:v>
      </x:c>
      <x:c r="K95" s="80" t="n">
        <x:f>'Calc_Monthly'!AC95</x:f>
        <x:v>3044.027176143096</x:v>
      </x:c>
      <x:c r="L95" s="80" t="n">
        <x:f>'Calc_Monthly'!AE95</x:f>
        <x:v>3384.6800542846513</x:v>
      </x:c>
      <x:c r="M95" s="80" t="n">
        <x:f>'Calc_Monthly'!U95</x:f>
        <x:v>0</x:v>
      </x:c>
      <x:c r="N95" s="80" t="n">
        <x:f>'Calc_Monthly'!AD95</x:f>
        <x:v>0</x:v>
      </x:c>
      <x:c r="O95" s="80" t="n">
        <x:f>'Calc_Monthly'!AF95</x:f>
        <x:v>0</x:v>
      </x:c>
    </x:row>
    <x:row r="96">
      <x:c r="A96" s="78" t="str">
        <x:f>'Calc_Monthly'!A96</x:f>
        <x:v>19|lower</x:v>
      </x:c>
      <x:c r="B96" s="78" t="str">
        <x:f>'Calc_Monthly'!B96</x:f>
        <x:v>19</x:v>
      </x:c>
      <x:c r="C96" s="78" t="str">
        <x:f>'Calc_Monthly'!C96</x:f>
        <x:v>Test building 3</x:v>
      </x:c>
      <x:c r="D96" s="78" t="str">
        <x:f>'Calc_Monthly'!D96</x:f>
        <x:v>lower</x:v>
      </x:c>
      <x:c r="E96" s="78" t="str">
        <x:f>'Calc_Monthly'!E96</x:f>
        <x:v>2023-11</x:v>
      </x:c>
      <x:c r="F96" s="80" t="n">
        <x:f>'Calc_Monthly'!H96</x:f>
        <x:v>8.68388888888889</x:v>
      </x:c>
      <x:c r="G96" s="80" t="n">
        <x:f>'Calc_Case'!J9</x:f>
        <x:v>1684.388703532603</x:v>
      </x:c>
      <x:c r="H96" s="80" t="n">
        <x:f>'Calc_Case'!M9</x:f>
        <x:v>16.680400523276084</x:v>
      </x:c>
      <x:c r="I96" s="80" t="n">
        <x:f>'Calc_Monthly'!K96</x:f>
        <x:v>8892.229684813212</x:v>
      </x:c>
      <x:c r="J96" s="80" t="n">
        <x:f>'Calc_Monthly'!Q96</x:f>
        <x:v>4467.4139003607515</x:v>
      </x:c>
      <x:c r="K96" s="80" t="n">
        <x:f>'Calc_Monthly'!AC96</x:f>
        <x:v>4998.358415795703</x:v>
      </x:c>
      <x:c r="L96" s="80" t="n">
        <x:f>'Calc_Monthly'!AE96</x:f>
        <x:v>9465.772316156454</x:v>
      </x:c>
      <x:c r="M96" s="80" t="n">
        <x:f>'Calc_Monthly'!U96</x:f>
        <x:v>0</x:v>
      </x:c>
      <x:c r="N96" s="80" t="n">
        <x:f>'Calc_Monthly'!AD96</x:f>
        <x:v>0</x:v>
      </x:c>
      <x:c r="O96" s="80" t="n">
        <x:f>'Calc_Monthly'!AF96</x:f>
        <x:v>0</x:v>
      </x:c>
    </x:row>
    <x:row r="97">
      <x:c r="A97" s="78" t="str">
        <x:f>'Calc_Monthly'!A97</x:f>
        <x:v>19|lower</x:v>
      </x:c>
      <x:c r="B97" s="78" t="str">
        <x:f>'Calc_Monthly'!B97</x:f>
        <x:v>19</x:v>
      </x:c>
      <x:c r="C97" s="78" t="str">
        <x:f>'Calc_Monthly'!C97</x:f>
        <x:v>Test building 3</x:v>
      </x:c>
      <x:c r="D97" s="78" t="str">
        <x:f>'Calc_Monthly'!D97</x:f>
        <x:v>lower</x:v>
      </x:c>
      <x:c r="E97" s="78" t="str">
        <x:f>'Calc_Monthly'!E97</x:f>
        <x:v>2023-12</x:v>
      </x:c>
      <x:c r="F97" s="80" t="n">
        <x:f>'Calc_Monthly'!H97</x:f>
        <x:v>3.9963709677419357</x:v>
      </x:c>
      <x:c r="G97" s="80" t="n">
        <x:f>'Calc_Case'!J9</x:f>
        <x:v>1684.388703532603</x:v>
      </x:c>
      <x:c r="H97" s="80" t="n">
        <x:f>'Calc_Case'!M9</x:f>
        <x:v>16.680400523276084</x:v>
      </x:c>
      <x:c r="I97" s="80" t="n">
        <x:f>'Calc_Monthly'!K97</x:f>
        <x:v>9103.494357805135</x:v>
      </x:c>
      <x:c r="J97" s="80" t="n">
        <x:f>'Calc_Monthly'!Q97</x:f>
        <x:v>7973.302316405948</x:v>
      </x:c>
      <x:c r="K97" s="80" t="n">
        <x:f>'Calc_Monthly'!AC97</x:f>
        <x:v>6983.135661902739</x:v>
      </x:c>
      <x:c r="L97" s="80" t="n">
        <x:f>'Calc_Monthly'!AE97</x:f>
        <x:v>14956.437978308688</x:v>
      </x:c>
      <x:c r="M97" s="80" t="n">
        <x:f>'Calc_Monthly'!U97</x:f>
        <x:v>0</x:v>
      </x:c>
      <x:c r="N97" s="80" t="n">
        <x:f>'Calc_Monthly'!AD97</x:f>
        <x:v>0</x:v>
      </x:c>
      <x:c r="O97" s="80" t="n">
        <x:f>'Calc_Monthly'!AF97</x:f>
        <x:v>0</x:v>
      </x:c>
    </x:row>
    <x:row r="98">
      <x:c r="A98" s="78" t="str">
        <x:f>'Calc_Monthly'!A98</x:f>
        <x:v>19|upper</x:v>
      </x:c>
      <x:c r="B98" s="78" t="str">
        <x:f>'Calc_Monthly'!B98</x:f>
        <x:v>19</x:v>
      </x:c>
      <x:c r="C98" s="78" t="str">
        <x:f>'Calc_Monthly'!C98</x:f>
        <x:v>Test building 3</x:v>
      </x:c>
      <x:c r="D98" s="78" t="str">
        <x:f>'Calc_Monthly'!D98</x:f>
        <x:v>upper</x:v>
      </x:c>
      <x:c r="E98" s="78" t="str">
        <x:f>'Calc_Monthly'!E98</x:f>
        <x:v>2023-01</x:v>
      </x:c>
      <x:c r="F98" s="80" t="n">
        <x:f>'Calc_Monthly'!H98</x:f>
        <x:v>2.638440860215054</x:v>
      </x:c>
      <x:c r="G98" s="80" t="n">
        <x:f>'Calc_Case'!J10</x:f>
        <x:v>4059.989256366761</x:v>
      </x:c>
      <x:c r="H98" s="80" t="n">
        <x:f>'Calc_Case'!M10</x:f>
        <x:v>13.175155852211784</x:v>
      </x:c>
      <x:c r="I98" s="80" t="n">
        <x:f>'Calc_Monthly'!K98</x:f>
        <x:v>1881.9707155545543</x:v>
      </x:c>
      <x:c r="J98" s="80" t="n">
        <x:f>'Calc_Monthly'!Q98</x:f>
        <x:v>50564.413396591226</x:v>
      </x:c>
      <x:c r="K98" s="80" t="n">
        <x:f>'Calc_Monthly'!AC98</x:f>
        <x:v>0</x:v>
      </x:c>
      <x:c r="L98" s="80" t="n">
        <x:f>'Calc_Monthly'!AE98</x:f>
        <x:v>50564.413396591226</x:v>
      </x:c>
      <x:c r="M98" s="80" t="n">
        <x:f>'Calc_Monthly'!U98</x:f>
        <x:v>0</x:v>
      </x:c>
      <x:c r="N98" s="80" t="n">
        <x:f>'Calc_Monthly'!AD98</x:f>
        <x:v>0</x:v>
      </x:c>
      <x:c r="O98" s="80" t="n">
        <x:f>'Calc_Monthly'!AF98</x:f>
        <x:v>0</x:v>
      </x:c>
    </x:row>
    <x:row r="99">
      <x:c r="A99" s="78" t="str">
        <x:f>'Calc_Monthly'!A99</x:f>
        <x:v>19|upper</x:v>
      </x:c>
      <x:c r="B99" s="78" t="str">
        <x:f>'Calc_Monthly'!B99</x:f>
        <x:v>19</x:v>
      </x:c>
      <x:c r="C99" s="78" t="str">
        <x:f>'Calc_Monthly'!C99</x:f>
        <x:v>Test building 3</x:v>
      </x:c>
      <x:c r="D99" s="78" t="str">
        <x:f>'Calc_Monthly'!D99</x:f>
        <x:v>upper</x:v>
      </x:c>
      <x:c r="E99" s="78" t="str">
        <x:f>'Calc_Monthly'!E99</x:f>
        <x:v>2023-02</x:v>
      </x:c>
      <x:c r="F99" s="80" t="n">
        <x:f>'Calc_Monthly'!H99</x:f>
        <x:v>3.8903273809523813</x:v>
      </x:c>
      <x:c r="G99" s="80" t="n">
        <x:f>'Calc_Case'!J10</x:f>
        <x:v>4059.989256366761</x:v>
      </x:c>
      <x:c r="H99" s="80" t="n">
        <x:f>'Calc_Case'!M10</x:f>
        <x:v>13.175155852211784</x:v>
      </x:c>
      <x:c r="I99" s="80" t="n">
        <x:f>'Calc_Monthly'!K99</x:f>
        <x:v>2240.9588444969727</x:v>
      </x:c>
      <x:c r="J99" s="80" t="n">
        <x:f>'Calc_Monthly'!Q99</x:f>
        <x:v>41719.2090614455</x:v>
      </x:c>
      <x:c r="K99" s="80" t="n">
        <x:f>'Calc_Monthly'!AC99</x:f>
        <x:v>0</x:v>
      </x:c>
      <x:c r="L99" s="80" t="n">
        <x:f>'Calc_Monthly'!AE99</x:f>
        <x:v>41719.2090614455</x:v>
      </x:c>
      <x:c r="M99" s="80" t="n">
        <x:f>'Calc_Monthly'!U99</x:f>
        <x:v>0</x:v>
      </x:c>
      <x:c r="N99" s="80" t="n">
        <x:f>'Calc_Monthly'!AD99</x:f>
        <x:v>0</x:v>
      </x:c>
      <x:c r="O99" s="80" t="n">
        <x:f>'Calc_Monthly'!AF99</x:f>
        <x:v>0</x:v>
      </x:c>
    </x:row>
    <x:row r="100">
      <x:c r="A100" s="78" t="str">
        <x:f>'Calc_Monthly'!A100</x:f>
        <x:v>19|upper</x:v>
      </x:c>
      <x:c r="B100" s="78" t="str">
        <x:f>'Calc_Monthly'!B100</x:f>
        <x:v>19</x:v>
      </x:c>
      <x:c r="C100" s="78" t="str">
        <x:f>'Calc_Monthly'!C100</x:f>
        <x:v>Test building 3</x:v>
      </x:c>
      <x:c r="D100" s="78" t="str">
        <x:f>'Calc_Monthly'!D100</x:f>
        <x:v>upper</x:v>
      </x:c>
      <x:c r="E100" s="78" t="str">
        <x:f>'Calc_Monthly'!E100</x:f>
        <x:v>2023-03</x:v>
      </x:c>
      <x:c r="F100" s="80" t="n">
        <x:f>'Calc_Monthly'!H100</x:f>
        <x:v>7.746908602150539</x:v>
      </x:c>
      <x:c r="G100" s="80" t="n">
        <x:f>'Calc_Case'!J10</x:f>
        <x:v>4059.989256366761</x:v>
      </x:c>
      <x:c r="H100" s="80" t="n">
        <x:f>'Calc_Case'!M10</x:f>
        <x:v>13.175155852211784</x:v>
      </x:c>
      <x:c r="I100" s="80" t="n">
        <x:f>'Calc_Monthly'!K100</x:f>
        <x:v>5117.207038149198</x:v>
      </x:c>
      <x:c r="J100" s="80" t="n">
        <x:f>'Calc_Monthly'!Q100</x:f>
        <x:v>32002.468115536543</x:v>
      </x:c>
      <x:c r="K100" s="80" t="n">
        <x:f>'Calc_Monthly'!AC100</x:f>
        <x:v>0</x:v>
      </x:c>
      <x:c r="L100" s="80" t="n">
        <x:f>'Calc_Monthly'!AE100</x:f>
        <x:v>32002.468115536543</x:v>
      </x:c>
      <x:c r="M100" s="80" t="n">
        <x:f>'Calc_Monthly'!U100</x:f>
        <x:v>0</x:v>
      </x:c>
      <x:c r="N100" s="80" t="n">
        <x:f>'Calc_Monthly'!AD100</x:f>
        <x:v>0</x:v>
      </x:c>
      <x:c r="O100" s="80" t="n">
        <x:f>'Calc_Monthly'!AF100</x:f>
        <x:v>0</x:v>
      </x:c>
    </x:row>
    <x:row r="101">
      <x:c r="A101" s="78" t="str">
        <x:f>'Calc_Monthly'!A101</x:f>
        <x:v>19|upper</x:v>
      </x:c>
      <x:c r="B101" s="78" t="str">
        <x:f>'Calc_Monthly'!B101</x:f>
        <x:v>19</x:v>
      </x:c>
      <x:c r="C101" s="78" t="str">
        <x:f>'Calc_Monthly'!C101</x:f>
        <x:v>Test building 3</x:v>
      </x:c>
      <x:c r="D101" s="78" t="str">
        <x:f>'Calc_Monthly'!D101</x:f>
        <x:v>upper</x:v>
      </x:c>
      <x:c r="E101" s="78" t="str">
        <x:f>'Calc_Monthly'!E101</x:f>
        <x:v>2023-04</x:v>
      </x:c>
      <x:c r="F101" s="80" t="n">
        <x:f>'Calc_Monthly'!H101</x:f>
        <x:v>12.03041666666667</x:v>
      </x:c>
      <x:c r="G101" s="80" t="n">
        <x:f>'Calc_Case'!J10</x:f>
        <x:v>4059.989256366761</x:v>
      </x:c>
      <x:c r="H101" s="80" t="n">
        <x:f>'Calc_Case'!M10</x:f>
        <x:v>13.175155852211784</x:v>
      </x:c>
      <x:c r="I101" s="80" t="n">
        <x:f>'Calc_Monthly'!K101</x:f>
        <x:v>6850.123447868083</x:v>
      </x:c>
      <x:c r="J101" s="80" t="n">
        <x:f>'Calc_Monthly'!Q101</x:f>
        <x:v>16946.49860008886</x:v>
      </x:c>
      <x:c r="K101" s="80" t="n">
        <x:f>'Calc_Monthly'!AC101</x:f>
        <x:v>0</x:v>
      </x:c>
      <x:c r="L101" s="80" t="n">
        <x:f>'Calc_Monthly'!AE101</x:f>
        <x:v>16946.49860008886</x:v>
      </x:c>
      <x:c r="M101" s="80" t="n">
        <x:f>'Calc_Monthly'!U101</x:f>
        <x:v>0</x:v>
      </x:c>
      <x:c r="N101" s="80" t="n">
        <x:f>'Calc_Monthly'!AD101</x:f>
        <x:v>0</x:v>
      </x:c>
      <x:c r="O101" s="80" t="n">
        <x:f>'Calc_Monthly'!AF101</x:f>
        <x:v>0</x:v>
      </x:c>
    </x:row>
    <x:row r="102">
      <x:c r="A102" s="78" t="str">
        <x:f>'Calc_Monthly'!A102</x:f>
        <x:v>19|upper</x:v>
      </x:c>
      <x:c r="B102" s="78" t="str">
        <x:f>'Calc_Monthly'!B102</x:f>
        <x:v>19</x:v>
      </x:c>
      <x:c r="C102" s="78" t="str">
        <x:f>'Calc_Monthly'!C102</x:f>
        <x:v>Test building 3</x:v>
      </x:c>
      <x:c r="D102" s="78" t="str">
        <x:f>'Calc_Monthly'!D102</x:f>
        <x:v>upper</x:v>
      </x:c>
      <x:c r="E102" s="78" t="str">
        <x:f>'Calc_Monthly'!E102</x:f>
        <x:v>2023-05</x:v>
      </x:c>
      <x:c r="F102" s="80" t="n">
        <x:f>'Calc_Monthly'!H102</x:f>
        <x:v>17.244086021505375</x:v>
      </x:c>
      <x:c r="G102" s="80" t="n">
        <x:f>'Calc_Case'!J10</x:f>
        <x:v>4059.989256366761</x:v>
      </x:c>
      <x:c r="H102" s="80" t="n">
        <x:f>'Calc_Case'!M10</x:f>
        <x:v>13.175155852211784</x:v>
      </x:c>
      <x:c r="I102" s="80" t="n">
        <x:f>'Calc_Monthly'!K102</x:f>
        <x:v>9169.097296660522</x:v>
      </x:c>
      <x:c r="J102" s="80" t="n">
        <x:f>'Calc_Monthly'!Q102</x:f>
        <x:v>0</x:v>
      </x:c>
      <x:c r="K102" s="80" t="n">
        <x:f>'Calc_Monthly'!AC102</x:f>
        <x:v>0</x:v>
      </x:c>
      <x:c r="L102" s="80" t="n">
        <x:f>'Calc_Monthly'!AE102</x:f>
        <x:v>0</x:v>
      </x:c>
      <x:c r="M102" s="80" t="n">
        <x:f>'Calc_Monthly'!U102</x:f>
        <x:v>0</x:v>
      </x:c>
      <x:c r="N102" s="80" t="n">
        <x:f>'Calc_Monthly'!AD102</x:f>
        <x:v>0</x:v>
      </x:c>
      <x:c r="O102" s="80" t="n">
        <x:f>'Calc_Monthly'!AF102</x:f>
        <x:v>0</x:v>
      </x:c>
    </x:row>
    <x:row r="103">
      <x:c r="A103" s="78" t="str">
        <x:f>'Calc_Monthly'!A103</x:f>
        <x:v>19|upper</x:v>
      </x:c>
      <x:c r="B103" s="78" t="str">
        <x:f>'Calc_Monthly'!B103</x:f>
        <x:v>19</x:v>
      </x:c>
      <x:c r="C103" s="78" t="str">
        <x:f>'Calc_Monthly'!C103</x:f>
        <x:v>Test building 3</x:v>
      </x:c>
      <x:c r="D103" s="78" t="str">
        <x:f>'Calc_Monthly'!D103</x:f>
        <x:v>upper</x:v>
      </x:c>
      <x:c r="E103" s="78" t="str">
        <x:f>'Calc_Monthly'!E103</x:f>
        <x:v>2023-06</x:v>
      </x:c>
      <x:c r="F103" s="80" t="n">
        <x:f>'Calc_Monthly'!H103</x:f>
        <x:v>20.758194444444445</x:v>
      </x:c>
      <x:c r="G103" s="80" t="n">
        <x:f>'Calc_Case'!J10</x:f>
        <x:v>4059.989256366761</x:v>
      </x:c>
      <x:c r="H103" s="80" t="n">
        <x:f>'Calc_Case'!M10</x:f>
        <x:v>13.175155852211784</x:v>
      </x:c>
      <x:c r="I103" s="80" t="n">
        <x:f>'Calc_Monthly'!K103</x:f>
        <x:v>9488.31890709445</x:v>
      </x:c>
      <x:c r="J103" s="80" t="n">
        <x:f>'Calc_Monthly'!Q103</x:f>
        <x:v>0</x:v>
      </x:c>
      <x:c r="K103" s="80" t="n">
        <x:f>'Calc_Monthly'!AC103</x:f>
        <x:v>0</x:v>
      </x:c>
      <x:c r="L103" s="80" t="n">
        <x:f>'Calc_Monthly'!AE103</x:f>
        <x:v>0</x:v>
      </x:c>
      <x:c r="M103" s="80" t="n">
        <x:f>'Calc_Monthly'!U103</x:f>
        <x:v>1962.455978652093</x:v>
      </x:c>
      <x:c r="N103" s="80" t="n">
        <x:f>'Calc_Monthly'!AD103</x:f>
        <x:v>0</x:v>
      </x:c>
      <x:c r="O103" s="80" t="n">
        <x:f>'Calc_Monthly'!AF103</x:f>
        <x:v>1962.455978652093</x:v>
      </x:c>
    </x:row>
    <x:row r="104">
      <x:c r="A104" s="78" t="str">
        <x:f>'Calc_Monthly'!A104</x:f>
        <x:v>19|upper</x:v>
      </x:c>
      <x:c r="B104" s="78" t="str">
        <x:f>'Calc_Monthly'!B104</x:f>
        <x:v>19</x:v>
      </x:c>
      <x:c r="C104" s="78" t="str">
        <x:f>'Calc_Monthly'!C104</x:f>
        <x:v>Test building 3</x:v>
      </x:c>
      <x:c r="D104" s="78" t="str">
        <x:f>'Calc_Monthly'!D104</x:f>
        <x:v>upper</x:v>
      </x:c>
      <x:c r="E104" s="78" t="str">
        <x:f>'Calc_Monthly'!E104</x:f>
        <x:v>2023-07</x:v>
      </x:c>
      <x:c r="F104" s="80" t="n">
        <x:f>'Calc_Monthly'!H104</x:f>
        <x:v>23.824193548387097</x:v>
      </x:c>
      <x:c r="G104" s="80" t="n">
        <x:f>'Calc_Case'!J10</x:f>
        <x:v>4059.989256366761</x:v>
      </x:c>
      <x:c r="H104" s="80" t="n">
        <x:f>'Calc_Case'!M10</x:f>
        <x:v>13.175155852211784</x:v>
      </x:c>
      <x:c r="I104" s="80" t="n">
        <x:f>'Calc_Monthly'!K104</x:f>
        <x:v>10201.70282993048</x:v>
      </x:c>
      <x:c r="J104" s="80" t="n">
        <x:f>'Calc_Monthly'!Q104</x:f>
        <x:v>0</x:v>
      </x:c>
      <x:c r="K104" s="80" t="n">
        <x:f>'Calc_Monthly'!AC104</x:f>
        <x:v>0</x:v>
      </x:c>
      <x:c r="L104" s="80" t="n">
        <x:f>'Calc_Monthly'!AE104</x:f>
        <x:v>0</x:v>
      </x:c>
      <x:c r="M104" s="80" t="n">
        <x:f>'Calc_Monthly'!U104</x:f>
        <x:v>5055.403147754496</x:v>
      </x:c>
      <x:c r="N104" s="80" t="n">
        <x:f>'Calc_Monthly'!AD104</x:f>
        <x:v>0</x:v>
      </x:c>
      <x:c r="O104" s="80" t="n">
        <x:f>'Calc_Monthly'!AF104</x:f>
        <x:v>5055.403147754496</x:v>
      </x:c>
    </x:row>
    <x:row r="105">
      <x:c r="A105" s="78" t="str">
        <x:f>'Calc_Monthly'!A105</x:f>
        <x:v>19|upper</x:v>
      </x:c>
      <x:c r="B105" s="78" t="str">
        <x:f>'Calc_Monthly'!B105</x:f>
        <x:v>19</x:v>
      </x:c>
      <x:c r="C105" s="78" t="str">
        <x:f>'Calc_Monthly'!C105</x:f>
        <x:v>Test building 3</x:v>
      </x:c>
      <x:c r="D105" s="78" t="str">
        <x:f>'Calc_Monthly'!D105</x:f>
        <x:v>upper</x:v>
      </x:c>
      <x:c r="E105" s="78" t="str">
        <x:f>'Calc_Monthly'!E105</x:f>
        <x:v>2023-08</x:v>
      </x:c>
      <x:c r="F105" s="80" t="n">
        <x:f>'Calc_Monthly'!H105</x:f>
        <x:v>22.74717741935484</x:v>
      </x:c>
      <x:c r="G105" s="80" t="n">
        <x:f>'Calc_Case'!J10</x:f>
        <x:v>4059.989256366761</x:v>
      </x:c>
      <x:c r="H105" s="80" t="n">
        <x:f>'Calc_Case'!M10</x:f>
        <x:v>13.175155852211784</x:v>
      </x:c>
      <x:c r="I105" s="80" t="n">
        <x:f>'Calc_Monthly'!K105</x:f>
        <x:v>8707.781159567372</x:v>
      </x:c>
      <x:c r="J105" s="80" t="n">
        <x:f>'Calc_Monthly'!Q105</x:f>
        <x:v>0</x:v>
      </x:c>
      <x:c r="K105" s="80" t="n">
        <x:f>'Calc_Monthly'!AC105</x:f>
        <x:v>0</x:v>
      </x:c>
      <x:c r="L105" s="80" t="n">
        <x:f>'Calc_Monthly'!AE105</x:f>
        <x:v>0</x:v>
      </x:c>
      <x:c r="M105" s="80" t="n">
        <x:f>'Calc_Monthly'!U105</x:f>
        <x:v>2688.958073876126</x:v>
      </x:c>
      <x:c r="N105" s="80" t="n">
        <x:f>'Calc_Monthly'!AD105</x:f>
        <x:v>0</x:v>
      </x:c>
      <x:c r="O105" s="80" t="n">
        <x:f>'Calc_Monthly'!AF105</x:f>
        <x:v>2688.958073876126</x:v>
      </x:c>
    </x:row>
    <x:row r="106">
      <x:c r="A106" s="78" t="str">
        <x:f>'Calc_Monthly'!A106</x:f>
        <x:v>19|upper</x:v>
      </x:c>
      <x:c r="B106" s="78" t="str">
        <x:f>'Calc_Monthly'!B106</x:f>
        <x:v>19</x:v>
      </x:c>
      <x:c r="C106" s="78" t="str">
        <x:f>'Calc_Monthly'!C106</x:f>
        <x:v>Test building 3</x:v>
      </x:c>
      <x:c r="D106" s="78" t="str">
        <x:f>'Calc_Monthly'!D106</x:f>
        <x:v>upper</x:v>
      </x:c>
      <x:c r="E106" s="78" t="str">
        <x:f>'Calc_Monthly'!E106</x:f>
        <x:v>2023-09</x:v>
      </x:c>
      <x:c r="F106" s="80" t="n">
        <x:f>'Calc_Monthly'!H106</x:f>
        <x:v>19.61638888888889</x:v>
      </x:c>
      <x:c r="G106" s="80" t="n">
        <x:f>'Calc_Case'!J10</x:f>
        <x:v>4059.989256366761</x:v>
      </x:c>
      <x:c r="H106" s="80" t="n">
        <x:f>'Calc_Case'!M10</x:f>
        <x:v>13.175155852211784</x:v>
      </x:c>
      <x:c r="I106" s="80" t="n">
        <x:f>'Calc_Monthly'!K106</x:f>
        <x:v>6348.621981639974</x:v>
      </x:c>
      <x:c r="J106" s="80" t="n">
        <x:f>'Calc_Monthly'!Q106</x:f>
        <x:v>0</x:v>
      </x:c>
      <x:c r="K106" s="80" t="n">
        <x:f>'Calc_Monthly'!AC106</x:f>
        <x:v>0</x:v>
      </x:c>
      <x:c r="L106" s="80" t="n">
        <x:f>'Calc_Monthly'!AE106</x:f>
        <x:v>0</x:v>
      </x:c>
      <x:c r="M106" s="80" t="n">
        <x:f>'Calc_Monthly'!U106</x:f>
        <x:v>578.7718973512419</x:v>
      </x:c>
      <x:c r="N106" s="80" t="n">
        <x:f>'Calc_Monthly'!AD106</x:f>
        <x:v>0</x:v>
      </x:c>
      <x:c r="O106" s="80" t="n">
        <x:f>'Calc_Monthly'!AF106</x:f>
        <x:v>578.7718973512419</x:v>
      </x:c>
    </x:row>
    <x:row r="107">
      <x:c r="A107" s="78" t="str">
        <x:f>'Calc_Monthly'!A107</x:f>
        <x:v>19|upper</x:v>
      </x:c>
      <x:c r="B107" s="78" t="str">
        <x:f>'Calc_Monthly'!B107</x:f>
        <x:v>19</x:v>
      </x:c>
      <x:c r="C107" s="78" t="str">
        <x:f>'Calc_Monthly'!C107</x:f>
        <x:v>Test building 3</x:v>
      </x:c>
      <x:c r="D107" s="78" t="str">
        <x:f>'Calc_Monthly'!D107</x:f>
        <x:v>upper</x:v>
      </x:c>
      <x:c r="E107" s="78" t="str">
        <x:f>'Calc_Monthly'!E107</x:f>
        <x:v>2023-10</x:v>
      </x:c>
      <x:c r="F107" s="80" t="n">
        <x:f>'Calc_Monthly'!H107</x:f>
        <x:v>13.926209677419354</x:v>
      </x:c>
      <x:c r="G107" s="80" t="n">
        <x:f>'Calc_Case'!J10</x:f>
        <x:v>4059.989256366761</x:v>
      </x:c>
      <x:c r="H107" s="80" t="n">
        <x:f>'Calc_Case'!M10</x:f>
        <x:v>13.175155852211784</x:v>
      </x:c>
      <x:c r="I107" s="80" t="n">
        <x:f>'Calc_Monthly'!K107</x:f>
        <x:v>4069.886915768664</x:v>
      </x:c>
      <x:c r="J107" s="80" t="n">
        <x:f>'Calc_Monthly'!Q107</x:f>
        <x:v>6469.262371000108</x:v>
      </x:c>
      <x:c r="K107" s="80" t="n">
        <x:f>'Calc_Monthly'!AC107</x:f>
        <x:v>0</x:v>
      </x:c>
      <x:c r="L107" s="80" t="n">
        <x:f>'Calc_Monthly'!AE107</x:f>
        <x:v>6469.262371000108</x:v>
      </x:c>
      <x:c r="M107" s="80" t="n">
        <x:f>'Calc_Monthly'!U107</x:f>
        <x:v>0</x:v>
      </x:c>
      <x:c r="N107" s="80" t="n">
        <x:f>'Calc_Monthly'!AD107</x:f>
        <x:v>0</x:v>
      </x:c>
      <x:c r="O107" s="80" t="n">
        <x:f>'Calc_Monthly'!AF107</x:f>
        <x:v>0</x:v>
      </x:c>
    </x:row>
    <x:row r="108">
      <x:c r="A108" s="78" t="str">
        <x:f>'Calc_Monthly'!A108</x:f>
        <x:v>19|upper</x:v>
      </x:c>
      <x:c r="B108" s="78" t="str">
        <x:f>'Calc_Monthly'!B108</x:f>
        <x:v>19</x:v>
      </x:c>
      <x:c r="C108" s="78" t="str">
        <x:f>'Calc_Monthly'!C108</x:f>
        <x:v>Test building 3</x:v>
      </x:c>
      <x:c r="D108" s="78" t="str">
        <x:f>'Calc_Monthly'!D108</x:f>
        <x:v>upper</x:v>
      </x:c>
      <x:c r="E108" s="78" t="str">
        <x:f>'Calc_Monthly'!E108</x:f>
        <x:v>2023-11</x:v>
      </x:c>
      <x:c r="F108" s="80" t="n">
        <x:f>'Calc_Monthly'!H108</x:f>
        <x:v>8.68388888888889</x:v>
      </x:c>
      <x:c r="G108" s="80" t="n">
        <x:f>'Calc_Case'!J10</x:f>
        <x:v>4059.989256366761</x:v>
      </x:c>
      <x:c r="H108" s="80" t="n">
        <x:f>'Calc_Case'!M10</x:f>
        <x:v>13.175155852211784</x:v>
      </x:c>
      <x:c r="I108" s="80" t="n">
        <x:f>'Calc_Monthly'!K108</x:f>
        <x:v>1879.1446954425053</x:v>
      </x:c>
      <x:c r="J108" s="80" t="n">
        <x:f>'Calc_Monthly'!Q108</x:f>
        <x:v>31208.13373671231</x:v>
      </x:c>
      <x:c r="K108" s="80" t="n">
        <x:f>'Calc_Monthly'!AC108</x:f>
        <x:v>0</x:v>
      </x:c>
      <x:c r="L108" s="80" t="n">
        <x:f>'Calc_Monthly'!AE108</x:f>
        <x:v>31208.13373671231</x:v>
      </x:c>
      <x:c r="M108" s="80" t="n">
        <x:f>'Calc_Monthly'!U108</x:f>
        <x:v>0</x:v>
      </x:c>
      <x:c r="N108" s="80" t="n">
        <x:f>'Calc_Monthly'!AD108</x:f>
        <x:v>0</x:v>
      </x:c>
      <x:c r="O108" s="80" t="n">
        <x:f>'Calc_Monthly'!AF108</x:f>
        <x:v>0</x:v>
      </x:c>
    </x:row>
    <x:row r="109">
      <x:c r="A109" s="78" t="str">
        <x:f>'Calc_Monthly'!A109</x:f>
        <x:v>19|upper</x:v>
      </x:c>
      <x:c r="B109" s="78" t="str">
        <x:f>'Calc_Monthly'!B109</x:f>
        <x:v>19</x:v>
      </x:c>
      <x:c r="C109" s="78" t="str">
        <x:f>'Calc_Monthly'!C109</x:f>
        <x:v>Test building 3</x:v>
      </x:c>
      <x:c r="D109" s="78" t="str">
        <x:f>'Calc_Monthly'!D109</x:f>
        <x:v>upper</x:v>
      </x:c>
      <x:c r="E109" s="78" t="str">
        <x:f>'Calc_Monthly'!E109</x:f>
        <x:v>2023-12</x:v>
      </x:c>
      <x:c r="F109" s="80" t="n">
        <x:f>'Calc_Monthly'!H109</x:f>
        <x:v>3.9963709677419357</x:v>
      </x:c>
      <x:c r="G109" s="80" t="n">
        <x:f>'Calc_Case'!J10</x:f>
        <x:v>4059.989256366761</x:v>
      </x:c>
      <x:c r="H109" s="80" t="n">
        <x:f>'Calc_Case'!M10</x:f>
        <x:v>13.175155852211784</x:v>
      </x:c>
      <x:c r="I109" s="80" t="n">
        <x:f>'Calc_Monthly'!K109</x:f>
        <x:v>1581.8482897067636</x:v>
      </x:c>
      <x:c r="J109" s="80" t="n">
        <x:f>'Calc_Monthly'!Q109</x:f>
        <x:v>46761.70957395311</x:v>
      </x:c>
      <x:c r="K109" s="80" t="n">
        <x:f>'Calc_Monthly'!AC109</x:f>
        <x:v>0</x:v>
      </x:c>
      <x:c r="L109" s="80" t="n">
        <x:f>'Calc_Monthly'!AE109</x:f>
        <x:v>46761.70957395311</x:v>
      </x:c>
      <x:c r="M109" s="80" t="n">
        <x:f>'Calc_Monthly'!U109</x:f>
        <x:v>0</x:v>
      </x:c>
      <x:c r="N109" s="80" t="n">
        <x:f>'Calc_Monthly'!AD109</x:f>
        <x:v>0</x:v>
      </x:c>
      <x:c r="O109" s="80" t="n">
        <x:f>'Calc_Monthly'!AF109</x:f>
        <x:v>0</x:v>
      </x:c>
    </x:row>
    <x:row r="110">
      <x:c r="A110" s="78" t="str">
        <x:f>'Calc_Monthly'!A110</x:f>
        <x:v>20|aggregate</x:v>
      </x:c>
      <x:c r="B110" s="78" t="str">
        <x:f>'Calc_Monthly'!B110</x:f>
        <x:v>20</x:v>
      </x:c>
      <x:c r="C110" s="78" t="str">
        <x:f>'Calc_Monthly'!C110</x:f>
        <x:v>Test building 4</x:v>
      </x:c>
      <x:c r="D110" s="78" t="str">
        <x:f>'Calc_Monthly'!D110</x:f>
        <x:v>aggregate</x:v>
      </x:c>
      <x:c r="E110" s="78" t="str">
        <x:f>'Calc_Monthly'!E110</x:f>
        <x:v>2023-01</x:v>
      </x:c>
      <x:c r="F110" s="80" t="n">
        <x:f>'Calc_Monthly'!H110</x:f>
        <x:v>2.638440860215054</x:v>
      </x:c>
      <x:c r="G110" s="80" t="n">
        <x:f>'Calc_Case'!J11</x:f>
        <x:v>20743.89353131882</x:v>
      </x:c>
      <x:c r="H110" s="80" t="n">
        <x:f>'Calc_Case'!M11</x:f>
        <x:v>29.738333624110936</x:v>
      </x:c>
      <x:c r="I110" s="80" t="n">
        <x:f>'Calc_Monthly'!K110</x:f>
        <x:v>15289.660542405698</x:v>
      </x:c>
      <x:c r="J110" s="80" t="n">
        <x:f>'Calc_Monthly'!Q110</x:f>
        <x:v>177051.97488398998</x:v>
      </x:c>
      <x:c r="K110" s="80" t="n">
        <x:f>'Calc_Monthly'!AC110</x:f>
        <x:v>75614.62738834265</x:v>
      </x:c>
      <x:c r="L110" s="80" t="n">
        <x:f>'Calc_Monthly'!AE110</x:f>
        <x:v>252666.60227233265</x:v>
      </x:c>
      <x:c r="M110" s="80" t="n">
        <x:f>'Calc_Monthly'!U110</x:f>
        <x:v>0</x:v>
      </x:c>
      <x:c r="N110" s="80" t="n">
        <x:f>'Calc_Monthly'!AD110</x:f>
        <x:v>0</x:v>
      </x:c>
      <x:c r="O110" s="80" t="n">
        <x:f>'Calc_Monthly'!AF110</x:f>
        <x:v>0</x:v>
      </x:c>
    </x:row>
    <x:row r="111">
      <x:c r="A111" s="78" t="str">
        <x:f>'Calc_Monthly'!A111</x:f>
        <x:v>20|aggregate</x:v>
      </x:c>
      <x:c r="B111" s="78" t="str">
        <x:f>'Calc_Monthly'!B111</x:f>
        <x:v>20</x:v>
      </x:c>
      <x:c r="C111" s="78" t="str">
        <x:f>'Calc_Monthly'!C111</x:f>
        <x:v>Test building 4</x:v>
      </x:c>
      <x:c r="D111" s="78" t="str">
        <x:f>'Calc_Monthly'!D111</x:f>
        <x:v>aggregate</x:v>
      </x:c>
      <x:c r="E111" s="78" t="str">
        <x:f>'Calc_Monthly'!E111</x:f>
        <x:v>2023-02</x:v>
      </x:c>
      <x:c r="F111" s="80" t="n">
        <x:f>'Calc_Monthly'!H111</x:f>
        <x:v>3.8903273809523813</x:v>
      </x:c>
      <x:c r="G111" s="80" t="n">
        <x:f>'Calc_Case'!J11</x:f>
        <x:v>20743.89353131882</x:v>
      </x:c>
      <x:c r="H111" s="80" t="n">
        <x:f>'Calc_Case'!M11</x:f>
        <x:v>29.738333624110936</x:v>
      </x:c>
      <x:c r="I111" s="80" t="n">
        <x:f>'Calc_Monthly'!K111</x:f>
        <x:v>17536.27234110351</x:v>
      </x:c>
      <x:c r="J111" s="80" t="n">
        <x:f>'Calc_Monthly'!Q111</x:f>
        <x:v>142578.68124958055</x:v>
      </x:c>
      <x:c r="K111" s="80" t="n">
        <x:f>'Calc_Monthly'!AC111</x:f>
        <x:v>64473.54810018708</x:v>
      </x:c>
      <x:c r="L111" s="80" t="n">
        <x:f>'Calc_Monthly'!AE111</x:f>
        <x:v>207052.22934976761</x:v>
      </x:c>
      <x:c r="M111" s="80" t="n">
        <x:f>'Calc_Monthly'!U111</x:f>
        <x:v>0</x:v>
      </x:c>
      <x:c r="N111" s="80" t="n">
        <x:f>'Calc_Monthly'!AD111</x:f>
        <x:v>0</x:v>
      </x:c>
      <x:c r="O111" s="80" t="n">
        <x:f>'Calc_Monthly'!AF111</x:f>
        <x:v>0</x:v>
      </x:c>
    </x:row>
    <x:row r="112">
      <x:c r="A112" s="78" t="str">
        <x:f>'Calc_Monthly'!A112</x:f>
        <x:v>20|aggregate</x:v>
      </x:c>
      <x:c r="B112" s="78" t="str">
        <x:f>'Calc_Monthly'!B112</x:f>
        <x:v>20</x:v>
      </x:c>
      <x:c r="C112" s="78" t="str">
        <x:f>'Calc_Monthly'!C112</x:f>
        <x:v>Test building 4</x:v>
      </x:c>
      <x:c r="D112" s="78" t="str">
        <x:f>'Calc_Monthly'!D112</x:f>
        <x:v>aggregate</x:v>
      </x:c>
      <x:c r="E112" s="78" t="str">
        <x:f>'Calc_Monthly'!E112</x:f>
        <x:v>2023-03</x:v>
      </x:c>
      <x:c r="F112" s="80" t="n">
        <x:f>'Calc_Monthly'!H112</x:f>
        <x:v>7.746908602150539</x:v>
      </x:c>
      <x:c r="G112" s="80" t="n">
        <x:f>'Calc_Case'!J11</x:f>
        <x:v>20743.89353131882</x:v>
      </x:c>
      <x:c r="H112" s="80" t="n">
        <x:f>'Calc_Case'!M11</x:f>
        <x:v>29.738333624110936</x:v>
      </x:c>
      <x:c r="I112" s="80" t="n">
        <x:f>'Calc_Monthly'!K112</x:f>
        <x:v>34205.38141968103</x:v>
      </x:c>
      <x:c r="J112" s="80" t="n">
        <x:f>'Calc_Monthly'!Q112</x:f>
        <x:v>97026.58803052947</x:v>
      </x:c>
      <x:c r="K112" s="80" t="n">
        <x:f>'Calc_Monthly'!AC112</x:f>
        <x:v>58340.568704993864</x:v>
      </x:c>
      <x:c r="L112" s="80" t="n">
        <x:f>'Calc_Monthly'!AE112</x:f>
        <x:v>155367.15673552334</x:v>
      </x:c>
      <x:c r="M112" s="80" t="n">
        <x:f>'Calc_Monthly'!U112</x:f>
        <x:v>0</x:v>
      </x:c>
      <x:c r="N112" s="80" t="n">
        <x:f>'Calc_Monthly'!AD112</x:f>
        <x:v>0</x:v>
      </x:c>
      <x:c r="O112" s="80" t="n">
        <x:f>'Calc_Monthly'!AF112</x:f>
        <x:v>0</x:v>
      </x:c>
    </x:row>
    <x:row r="113">
      <x:c r="A113" s="78" t="str">
        <x:f>'Calc_Monthly'!A113</x:f>
        <x:v>20|aggregate</x:v>
      </x:c>
      <x:c r="B113" s="78" t="str">
        <x:f>'Calc_Monthly'!B113</x:f>
        <x:v>20</x:v>
      </x:c>
      <x:c r="C113" s="78" t="str">
        <x:f>'Calc_Monthly'!C113</x:f>
        <x:v>Test building 4</x:v>
      </x:c>
      <x:c r="D113" s="78" t="str">
        <x:f>'Calc_Monthly'!D113</x:f>
        <x:v>aggregate</x:v>
      </x:c>
      <x:c r="E113" s="78" t="str">
        <x:f>'Calc_Monthly'!E113</x:f>
        <x:v>2023-04</x:v>
      </x:c>
      <x:c r="F113" s="80" t="n">
        <x:f>'Calc_Monthly'!H113</x:f>
        <x:v>12.03041666666667</x:v>
      </x:c>
      <x:c r="G113" s="80" t="n">
        <x:f>'Calc_Case'!J11</x:f>
        <x:v>20743.89353131882</x:v>
      </x:c>
      <x:c r="H113" s="80" t="n">
        <x:f>'Calc_Case'!M11</x:f>
        <x:v>29.738333624110936</x:v>
      </x:c>
      <x:c r="I113" s="80" t="n">
        <x:f>'Calc_Monthly'!K113</x:f>
        <x:v>42334.054883399396</x:v>
      </x:c>
      <x:c r="J113" s="80" t="n">
        <x:f>'Calc_Monthly'!Q113</x:f>
        <x:v>37822.337681517005</x:v>
      </x:c>
      <x:c r="K113" s="80" t="n">
        <x:f>'Calc_Monthly'!AC113</x:f>
        <x:v>42441.36274659389</x:v>
      </x:c>
      <x:c r="L113" s="80" t="n">
        <x:f>'Calc_Monthly'!AE113</x:f>
        <x:v>80263.7004281109</x:v>
      </x:c>
      <x:c r="M113" s="80" t="n">
        <x:f>'Calc_Monthly'!U113</x:f>
        <x:v>0</x:v>
      </x:c>
      <x:c r="N113" s="80" t="n">
        <x:f>'Calc_Monthly'!AD113</x:f>
        <x:v>0</x:v>
      </x:c>
      <x:c r="O113" s="80" t="n">
        <x:f>'Calc_Monthly'!AF113</x:f>
        <x:v>0</x:v>
      </x:c>
    </x:row>
    <x:row r="114">
      <x:c r="A114" s="78" t="str">
        <x:f>'Calc_Monthly'!A114</x:f>
        <x:v>20|aggregate</x:v>
      </x:c>
      <x:c r="B114" s="78" t="str">
        <x:f>'Calc_Monthly'!B114</x:f>
        <x:v>20</x:v>
      </x:c>
      <x:c r="C114" s="78" t="str">
        <x:f>'Calc_Monthly'!C114</x:f>
        <x:v>Test building 4</x:v>
      </x:c>
      <x:c r="D114" s="78" t="str">
        <x:f>'Calc_Monthly'!D114</x:f>
        <x:v>aggregate</x:v>
      </x:c>
      <x:c r="E114" s="78" t="str">
        <x:f>'Calc_Monthly'!E114</x:f>
        <x:v>2023-05</x:v>
      </x:c>
      <x:c r="F114" s="80" t="n">
        <x:f>'Calc_Monthly'!H114</x:f>
        <x:v>17.244086021505375</x:v>
      </x:c>
      <x:c r="G114" s="80" t="n">
        <x:f>'Calc_Case'!J11</x:f>
        <x:v>20743.89353131882</x:v>
      </x:c>
      <x:c r="H114" s="80" t="n">
        <x:f>'Calc_Case'!M11</x:f>
        <x:v>29.738333624110936</x:v>
      </x:c>
      <x:c r="I114" s="80" t="n">
        <x:f>'Calc_Monthly'!K114</x:f>
        <x:v>54555.67745981151</x:v>
      </x:c>
      <x:c r="J114" s="80" t="n">
        <x:f>'Calc_Monthly'!Q114</x:f>
        <x:v>0</x:v>
      </x:c>
      <x:c r="K114" s="80" t="n">
        <x:f>'Calc_Monthly'!AC114</x:f>
        <x:v>19463.36961758964</x:v>
      </x:c>
      <x:c r="L114" s="80" t="n">
        <x:f>'Calc_Monthly'!AE114</x:f>
        <x:v>19463.36961758964</x:v>
      </x:c>
      <x:c r="M114" s="80" t="n">
        <x:f>'Calc_Monthly'!U114</x:f>
        <x:v>0</x:v>
      </x:c>
      <x:c r="N114" s="80" t="n">
        <x:f>'Calc_Monthly'!AD114</x:f>
        <x:v>0</x:v>
      </x:c>
      <x:c r="O114" s="80" t="n">
        <x:f>'Calc_Monthly'!AF114</x:f>
        <x:v>0</x:v>
      </x:c>
    </x:row>
    <x:row r="115">
      <x:c r="A115" s="78" t="str">
        <x:f>'Calc_Monthly'!A115</x:f>
        <x:v>20|aggregate</x:v>
      </x:c>
      <x:c r="B115" s="78" t="str">
        <x:f>'Calc_Monthly'!B115</x:f>
        <x:v>20</x:v>
      </x:c>
      <x:c r="C115" s="78" t="str">
        <x:f>'Calc_Monthly'!C115</x:f>
        <x:v>Test building 4</x:v>
      </x:c>
      <x:c r="D115" s="78" t="str">
        <x:f>'Calc_Monthly'!D115</x:f>
        <x:v>aggregate</x:v>
      </x:c>
      <x:c r="E115" s="78" t="str">
        <x:f>'Calc_Monthly'!E115</x:f>
        <x:v>2023-06</x:v>
      </x:c>
      <x:c r="F115" s="80" t="n">
        <x:f>'Calc_Monthly'!H115</x:f>
        <x:v>20.758194444444445</x:v>
      </x:c>
      <x:c r="G115" s="80" t="n">
        <x:f>'Calc_Case'!J11</x:f>
        <x:v>20743.89353131882</x:v>
      </x:c>
      <x:c r="H115" s="80" t="n">
        <x:f>'Calc_Case'!M11</x:f>
        <x:v>29.738333624110936</x:v>
      </x:c>
      <x:c r="I115" s="80" t="n">
        <x:f>'Calc_Monthly'!K115</x:f>
        <x:v>55432.89097435897</x:v>
      </x:c>
      <x:c r="J115" s="80" t="n">
        <x:f>'Calc_Monthly'!Q115</x:f>
        <x:v>0</x:v>
      </x:c>
      <x:c r="K115" s="80" t="n">
        <x:f>'Calc_Monthly'!AC115</x:f>
        <x:v>0</x:v>
      </x:c>
      <x:c r="L115" s="80" t="n">
        <x:f>'Calc_Monthly'!AE115</x:f>
        <x:v>0</x:v>
      </x:c>
      <x:c r="M115" s="80" t="n">
        <x:f>'Calc_Monthly'!U115</x:f>
        <x:v>6484.88899683841</x:v>
      </x:c>
      <x:c r="N115" s="80" t="n">
        <x:f>'Calc_Monthly'!AD115</x:f>
        <x:v>7389.662960311731</x:v>
      </x:c>
      <x:c r="O115" s="80" t="n">
        <x:f>'Calc_Monthly'!AF115</x:f>
        <x:v>13874.55195715014</x:v>
      </x:c>
    </x:row>
    <x:row r="116">
      <x:c r="A116" s="78" t="str">
        <x:f>'Calc_Monthly'!A116</x:f>
        <x:v>20|aggregate</x:v>
      </x:c>
      <x:c r="B116" s="78" t="str">
        <x:f>'Calc_Monthly'!B116</x:f>
        <x:v>20</x:v>
      </x:c>
      <x:c r="C116" s="78" t="str">
        <x:f>'Calc_Monthly'!C116</x:f>
        <x:v>Test building 4</x:v>
      </x:c>
      <x:c r="D116" s="78" t="str">
        <x:f>'Calc_Monthly'!D116</x:f>
        <x:v>aggregate</x:v>
      </x:c>
      <x:c r="E116" s="78" t="str">
        <x:f>'Calc_Monthly'!E116</x:f>
        <x:v>2023-07</x:v>
      </x:c>
      <x:c r="F116" s="80" t="n">
        <x:f>'Calc_Monthly'!H116</x:f>
        <x:v>23.824193548387097</x:v>
      </x:c>
      <x:c r="G116" s="80" t="n">
        <x:f>'Calc_Case'!J11</x:f>
        <x:v>20743.89353131882</x:v>
      </x:c>
      <x:c r="H116" s="80" t="n">
        <x:f>'Calc_Case'!M11</x:f>
        <x:v>29.738333624110936</x:v>
      </x:c>
      <x:c r="I116" s="80" t="n">
        <x:f>'Calc_Monthly'!K116</x:f>
        <x:v>59167.083757919594</x:v>
      </x:c>
      <x:c r="J116" s="80" t="n">
        <x:f>'Calc_Monthly'!Q116</x:f>
        <x:v>0</x:v>
      </x:c>
      <x:c r="K116" s="80" t="n">
        <x:f>'Calc_Monthly'!AC116</x:f>
        <x:v>0</x:v>
      </x:c>
      <x:c r="L116" s="80" t="n">
        <x:f>'Calc_Monthly'!AE116</x:f>
        <x:v>0</x:v>
      </x:c>
      <x:c r="M116" s="80" t="n">
        <x:f>'Calc_Monthly'!U116</x:f>
        <x:v>18017.89712021516</x:v>
      </x:c>
      <x:c r="N116" s="80" t="n">
        <x:f>'Calc_Monthly'!AD116</x:f>
        <x:v>18003.52599691668</x:v>
      </x:c>
      <x:c r="O116" s="80" t="n">
        <x:f>'Calc_Monthly'!AF116</x:f>
        <x:v>36021.42311713184</x:v>
      </x:c>
    </x:row>
    <x:row r="117">
      <x:c r="A117" s="78" t="str">
        <x:f>'Calc_Monthly'!A117</x:f>
        <x:v>20|aggregate</x:v>
      </x:c>
      <x:c r="B117" s="78" t="str">
        <x:f>'Calc_Monthly'!B117</x:f>
        <x:v>20</x:v>
      </x:c>
      <x:c r="C117" s="78" t="str">
        <x:f>'Calc_Monthly'!C117</x:f>
        <x:v>Test building 4</x:v>
      </x:c>
      <x:c r="D117" s="78" t="str">
        <x:f>'Calc_Monthly'!D117</x:f>
        <x:v>aggregate</x:v>
      </x:c>
      <x:c r="E117" s="78" t="str">
        <x:f>'Calc_Monthly'!E117</x:f>
        <x:v>2023-08</x:v>
      </x:c>
      <x:c r="F117" s="80" t="n">
        <x:f>'Calc_Monthly'!H117</x:f>
        <x:v>22.74717741935484</x:v>
      </x:c>
      <x:c r="G117" s="80" t="n">
        <x:f>'Calc_Case'!J11</x:f>
        <x:v>20743.89353131882</x:v>
      </x:c>
      <x:c r="H117" s="80" t="n">
        <x:f>'Calc_Case'!M11</x:f>
        <x:v>29.738333624110936</x:v>
      </x:c>
      <x:c r="I117" s="80" t="n">
        <x:f>'Calc_Monthly'!K117</x:f>
        <x:v>52859.75275880799</x:v>
      </x:c>
      <x:c r="J117" s="80" t="n">
        <x:f>'Calc_Monthly'!Q117</x:f>
        <x:v>0</x:v>
      </x:c>
      <x:c r="K117" s="80" t="n">
        <x:f>'Calc_Monthly'!AC117</x:f>
        <x:v>0</x:v>
      </x:c>
      <x:c r="L117" s="80" t="n">
        <x:f>'Calc_Monthly'!AE117</x:f>
        <x:v>0</x:v>
      </x:c>
      <x:c r="M117" s="80" t="n">
        <x:f>'Calc_Monthly'!U117</x:f>
        <x:v>9610.044539255789</x:v>
      </x:c>
      <x:c r="N117" s="80" t="n">
        <x:f>'Calc_Monthly'!AD117</x:f>
        <x:v>14361.643390300173</x:v>
      </x:c>
      <x:c r="O117" s="80" t="n">
        <x:f>'Calc_Monthly'!AF117</x:f>
        <x:v>23971.687929555963</x:v>
      </x:c>
    </x:row>
    <x:row r="118">
      <x:c r="A118" s="78" t="str">
        <x:f>'Calc_Monthly'!A118</x:f>
        <x:v>20|aggregate</x:v>
      </x:c>
      <x:c r="B118" s="78" t="str">
        <x:f>'Calc_Monthly'!B118</x:f>
        <x:v>20</x:v>
      </x:c>
      <x:c r="C118" s="78" t="str">
        <x:f>'Calc_Monthly'!C118</x:f>
        <x:v>Test building 4</x:v>
      </x:c>
      <x:c r="D118" s="78" t="str">
        <x:f>'Calc_Monthly'!D118</x:f>
        <x:v>aggregate</x:v>
      </x:c>
      <x:c r="E118" s="78" t="str">
        <x:f>'Calc_Monthly'!E118</x:f>
        <x:v>2023-09</x:v>
      </x:c>
      <x:c r="F118" s="80" t="n">
        <x:f>'Calc_Monthly'!H118</x:f>
        <x:v>19.61638888888889</x:v>
      </x:c>
      <x:c r="G118" s="80" t="n">
        <x:f>'Calc_Case'!J11</x:f>
        <x:v>20743.89353131882</x:v>
      </x:c>
      <x:c r="H118" s="80" t="n">
        <x:f>'Calc_Case'!M11</x:f>
        <x:v>29.738333624110936</x:v>
      </x:c>
      <x:c r="I118" s="80" t="n">
        <x:f>'Calc_Monthly'!K118</x:f>
        <x:v>40656.12120608196</x:v>
      </x:c>
      <x:c r="J118" s="80" t="n">
        <x:f>'Calc_Monthly'!Q118</x:f>
        <x:v>0</x:v>
      </x:c>
      <x:c r="K118" s="80" t="n">
        <x:f>'Calc_Monthly'!AC118</x:f>
        <x:v>0</x:v>
      </x:c>
      <x:c r="L118" s="80" t="n">
        <x:f>'Calc_Monthly'!AE118</x:f>
        <x:v>0</x:v>
      </x:c>
      <x:c r="M118" s="80" t="n">
        <x:f>'Calc_Monthly'!U118</x:f>
        <x:v>1735.68042385437</x:v>
      </x:c>
      <x:c r="N118" s="80" t="n">
        <x:f>'Calc_Monthly'!AD118</x:f>
        <x:v>3653.2450258309673</x:v>
      </x:c>
      <x:c r="O118" s="80" t="n">
        <x:f>'Calc_Monthly'!AF118</x:f>
        <x:v>5388.925449685337</x:v>
      </x:c>
    </x:row>
    <x:row r="119">
      <x:c r="A119" s="78" t="str">
        <x:f>'Calc_Monthly'!A119</x:f>
        <x:v>20|aggregate</x:v>
      </x:c>
      <x:c r="B119" s="78" t="str">
        <x:f>'Calc_Monthly'!B119</x:f>
        <x:v>20</x:v>
      </x:c>
      <x:c r="C119" s="78" t="str">
        <x:f>'Calc_Monthly'!C119</x:f>
        <x:v>Test building 4</x:v>
      </x:c>
      <x:c r="D119" s="78" t="str">
        <x:f>'Calc_Monthly'!D119</x:f>
        <x:v>aggregate</x:v>
      </x:c>
      <x:c r="E119" s="78" t="str">
        <x:f>'Calc_Monthly'!E119</x:f>
        <x:v>2023-10</x:v>
      </x:c>
      <x:c r="F119" s="80" t="n">
        <x:f>'Calc_Monthly'!H119</x:f>
        <x:v>13.926209677419354</x:v>
      </x:c>
      <x:c r="G119" s="80" t="n">
        <x:f>'Calc_Case'!J11</x:f>
        <x:v>20743.89353131882</x:v>
      </x:c>
      <x:c r="H119" s="80" t="n">
        <x:f>'Calc_Case'!M11</x:f>
        <x:v>29.738333624110936</x:v>
      </x:c>
      <x:c r="I119" s="80" t="n">
        <x:f>'Calc_Monthly'!K119</x:f>
        <x:v>28530.32427723219</x:v>
      </x:c>
      <x:c r="J119" s="80" t="n">
        <x:f>'Calc_Monthly'!Q119</x:f>
        <x:v>8685.269385136071</x:v>
      </x:c>
      <x:c r="K119" s="80" t="n">
        <x:f>'Calc_Monthly'!AC119</x:f>
        <x:v>34391.31598153814</x:v>
      </x:c>
      <x:c r="L119" s="80" t="n">
        <x:f>'Calc_Monthly'!AE119</x:f>
        <x:v>43076.585366674204</x:v>
      </x:c>
      <x:c r="M119" s="80" t="n">
        <x:f>'Calc_Monthly'!U119</x:f>
        <x:v>0</x:v>
      </x:c>
      <x:c r="N119" s="80" t="n">
        <x:f>'Calc_Monthly'!AD119</x:f>
        <x:v>0</x:v>
      </x:c>
      <x:c r="O119" s="80" t="n">
        <x:f>'Calc_Monthly'!AF119</x:f>
        <x:v>0</x:v>
      </x:c>
    </x:row>
    <x:row r="120">
      <x:c r="A120" s="78" t="str">
        <x:f>'Calc_Monthly'!A120</x:f>
        <x:v>20|aggregate</x:v>
      </x:c>
      <x:c r="B120" s="78" t="str">
        <x:f>'Calc_Monthly'!B120</x:f>
        <x:v>20</x:v>
      </x:c>
      <x:c r="C120" s="78" t="str">
        <x:f>'Calc_Monthly'!C120</x:f>
        <x:v>Test building 4</x:v>
      </x:c>
      <x:c r="D120" s="78" t="str">
        <x:f>'Calc_Monthly'!D120</x:f>
        <x:v>aggregate</x:v>
      </x:c>
      <x:c r="E120" s="78" t="str">
        <x:f>'Calc_Monthly'!E120</x:f>
        <x:v>2023-11</x:v>
      </x:c>
      <x:c r="F120" s="80" t="n">
        <x:f>'Calc_Monthly'!H120</x:f>
        <x:v>8.68388888888889</x:v>
      </x:c>
      <x:c r="G120" s="80" t="n">
        <x:f>'Calc_Case'!J11</x:f>
        <x:v>20743.89353131882</x:v>
      </x:c>
      <x:c r="H120" s="80" t="n">
        <x:f>'Calc_Case'!M11</x:f>
        <x:v>29.738333624110936</x:v>
      </x:c>
      <x:c r="I120" s="80" t="n">
        <x:f>'Calc_Monthly'!K120</x:f>
        <x:v>15387.97248757199</x:v>
      </x:c>
      <x:c r="J120" s="80" t="n">
        <x:f>'Calc_Monthly'!Q120</x:f>
        <x:v>100265.09685827924</x:v>
      </x:c>
      <x:c r="K120" s="80" t="n">
        <x:f>'Calc_Monthly'!AC120</x:f>
        <x:v>53392.4623854838</x:v>
      </x:c>
      <x:c r="L120" s="80" t="n">
        <x:f>'Calc_Monthly'!AE120</x:f>
        <x:v>153657.55924376304</x:v>
      </x:c>
      <x:c r="M120" s="80" t="n">
        <x:f>'Calc_Monthly'!U120</x:f>
        <x:v>0</x:v>
      </x:c>
      <x:c r="N120" s="80" t="n">
        <x:f>'Calc_Monthly'!AD120</x:f>
        <x:v>0</x:v>
      </x:c>
      <x:c r="O120" s="80" t="n">
        <x:f>'Calc_Monthly'!AF120</x:f>
        <x:v>0</x:v>
      </x:c>
    </x:row>
    <x:row r="121">
      <x:c r="A121" s="78" t="str">
        <x:f>'Calc_Monthly'!A121</x:f>
        <x:v>20|aggregate</x:v>
      </x:c>
      <x:c r="B121" s="78" t="str">
        <x:f>'Calc_Monthly'!B121</x:f>
        <x:v>20</x:v>
      </x:c>
      <x:c r="C121" s="78" t="str">
        <x:f>'Calc_Monthly'!C121</x:f>
        <x:v>Test building 4</x:v>
      </x:c>
      <x:c r="D121" s="78" t="str">
        <x:f>'Calc_Monthly'!D121</x:f>
        <x:v>aggregate</x:v>
      </x:c>
      <x:c r="E121" s="78" t="str">
        <x:f>'Calc_Monthly'!E121</x:f>
        <x:v>2023-12</x:v>
      </x:c>
      <x:c r="F121" s="80" t="n">
        <x:f>'Calc_Monthly'!H121</x:f>
        <x:v>3.9963709677419357</x:v>
      </x:c>
      <x:c r="G121" s="80" t="n">
        <x:f>'Calc_Case'!J11</x:f>
        <x:v>20743.89353131882</x:v>
      </x:c>
      <x:c r="H121" s="80" t="n">
        <x:f>'Calc_Case'!M11</x:f>
        <x:v>29.738333624110936</x:v>
      </x:c>
      <x:c r="I121" s="80" t="n">
        <x:f>'Calc_Monthly'!K121</x:f>
        <x:v>13342.037364556018</x:v>
      </x:c>
      <x:c r="J121" s="80" t="n">
        <x:f>'Calc_Monthly'!Q121</x:f>
        <x:v>162632.05528640506</x:v>
      </x:c>
      <x:c r="K121" s="80" t="n">
        <x:f>'Calc_Monthly'!AC121</x:f>
        <x:v>71022.84653539785</x:v>
      </x:c>
      <x:c r="L121" s="80" t="n">
        <x:f>'Calc_Monthly'!AE121</x:f>
        <x:v>233654.9018218029</x:v>
      </x:c>
      <x:c r="M121" s="80" t="n">
        <x:f>'Calc_Monthly'!U121</x:f>
        <x:v>0</x:v>
      </x:c>
      <x:c r="N121" s="80" t="n">
        <x:f>'Calc_Monthly'!AD121</x:f>
        <x:v>0</x:v>
      </x:c>
      <x:c r="O121" s="80" t="n">
        <x:f>'Calc_Monthly'!AF121</x:f>
        <x:v>0</x:v>
      </x:c>
    </x:row>
    <x:row r="122">
      <x:c r="A122" s="78" t="str">
        <x:f>'Calc_Monthly'!A122</x:f>
        <x:v>20|lower</x:v>
      </x:c>
      <x:c r="B122" s="78" t="str">
        <x:f>'Calc_Monthly'!B122</x:f>
        <x:v>20</x:v>
      </x:c>
      <x:c r="C122" s="78" t="str">
        <x:f>'Calc_Monthly'!C122</x:f>
        <x:v>Test building 4</x:v>
      </x:c>
      <x:c r="D122" s="78" t="str">
        <x:f>'Calc_Monthly'!D122</x:f>
        <x:v>lower</x:v>
      </x:c>
      <x:c r="E122" s="78" t="str">
        <x:f>'Calc_Monthly'!E122</x:f>
        <x:v>2023-01</x:v>
      </x:c>
      <x:c r="F122" s="80" t="n">
        <x:f>'Calc_Monthly'!H122</x:f>
        <x:v>2.638440860215054</x:v>
      </x:c>
      <x:c r="G122" s="80" t="n">
        <x:f>'Calc_Case'!J12</x:f>
        <x:v>5192.5837426582</x:v>
      </x:c>
      <x:c r="H122" s="80" t="n">
        <x:f>'Calc_Case'!M12</x:f>
        <x:v>23.400374696120192</x:v>
      </x:c>
      <x:c r="I122" s="80" t="n">
        <x:f>'Calc_Monthly'!K122</x:f>
        <x:v>2323.171248626485</x:v>
      </x:c>
      <x:c r="J122" s="80" t="n">
        <x:f>'Calc_Monthly'!Q122</x:f>
        <x:v>64749.84216938936</x:v>
      </x:c>
      <x:c r="K122" s="80" t="n">
        <x:f>'Calc_Monthly'!AC122</x:f>
        <x:v>0</x:v>
      </x:c>
      <x:c r="L122" s="80" t="n">
        <x:f>'Calc_Monthly'!AE122</x:f>
        <x:v>64749.84216938936</x:v>
      </x:c>
      <x:c r="M122" s="80" t="n">
        <x:f>'Calc_Monthly'!U122</x:f>
        <x:v>0</x:v>
      </x:c>
      <x:c r="N122" s="80" t="n">
        <x:f>'Calc_Monthly'!AD122</x:f>
        <x:v>0</x:v>
      </x:c>
      <x:c r="O122" s="80" t="n">
        <x:f>'Calc_Monthly'!AF122</x:f>
        <x:v>0</x:v>
      </x:c>
    </x:row>
    <x:row r="123">
      <x:c r="A123" s="78" t="str">
        <x:f>'Calc_Monthly'!A123</x:f>
        <x:v>20|lower</x:v>
      </x:c>
      <x:c r="B123" s="78" t="str">
        <x:f>'Calc_Monthly'!B123</x:f>
        <x:v>20</x:v>
      </x:c>
      <x:c r="C123" s="78" t="str">
        <x:f>'Calc_Monthly'!C123</x:f>
        <x:v>Test building 4</x:v>
      </x:c>
      <x:c r="D123" s="78" t="str">
        <x:f>'Calc_Monthly'!D123</x:f>
        <x:v>lower</x:v>
      </x:c>
      <x:c r="E123" s="78" t="str">
        <x:f>'Calc_Monthly'!E123</x:f>
        <x:v>2023-02</x:v>
      </x:c>
      <x:c r="F123" s="80" t="n">
        <x:f>'Calc_Monthly'!H123</x:f>
        <x:v>3.8903273809523813</x:v>
      </x:c>
      <x:c r="G123" s="80" t="n">
        <x:f>'Calc_Case'!J12</x:f>
        <x:v>5192.5837426582</x:v>
      </x:c>
      <x:c r="H123" s="80" t="n">
        <x:f>'Calc_Case'!M12</x:f>
        <x:v>23.400374696120192</x:v>
      </x:c>
      <x:c r="I123" s="80" t="n">
        <x:f>'Calc_Monthly'!K123</x:f>
        <x:v>2502.9082421327284</x:v>
      </x:c>
      <x:c r="J123" s="80" t="n">
        <x:f>'Calc_Monthly'!Q123</x:f>
        <x:v>53711.2755596481</x:v>
      </x:c>
      <x:c r="K123" s="80" t="n">
        <x:f>'Calc_Monthly'!AC123</x:f>
        <x:v>0</x:v>
      </x:c>
      <x:c r="L123" s="80" t="n">
        <x:f>'Calc_Monthly'!AE123</x:f>
        <x:v>53711.2755596481</x:v>
      </x:c>
      <x:c r="M123" s="80" t="n">
        <x:f>'Calc_Monthly'!U123</x:f>
        <x:v>0</x:v>
      </x:c>
      <x:c r="N123" s="80" t="n">
        <x:f>'Calc_Monthly'!AD123</x:f>
        <x:v>0</x:v>
      </x:c>
      <x:c r="O123" s="80" t="n">
        <x:f>'Calc_Monthly'!AF123</x:f>
        <x:v>0</x:v>
      </x:c>
    </x:row>
    <x:row r="124">
      <x:c r="A124" s="78" t="str">
        <x:f>'Calc_Monthly'!A124</x:f>
        <x:v>20|lower</x:v>
      </x:c>
      <x:c r="B124" s="78" t="str">
        <x:f>'Calc_Monthly'!B124</x:f>
        <x:v>20</x:v>
      </x:c>
      <x:c r="C124" s="78" t="str">
        <x:f>'Calc_Monthly'!C124</x:f>
        <x:v>Test building 4</x:v>
      </x:c>
      <x:c r="D124" s="78" t="str">
        <x:f>'Calc_Monthly'!D124</x:f>
        <x:v>lower</x:v>
      </x:c>
      <x:c r="E124" s="78" t="str">
        <x:f>'Calc_Monthly'!E124</x:f>
        <x:v>2023-03</x:v>
      </x:c>
      <x:c r="F124" s="80" t="n">
        <x:f>'Calc_Monthly'!H124</x:f>
        <x:v>7.746908602150539</x:v>
      </x:c>
      <x:c r="G124" s="80" t="n">
        <x:f>'Calc_Case'!J12</x:f>
        <x:v>5192.5837426582</x:v>
      </x:c>
      <x:c r="H124" s="80" t="n">
        <x:f>'Calc_Case'!M12</x:f>
        <x:v>23.400374696120192</x:v>
      </x:c>
      <x:c r="I124" s="80" t="n">
        <x:f>'Calc_Monthly'!K124</x:f>
        <x:v>4312.776147085677</x:v>
      </x:c>
      <x:c r="J124" s="80" t="n">
        <x:f>'Calc_Monthly'!Q124</x:f>
        <x:v>43032.88228266131</x:v>
      </x:c>
      <x:c r="K124" s="80" t="n">
        <x:f>'Calc_Monthly'!AC124</x:f>
        <x:v>0</x:v>
      </x:c>
      <x:c r="L124" s="80" t="n">
        <x:f>'Calc_Monthly'!AE124</x:f>
        <x:v>43032.88228266131</x:v>
      </x:c>
      <x:c r="M124" s="80" t="n">
        <x:f>'Calc_Monthly'!U124</x:f>
        <x:v>0</x:v>
      </x:c>
      <x:c r="N124" s="80" t="n">
        <x:f>'Calc_Monthly'!AD124</x:f>
        <x:v>0</x:v>
      </x:c>
      <x:c r="O124" s="80" t="n">
        <x:f>'Calc_Monthly'!AF124</x:f>
        <x:v>0</x:v>
      </x:c>
    </x:row>
    <x:row r="125">
      <x:c r="A125" s="78" t="str">
        <x:f>'Calc_Monthly'!A125</x:f>
        <x:v>20|lower</x:v>
      </x:c>
      <x:c r="B125" s="78" t="str">
        <x:f>'Calc_Monthly'!B125</x:f>
        <x:v>20</x:v>
      </x:c>
      <x:c r="C125" s="78" t="str">
        <x:f>'Calc_Monthly'!C125</x:f>
        <x:v>Test building 4</x:v>
      </x:c>
      <x:c r="D125" s="78" t="str">
        <x:f>'Calc_Monthly'!D125</x:f>
        <x:v>lower</x:v>
      </x:c>
      <x:c r="E125" s="78" t="str">
        <x:f>'Calc_Monthly'!E125</x:f>
        <x:v>2023-04</x:v>
      </x:c>
      <x:c r="F125" s="80" t="n">
        <x:f>'Calc_Monthly'!H125</x:f>
        <x:v>12.03041666666667</x:v>
      </x:c>
      <x:c r="G125" s="80" t="n">
        <x:f>'Calc_Case'!J12</x:f>
        <x:v>5192.5837426582</x:v>
      </x:c>
      <x:c r="H125" s="80" t="n">
        <x:f>'Calc_Case'!M12</x:f>
        <x:v>23.400374696120192</x:v>
      </x:c>
      <x:c r="I125" s="80" t="n">
        <x:f>'Calc_Monthly'!K125</x:f>
        <x:v>5182.0132939335135</x:v>
      </x:c>
      <x:c r="J125" s="80" t="n">
        <x:f>'Calc_Monthly'!Q125</x:f>
        <x:v>24662.26493674647</x:v>
      </x:c>
      <x:c r="K125" s="80" t="n">
        <x:f>'Calc_Monthly'!AC125</x:f>
        <x:v>0</x:v>
      </x:c>
      <x:c r="L125" s="80" t="n">
        <x:f>'Calc_Monthly'!AE125</x:f>
        <x:v>24662.26493674647</x:v>
      </x:c>
      <x:c r="M125" s="80" t="n">
        <x:f>'Calc_Monthly'!U125</x:f>
        <x:v>0</x:v>
      </x:c>
      <x:c r="N125" s="80" t="n">
        <x:f>'Calc_Monthly'!AD125</x:f>
        <x:v>0</x:v>
      </x:c>
      <x:c r="O125" s="80" t="n">
        <x:f>'Calc_Monthly'!AF125</x:f>
        <x:v>0</x:v>
      </x:c>
    </x:row>
    <x:row r="126">
      <x:c r="A126" s="78" t="str">
        <x:f>'Calc_Monthly'!A126</x:f>
        <x:v>20|lower</x:v>
      </x:c>
      <x:c r="B126" s="78" t="str">
        <x:f>'Calc_Monthly'!B126</x:f>
        <x:v>20</x:v>
      </x:c>
      <x:c r="C126" s="78" t="str">
        <x:f>'Calc_Monthly'!C126</x:f>
        <x:v>Test building 4</x:v>
      </x:c>
      <x:c r="D126" s="78" t="str">
        <x:f>'Calc_Monthly'!D126</x:f>
        <x:v>lower</x:v>
      </x:c>
      <x:c r="E126" s="78" t="str">
        <x:f>'Calc_Monthly'!E126</x:f>
        <x:v>2023-05</x:v>
      </x:c>
      <x:c r="F126" s="80" t="n">
        <x:f>'Calc_Monthly'!H126</x:f>
        <x:v>17.244086021505375</x:v>
      </x:c>
      <x:c r="G126" s="80" t="n">
        <x:f>'Calc_Case'!J12</x:f>
        <x:v>5192.5837426582</x:v>
      </x:c>
      <x:c r="H126" s="80" t="n">
        <x:f>'Calc_Case'!M12</x:f>
        <x:v>23.400374696120192</x:v>
      </x:c>
      <x:c r="I126" s="80" t="n">
        <x:f>'Calc_Monthly'!K126</x:f>
        <x:v>6370.365020582506</x:v>
      </x:c>
      <x:c r="J126" s="80" t="n">
        <x:f>'Calc_Monthly'!Q126</x:f>
        <x:v>0</x:v>
      </x:c>
      <x:c r="K126" s="80" t="n">
        <x:f>'Calc_Monthly'!AC126</x:f>
        <x:v>0</x:v>
      </x:c>
      <x:c r="L126" s="80" t="n">
        <x:f>'Calc_Monthly'!AE126</x:f>
        <x:v>0</x:v>
      </x:c>
      <x:c r="M126" s="80" t="n">
        <x:f>'Calc_Monthly'!U126</x:f>
        <x:v>0</x:v>
      </x:c>
      <x:c r="N126" s="80" t="n">
        <x:f>'Calc_Monthly'!AD126</x:f>
        <x:v>0</x:v>
      </x:c>
      <x:c r="O126" s="80" t="n">
        <x:f>'Calc_Monthly'!AF126</x:f>
        <x:v>0</x:v>
      </x:c>
    </x:row>
    <x:row r="127">
      <x:c r="A127" s="78" t="str">
        <x:f>'Calc_Monthly'!A127</x:f>
        <x:v>20|lower</x:v>
      </x:c>
      <x:c r="B127" s="78" t="str">
        <x:f>'Calc_Monthly'!B127</x:f>
        <x:v>20</x:v>
      </x:c>
      <x:c r="C127" s="78" t="str">
        <x:f>'Calc_Monthly'!C127</x:f>
        <x:v>Test building 4</x:v>
      </x:c>
      <x:c r="D127" s="78" t="str">
        <x:f>'Calc_Monthly'!D127</x:f>
        <x:v>lower</x:v>
      </x:c>
      <x:c r="E127" s="78" t="str">
        <x:f>'Calc_Monthly'!E127</x:f>
        <x:v>2023-06</x:v>
      </x:c>
      <x:c r="F127" s="80" t="n">
        <x:f>'Calc_Monthly'!H127</x:f>
        <x:v>20.758194444444445</x:v>
      </x:c>
      <x:c r="G127" s="80" t="n">
        <x:f>'Calc_Case'!J12</x:f>
        <x:v>5192.5837426582</x:v>
      </x:c>
      <x:c r="H127" s="80" t="n">
        <x:f>'Calc_Case'!M12</x:f>
        <x:v>23.400374696120192</x:v>
      </x:c>
      <x:c r="I127" s="80" t="n">
        <x:f>'Calc_Monthly'!K127</x:f>
        <x:v>6416.263577003104</x:v>
      </x:c>
      <x:c r="J127" s="80" t="n">
        <x:f>'Calc_Monthly'!Q127</x:f>
        <x:v>0</x:v>
      </x:c>
      <x:c r="K127" s="80" t="n">
        <x:f>'Calc_Monthly'!AC127</x:f>
        <x:v>0</x:v>
      </x:c>
      <x:c r="L127" s="80" t="n">
        <x:f>'Calc_Monthly'!AE127</x:f>
        <x:v>0</x:v>
      </x:c>
      <x:c r="M127" s="80" t="n">
        <x:f>'Calc_Monthly'!U127</x:f>
        <x:v>252.27579625323324</x:v>
      </x:c>
      <x:c r="N127" s="80" t="n">
        <x:f>'Calc_Monthly'!AD127</x:f>
        <x:v>0</x:v>
      </x:c>
      <x:c r="O127" s="80" t="n">
        <x:f>'Calc_Monthly'!AF127</x:f>
        <x:v>252.27579625323324</x:v>
      </x:c>
    </x:row>
    <x:row r="128">
      <x:c r="A128" s="78" t="str">
        <x:f>'Calc_Monthly'!A128</x:f>
        <x:v>20|lower</x:v>
      </x:c>
      <x:c r="B128" s="78" t="str">
        <x:f>'Calc_Monthly'!B128</x:f>
        <x:v>20</x:v>
      </x:c>
      <x:c r="C128" s="78" t="str">
        <x:f>'Calc_Monthly'!C128</x:f>
        <x:v>Test building 4</x:v>
      </x:c>
      <x:c r="D128" s="78" t="str">
        <x:f>'Calc_Monthly'!D128</x:f>
        <x:v>lower</x:v>
      </x:c>
      <x:c r="E128" s="78" t="str">
        <x:f>'Calc_Monthly'!E128</x:f>
        <x:v>2023-07</x:v>
      </x:c>
      <x:c r="F128" s="80" t="n">
        <x:f>'Calc_Monthly'!H128</x:f>
        <x:v>23.824193548387097</x:v>
      </x:c>
      <x:c r="G128" s="80" t="n">
        <x:f>'Calc_Case'!J12</x:f>
        <x:v>5192.5837426582</x:v>
      </x:c>
      <x:c r="H128" s="80" t="n">
        <x:f>'Calc_Case'!M12</x:f>
        <x:v>23.400374696120192</x:v>
      </x:c>
      <x:c r="I128" s="80" t="n">
        <x:f>'Calc_Monthly'!K128</x:f>
        <x:v>6881.118627472436</x:v>
      </x:c>
      <x:c r="J128" s="80" t="n">
        <x:f>'Calc_Monthly'!Q128</x:f>
        <x:v>0</x:v>
      </x:c>
      <x:c r="K128" s="80" t="n">
        <x:f>'Calc_Monthly'!AC128</x:f>
        <x:v>0</x:v>
      </x:c>
      <x:c r="L128" s="80" t="n">
        <x:f>'Calc_Monthly'!AE128</x:f>
        <x:v>0</x:v>
      </x:c>
      <x:c r="M128" s="80" t="n">
        <x:f>'Calc_Monthly'!U128</x:f>
        <x:v>1467.3287185025301</x:v>
      </x:c>
      <x:c r="N128" s="80" t="n">
        <x:f>'Calc_Monthly'!AD128</x:f>
        <x:v>0</x:v>
      </x:c>
      <x:c r="O128" s="80" t="n">
        <x:f>'Calc_Monthly'!AF128</x:f>
        <x:v>1467.3287185025301</x:v>
      </x:c>
    </x:row>
    <x:row r="129">
      <x:c r="A129" s="78" t="str">
        <x:f>'Calc_Monthly'!A129</x:f>
        <x:v>20|lower</x:v>
      </x:c>
      <x:c r="B129" s="78" t="str">
        <x:f>'Calc_Monthly'!B129</x:f>
        <x:v>20</x:v>
      </x:c>
      <x:c r="C129" s="78" t="str">
        <x:f>'Calc_Monthly'!C129</x:f>
        <x:v>Test building 4</x:v>
      </x:c>
      <x:c r="D129" s="78" t="str">
        <x:f>'Calc_Monthly'!D129</x:f>
        <x:v>lower</x:v>
      </x:c>
      <x:c r="E129" s="78" t="str">
        <x:f>'Calc_Monthly'!E129</x:f>
        <x:v>2023-08</x:v>
      </x:c>
      <x:c r="F129" s="80" t="n">
        <x:f>'Calc_Monthly'!H129</x:f>
        <x:v>22.74717741935484</x:v>
      </x:c>
      <x:c r="G129" s="80" t="n">
        <x:f>'Calc_Case'!J12</x:f>
        <x:v>5192.5837426582</x:v>
      </x:c>
      <x:c r="H129" s="80" t="n">
        <x:f>'Calc_Case'!M12</x:f>
        <x:v>23.400374696120192</x:v>
      </x:c>
      <x:c r="I129" s="80" t="n">
        <x:f>'Calc_Monthly'!K129</x:f>
        <x:v>6225.501952210873</x:v>
      </x:c>
      <x:c r="J129" s="80" t="n">
        <x:f>'Calc_Monthly'!Q129</x:f>
        <x:v>0</x:v>
      </x:c>
      <x:c r="K129" s="80" t="n">
        <x:f>'Calc_Monthly'!AC129</x:f>
        <x:v>0</x:v>
      </x:c>
      <x:c r="L129" s="80" t="n">
        <x:f>'Calc_Monthly'!AE129</x:f>
        <x:v>0</x:v>
      </x:c>
      <x:c r="M129" s="80" t="n">
        <x:f>'Calc_Monthly'!U129</x:f>
        <x:v>566.7368487847316</x:v>
      </x:c>
      <x:c r="N129" s="80" t="n">
        <x:f>'Calc_Monthly'!AD129</x:f>
        <x:v>0</x:v>
      </x:c>
      <x:c r="O129" s="80" t="n">
        <x:f>'Calc_Monthly'!AF129</x:f>
        <x:v>566.7368487847316</x:v>
      </x:c>
    </x:row>
    <x:row r="130">
      <x:c r="A130" s="78" t="str">
        <x:f>'Calc_Monthly'!A130</x:f>
        <x:v>20|lower</x:v>
      </x:c>
      <x:c r="B130" s="78" t="str">
        <x:f>'Calc_Monthly'!B130</x:f>
        <x:v>20</x:v>
      </x:c>
      <x:c r="C130" s="78" t="str">
        <x:f>'Calc_Monthly'!C130</x:f>
        <x:v>Test building 4</x:v>
      </x:c>
      <x:c r="D130" s="78" t="str">
        <x:f>'Calc_Monthly'!D130</x:f>
        <x:v>lower</x:v>
      </x:c>
      <x:c r="E130" s="78" t="str">
        <x:f>'Calc_Monthly'!E130</x:f>
        <x:v>2023-09</x:v>
      </x:c>
      <x:c r="F130" s="80" t="n">
        <x:f>'Calc_Monthly'!H130</x:f>
        <x:v>19.61638888888889</x:v>
      </x:c>
      <x:c r="G130" s="80" t="n">
        <x:f>'Calc_Case'!J12</x:f>
        <x:v>5192.5837426582</x:v>
      </x:c>
      <x:c r="H130" s="80" t="n">
        <x:f>'Calc_Case'!M12</x:f>
        <x:v>23.400374696120192</x:v>
      </x:c>
      <x:c r="I130" s="80" t="n">
        <x:f>'Calc_Monthly'!K130</x:f>
        <x:v>4998.6991786064455</x:v>
      </x:c>
      <x:c r="J130" s="80" t="n">
        <x:f>'Calc_Monthly'!Q130</x:f>
        <x:v>0</x:v>
      </x:c>
      <x:c r="K130" s="80" t="n">
        <x:f>'Calc_Monthly'!AC130</x:f>
        <x:v>0</x:v>
      </x:c>
      <x:c r="L130" s="80" t="n">
        <x:f>'Calc_Monthly'!AE130</x:f>
        <x:v>0</x:v>
      </x:c>
      <x:c r="M130" s="80" t="n">
        <x:f>'Calc_Monthly'!U130</x:f>
        <x:v>72.5082859971435</x:v>
      </x:c>
      <x:c r="N130" s="80" t="n">
        <x:f>'Calc_Monthly'!AD130</x:f>
        <x:v>0</x:v>
      </x:c>
      <x:c r="O130" s="80" t="n">
        <x:f>'Calc_Monthly'!AF130</x:f>
        <x:v>72.5082859971435</x:v>
      </x:c>
    </x:row>
    <x:row r="131">
      <x:c r="A131" s="78" t="str">
        <x:f>'Calc_Monthly'!A131</x:f>
        <x:v>20|lower</x:v>
      </x:c>
      <x:c r="B131" s="78" t="str">
        <x:f>'Calc_Monthly'!B131</x:f>
        <x:v>20</x:v>
      </x:c>
      <x:c r="C131" s="78" t="str">
        <x:f>'Calc_Monthly'!C131</x:f>
        <x:v>Test building 4</x:v>
      </x:c>
      <x:c r="D131" s="78" t="str">
        <x:f>'Calc_Monthly'!D131</x:f>
        <x:v>lower</x:v>
      </x:c>
      <x:c r="E131" s="78" t="str">
        <x:f>'Calc_Monthly'!E131</x:f>
        <x:v>2023-10</x:v>
      </x:c>
      <x:c r="F131" s="80" t="n">
        <x:f>'Calc_Monthly'!H131</x:f>
        <x:v>13.926209677419354</x:v>
      </x:c>
      <x:c r="G131" s="80" t="n">
        <x:f>'Calc_Case'!J12</x:f>
        <x:v>5192.5837426582</x:v>
      </x:c>
      <x:c r="H131" s="80" t="n">
        <x:f>'Calc_Case'!M12</x:f>
        <x:v>23.400374696120192</x:v>
      </x:c>
      <x:c r="I131" s="80" t="n">
        <x:f>'Calc_Monthly'!K131</x:f>
        <x:v>3764.849505645782</x:v>
      </x:c>
      <x:c r="J131" s="80" t="n">
        <x:f>'Calc_Monthly'!Q131</x:f>
        <x:v>9218.936095915104</x:v>
      </x:c>
      <x:c r="K131" s="80" t="n">
        <x:f>'Calc_Monthly'!AC131</x:f>
        <x:v>0</x:v>
      </x:c>
      <x:c r="L131" s="80" t="n">
        <x:f>'Calc_Monthly'!AE131</x:f>
        <x:v>9218.936095915104</x:v>
      </x:c>
      <x:c r="M131" s="80" t="n">
        <x:f>'Calc_Monthly'!U131</x:f>
        <x:v>0</x:v>
      </x:c>
      <x:c r="N131" s="80" t="n">
        <x:f>'Calc_Monthly'!AD131</x:f>
        <x:v>0</x:v>
      </x:c>
      <x:c r="O131" s="80" t="n">
        <x:f>'Calc_Monthly'!AF131</x:f>
        <x:v>0</x:v>
      </x:c>
    </x:row>
    <x:row r="132">
      <x:c r="A132" s="78" t="str">
        <x:f>'Calc_Monthly'!A132</x:f>
        <x:v>20|lower</x:v>
      </x:c>
      <x:c r="B132" s="78" t="str">
        <x:f>'Calc_Monthly'!B132</x:f>
        <x:v>20</x:v>
      </x:c>
      <x:c r="C132" s="78" t="str">
        <x:f>'Calc_Monthly'!C132</x:f>
        <x:v>Test building 4</x:v>
      </x:c>
      <x:c r="D132" s="78" t="str">
        <x:f>'Calc_Monthly'!D132</x:f>
        <x:v>lower</x:v>
      </x:c>
      <x:c r="E132" s="78" t="str">
        <x:f>'Calc_Monthly'!E132</x:f>
        <x:v>2023-11</x:v>
      </x:c>
      <x:c r="F132" s="80" t="n">
        <x:f>'Calc_Monthly'!H132</x:f>
        <x:v>8.68388888888889</x:v>
      </x:c>
      <x:c r="G132" s="80" t="n">
        <x:f>'Calc_Case'!J12</x:f>
        <x:v>5192.5837426582</x:v>
      </x:c>
      <x:c r="H132" s="80" t="n">
        <x:f>'Calc_Case'!M12</x:f>
        <x:v>23.400374696120192</x:v>
      </x:c>
      <x:c r="I132" s="80" t="n">
        <x:f>'Calc_Monthly'!K132</x:f>
        <x:v>2283.8253790738977</x:v>
      </x:c>
      <x:c r="J132" s="80" t="n">
        <x:f>'Calc_Monthly'!Q132</x:f>
        <x:v>40024.49765327423</x:v>
      </x:c>
      <x:c r="K132" s="80" t="n">
        <x:f>'Calc_Monthly'!AC132</x:f>
        <x:v>0</x:v>
      </x:c>
      <x:c r="L132" s="80" t="n">
        <x:f>'Calc_Monthly'!AE132</x:f>
        <x:v>40024.49765327423</x:v>
      </x:c>
      <x:c r="M132" s="80" t="n">
        <x:f>'Calc_Monthly'!U132</x:f>
        <x:v>0</x:v>
      </x:c>
      <x:c r="N132" s="80" t="n">
        <x:f>'Calc_Monthly'!AD132</x:f>
        <x:v>0</x:v>
      </x:c>
      <x:c r="O132" s="80" t="n">
        <x:f>'Calc_Monthly'!AF132</x:f>
        <x:v>0</x:v>
      </x:c>
    </x:row>
    <x:row r="133">
      <x:c r="A133" s="78" t="str">
        <x:f>'Calc_Monthly'!A133</x:f>
        <x:v>20|lower</x:v>
      </x:c>
      <x:c r="B133" s="78" t="str">
        <x:f>'Calc_Monthly'!B133</x:f>
        <x:v>20</x:v>
      </x:c>
      <x:c r="C133" s="78" t="str">
        <x:f>'Calc_Monthly'!C133</x:f>
        <x:v>Test building 4</x:v>
      </x:c>
      <x:c r="D133" s="78" t="str">
        <x:f>'Calc_Monthly'!D133</x:f>
        <x:v>lower</x:v>
      </x:c>
      <x:c r="E133" s="78" t="str">
        <x:f>'Calc_Monthly'!E133</x:f>
        <x:v>2023-12</x:v>
      </x:c>
      <x:c r="F133" s="80" t="n">
        <x:f>'Calc_Monthly'!H133</x:f>
        <x:v>3.9963709677419357</x:v>
      </x:c>
      <x:c r="G133" s="80" t="n">
        <x:f>'Calc_Case'!J12</x:f>
        <x:v>5192.5837426582</x:v>
      </x:c>
      <x:c r="H133" s="80" t="n">
        <x:f>'Calc_Case'!M12</x:f>
        <x:v>23.400374696120192</x:v>
      </x:c>
      <x:c r="I133" s="80" t="n">
        <x:f>'Calc_Monthly'!K133</x:f>
        <x:v>2133.1908357349216</x:v>
      </x:c>
      <x:c r="J133" s="80" t="n">
        <x:f>'Calc_Monthly'!Q133</x:f>
        <x:v>59693.7181091042</x:v>
      </x:c>
      <x:c r="K133" s="80" t="n">
        <x:f>'Calc_Monthly'!AC133</x:f>
        <x:v>0</x:v>
      </x:c>
      <x:c r="L133" s="80" t="n">
        <x:f>'Calc_Monthly'!AE133</x:f>
        <x:v>59693.7181091042</x:v>
      </x:c>
      <x:c r="M133" s="80" t="n">
        <x:f>'Calc_Monthly'!U133</x:f>
        <x:v>0</x:v>
      </x:c>
      <x:c r="N133" s="80" t="n">
        <x:f>'Calc_Monthly'!AD133</x:f>
        <x:v>0</x:v>
      </x:c>
      <x:c r="O133" s="80" t="n">
        <x:f>'Calc_Monthly'!AF133</x:f>
        <x:v>0</x:v>
      </x:c>
    </x:row>
    <x:row r="134">
      <x:c r="A134" s="78" t="str">
        <x:f>'Calc_Monthly'!A134</x:f>
        <x:v>20|upper</x:v>
      </x:c>
      <x:c r="B134" s="78" t="str">
        <x:f>'Calc_Monthly'!B134</x:f>
        <x:v>20</x:v>
      </x:c>
      <x:c r="C134" s="78" t="str">
        <x:f>'Calc_Monthly'!C134</x:f>
        <x:v>Test building 4</x:v>
      </x:c>
      <x:c r="D134" s="78" t="str">
        <x:f>'Calc_Monthly'!D134</x:f>
        <x:v>upper</x:v>
      </x:c>
      <x:c r="E134" s="78" t="str">
        <x:f>'Calc_Monthly'!E134</x:f>
        <x:v>2023-01</x:v>
      </x:c>
      <x:c r="F134" s="80" t="n">
        <x:f>'Calc_Monthly'!H134</x:f>
        <x:v>2.638440860215054</x:v>
      </x:c>
      <x:c r="G134" s="80" t="n">
        <x:f>'Calc_Case'!J13</x:f>
        <x:v>15551.309788660623</x:v>
      </x:c>
      <x:c r="H134" s="80" t="n">
        <x:f>'Calc_Case'!M13</x:f>
        <x:v>34.70947016815298</x:v>
      </x:c>
      <x:c r="I134" s="80" t="n">
        <x:f>'Calc_Monthly'!K134</x:f>
        <x:v>12966.489293779214</x:v>
      </x:c>
      <x:c r="J134" s="80" t="n">
        <x:f>'Calc_Monthly'!Q134</x:f>
        <x:v>112301.47814443386</x:v>
      </x:c>
      <x:c r="K134" s="80" t="n">
        <x:f>'Calc_Monthly'!AC134</x:f>
        <x:v>75614.62738834265</x:v>
      </x:c>
      <x:c r="L134" s="80" t="n">
        <x:f>'Calc_Monthly'!AE134</x:f>
        <x:v>187916.1055327765</x:v>
      </x:c>
      <x:c r="M134" s="80" t="n">
        <x:f>'Calc_Monthly'!U134</x:f>
        <x:v>0</x:v>
      </x:c>
      <x:c r="N134" s="80" t="n">
        <x:f>'Calc_Monthly'!AD134</x:f>
        <x:v>0</x:v>
      </x:c>
      <x:c r="O134" s="80" t="n">
        <x:f>'Calc_Monthly'!AF134</x:f>
        <x:v>0</x:v>
      </x:c>
    </x:row>
    <x:row r="135">
      <x:c r="A135" s="78" t="str">
        <x:f>'Calc_Monthly'!A135</x:f>
        <x:v>20|upper</x:v>
      </x:c>
      <x:c r="B135" s="78" t="str">
        <x:f>'Calc_Monthly'!B135</x:f>
        <x:v>20</x:v>
      </x:c>
      <x:c r="C135" s="78" t="str">
        <x:f>'Calc_Monthly'!C135</x:f>
        <x:v>Test building 4</x:v>
      </x:c>
      <x:c r="D135" s="78" t="str">
        <x:f>'Calc_Monthly'!D135</x:f>
        <x:v>upper</x:v>
      </x:c>
      <x:c r="E135" s="78" t="str">
        <x:f>'Calc_Monthly'!E135</x:f>
        <x:v>2023-02</x:v>
      </x:c>
      <x:c r="F135" s="80" t="n">
        <x:f>'Calc_Monthly'!H135</x:f>
        <x:v>3.8903273809523813</x:v>
      </x:c>
      <x:c r="G135" s="80" t="n">
        <x:f>'Calc_Case'!J13</x:f>
        <x:v>15551.309788660623</x:v>
      </x:c>
      <x:c r="H135" s="80" t="n">
        <x:f>'Calc_Case'!M13</x:f>
        <x:v>34.70947016815298</x:v>
      </x:c>
      <x:c r="I135" s="80" t="n">
        <x:f>'Calc_Monthly'!K135</x:f>
        <x:v>15033.364098970782</x:v>
      </x:c>
      <x:c r="J135" s="80" t="n">
        <x:f>'Calc_Monthly'!Q135</x:f>
        <x:v>88868.14795254123</x:v>
      </x:c>
      <x:c r="K135" s="80" t="n">
        <x:f>'Calc_Monthly'!AC135</x:f>
        <x:v>64473.54810018708</x:v>
      </x:c>
      <x:c r="L135" s="80" t="n">
        <x:f>'Calc_Monthly'!AE135</x:f>
        <x:v>153341.6960527283</x:v>
      </x:c>
      <x:c r="M135" s="80" t="n">
        <x:f>'Calc_Monthly'!U135</x:f>
        <x:v>0</x:v>
      </x:c>
      <x:c r="N135" s="80" t="n">
        <x:f>'Calc_Monthly'!AD135</x:f>
        <x:v>0</x:v>
      </x:c>
      <x:c r="O135" s="80" t="n">
        <x:f>'Calc_Monthly'!AF135</x:f>
        <x:v>0</x:v>
      </x:c>
    </x:row>
    <x:row r="136">
      <x:c r="A136" s="78" t="str">
        <x:f>'Calc_Monthly'!A136</x:f>
        <x:v>20|upper</x:v>
      </x:c>
      <x:c r="B136" s="78" t="str">
        <x:f>'Calc_Monthly'!B136</x:f>
        <x:v>20</x:v>
      </x:c>
      <x:c r="C136" s="78" t="str">
        <x:f>'Calc_Monthly'!C136</x:f>
        <x:v>Test building 4</x:v>
      </x:c>
      <x:c r="D136" s="78" t="str">
        <x:f>'Calc_Monthly'!D136</x:f>
        <x:v>upper</x:v>
      </x:c>
      <x:c r="E136" s="78" t="str">
        <x:f>'Calc_Monthly'!E136</x:f>
        <x:v>2023-03</x:v>
      </x:c>
      <x:c r="F136" s="80" t="n">
        <x:f>'Calc_Monthly'!H136</x:f>
        <x:v>7.746908602150539</x:v>
      </x:c>
      <x:c r="G136" s="80" t="n">
        <x:f>'Calc_Case'!J13</x:f>
        <x:v>15551.309788660623</x:v>
      </x:c>
      <x:c r="H136" s="80" t="n">
        <x:f>'Calc_Case'!M13</x:f>
        <x:v>34.70947016815298</x:v>
      </x:c>
      <x:c r="I136" s="80" t="n">
        <x:f>'Calc_Monthly'!K136</x:f>
        <x:v>29892.605272595345</x:v>
      </x:c>
      <x:c r="J136" s="80" t="n">
        <x:f>'Calc_Monthly'!Q136</x:f>
        <x:v>54184.21031375704</x:v>
      </x:c>
      <x:c r="K136" s="80" t="n">
        <x:f>'Calc_Monthly'!AC136</x:f>
        <x:v>58340.568704993864</x:v>
      </x:c>
      <x:c r="L136" s="80" t="n">
        <x:f>'Calc_Monthly'!AE136</x:f>
        <x:v>112524.77901875091</x:v>
      </x:c>
      <x:c r="M136" s="80" t="n">
        <x:f>'Calc_Monthly'!U136</x:f>
        <x:v>0</x:v>
      </x:c>
      <x:c r="N136" s="80" t="n">
        <x:f>'Calc_Monthly'!AD136</x:f>
        <x:v>0</x:v>
      </x:c>
      <x:c r="O136" s="80" t="n">
        <x:f>'Calc_Monthly'!AF136</x:f>
        <x:v>0</x:v>
      </x:c>
    </x:row>
    <x:row r="137">
      <x:c r="A137" s="78" t="str">
        <x:f>'Calc_Monthly'!A137</x:f>
        <x:v>20|upper</x:v>
      </x:c>
      <x:c r="B137" s="78" t="str">
        <x:f>'Calc_Monthly'!B137</x:f>
        <x:v>20</x:v>
      </x:c>
      <x:c r="C137" s="78" t="str">
        <x:f>'Calc_Monthly'!C137</x:f>
        <x:v>Test building 4</x:v>
      </x:c>
      <x:c r="D137" s="78" t="str">
        <x:f>'Calc_Monthly'!D137</x:f>
        <x:v>upper</x:v>
      </x:c>
      <x:c r="E137" s="78" t="str">
        <x:f>'Calc_Monthly'!E137</x:f>
        <x:v>2023-04</x:v>
      </x:c>
      <x:c r="F137" s="80" t="n">
        <x:f>'Calc_Monthly'!H137</x:f>
        <x:v>12.03041666666667</x:v>
      </x:c>
      <x:c r="G137" s="80" t="n">
        <x:f>'Calc_Case'!J13</x:f>
        <x:v>15551.309788660623</x:v>
      </x:c>
      <x:c r="H137" s="80" t="n">
        <x:f>'Calc_Case'!M13</x:f>
        <x:v>34.70947016815298</x:v>
      </x:c>
      <x:c r="I137" s="80" t="n">
        <x:f>'Calc_Monthly'!K137</x:f>
        <x:v>37152.04158946588</x:v>
      </x:c>
      <x:c r="J137" s="80" t="n">
        <x:f>'Calc_Monthly'!Q137</x:f>
        <x:v>15294.20136519007</x:v>
      </x:c>
      <x:c r="K137" s="80" t="n">
        <x:f>'Calc_Monthly'!AC137</x:f>
        <x:v>42441.36274659389</x:v>
      </x:c>
      <x:c r="L137" s="80" t="n">
        <x:f>'Calc_Monthly'!AE137</x:f>
        <x:v>57735.56411178396</x:v>
      </x:c>
      <x:c r="M137" s="80" t="n">
        <x:f>'Calc_Monthly'!U137</x:f>
        <x:v>0</x:v>
      </x:c>
      <x:c r="N137" s="80" t="n">
        <x:f>'Calc_Monthly'!AD137</x:f>
        <x:v>0</x:v>
      </x:c>
      <x:c r="O137" s="80" t="n">
        <x:f>'Calc_Monthly'!AF137</x:f>
        <x:v>0</x:v>
      </x:c>
    </x:row>
    <x:row r="138">
      <x:c r="A138" s="78" t="str">
        <x:f>'Calc_Monthly'!A138</x:f>
        <x:v>20|upper</x:v>
      </x:c>
      <x:c r="B138" s="78" t="str">
        <x:f>'Calc_Monthly'!B138</x:f>
        <x:v>20</x:v>
      </x:c>
      <x:c r="C138" s="78" t="str">
        <x:f>'Calc_Monthly'!C138</x:f>
        <x:v>Test building 4</x:v>
      </x:c>
      <x:c r="D138" s="78" t="str">
        <x:f>'Calc_Monthly'!D138</x:f>
        <x:v>upper</x:v>
      </x:c>
      <x:c r="E138" s="78" t="str">
        <x:f>'Calc_Monthly'!E138</x:f>
        <x:v>2023-05</x:v>
      </x:c>
      <x:c r="F138" s="80" t="n">
        <x:f>'Calc_Monthly'!H138</x:f>
        <x:v>17.244086021505375</x:v>
      </x:c>
      <x:c r="G138" s="80" t="n">
        <x:f>'Calc_Case'!J13</x:f>
        <x:v>15551.309788660623</x:v>
      </x:c>
      <x:c r="H138" s="80" t="n">
        <x:f>'Calc_Case'!M13</x:f>
        <x:v>34.70947016815298</x:v>
      </x:c>
      <x:c r="I138" s="80" t="n">
        <x:f>'Calc_Monthly'!K138</x:f>
        <x:v>48185.312439229005</x:v>
      </x:c>
      <x:c r="J138" s="80" t="n">
        <x:f>'Calc_Monthly'!Q138</x:f>
        <x:v>0</x:v>
      </x:c>
      <x:c r="K138" s="80" t="n">
        <x:f>'Calc_Monthly'!AC138</x:f>
        <x:v>19463.36961758964</x:v>
      </x:c>
      <x:c r="L138" s="80" t="n">
        <x:f>'Calc_Monthly'!AE138</x:f>
        <x:v>19463.36961758964</x:v>
      </x:c>
      <x:c r="M138" s="80" t="n">
        <x:f>'Calc_Monthly'!U138</x:f>
        <x:v>0</x:v>
      </x:c>
      <x:c r="N138" s="80" t="n">
        <x:f>'Calc_Monthly'!AD138</x:f>
        <x:v>0</x:v>
      </x:c>
      <x:c r="O138" s="80" t="n">
        <x:f>'Calc_Monthly'!AF138</x:f>
        <x:v>0</x:v>
      </x:c>
    </x:row>
    <x:row r="139">
      <x:c r="A139" s="78" t="str">
        <x:f>'Calc_Monthly'!A139</x:f>
        <x:v>20|upper</x:v>
      </x:c>
      <x:c r="B139" s="78" t="str">
        <x:f>'Calc_Monthly'!B139</x:f>
        <x:v>20</x:v>
      </x:c>
      <x:c r="C139" s="78" t="str">
        <x:f>'Calc_Monthly'!C139</x:f>
        <x:v>Test building 4</x:v>
      </x:c>
      <x:c r="D139" s="78" t="str">
        <x:f>'Calc_Monthly'!D139</x:f>
        <x:v>upper</x:v>
      </x:c>
      <x:c r="E139" s="78" t="str">
        <x:f>'Calc_Monthly'!E139</x:f>
        <x:v>2023-06</x:v>
      </x:c>
      <x:c r="F139" s="80" t="n">
        <x:f>'Calc_Monthly'!H139</x:f>
        <x:v>20.758194444444445</x:v>
      </x:c>
      <x:c r="G139" s="80" t="n">
        <x:f>'Calc_Case'!J13</x:f>
        <x:v>15551.309788660623</x:v>
      </x:c>
      <x:c r="H139" s="80" t="n">
        <x:f>'Calc_Case'!M13</x:f>
        <x:v>34.70947016815298</x:v>
      </x:c>
      <x:c r="I139" s="80" t="n">
        <x:f>'Calc_Monthly'!K139</x:f>
        <x:v>49016.62739735586</x:v>
      </x:c>
      <x:c r="J139" s="80" t="n">
        <x:f>'Calc_Monthly'!Q139</x:f>
        <x:v>0</x:v>
      </x:c>
      <x:c r="K139" s="80" t="n">
        <x:f>'Calc_Monthly'!AC139</x:f>
        <x:v>0</x:v>
      </x:c>
      <x:c r="L139" s="80" t="n">
        <x:f>'Calc_Monthly'!AE139</x:f>
        <x:v>0</x:v>
      </x:c>
      <x:c r="M139" s="80" t="n">
        <x:f>'Calc_Monthly'!U139</x:f>
        <x:v>6493.17647419362</x:v>
      </x:c>
      <x:c r="N139" s="80" t="n">
        <x:f>'Calc_Monthly'!AD139</x:f>
        <x:v>7389.662960311731</x:v>
      </x:c>
      <x:c r="O139" s="80" t="n">
        <x:f>'Calc_Monthly'!AF139</x:f>
        <x:v>13882.839434505351</x:v>
      </x:c>
    </x:row>
    <x:row r="140">
      <x:c r="A140" s="78" t="str">
        <x:f>'Calc_Monthly'!A140</x:f>
        <x:v>20|upper</x:v>
      </x:c>
      <x:c r="B140" s="78" t="str">
        <x:f>'Calc_Monthly'!B140</x:f>
        <x:v>20</x:v>
      </x:c>
      <x:c r="C140" s="78" t="str">
        <x:f>'Calc_Monthly'!C140</x:f>
        <x:v>Test building 4</x:v>
      </x:c>
      <x:c r="D140" s="78" t="str">
        <x:f>'Calc_Monthly'!D140</x:f>
        <x:v>upper</x:v>
      </x:c>
      <x:c r="E140" s="78" t="str">
        <x:f>'Calc_Monthly'!E140</x:f>
        <x:v>2023-07</x:v>
      </x:c>
      <x:c r="F140" s="80" t="n">
        <x:f>'Calc_Monthly'!H140</x:f>
        <x:v>23.824193548387097</x:v>
      </x:c>
      <x:c r="G140" s="80" t="n">
        <x:f>'Calc_Case'!J13</x:f>
        <x:v>15551.309788660623</x:v>
      </x:c>
      <x:c r="H140" s="80" t="n">
        <x:f>'Calc_Case'!M13</x:f>
        <x:v>34.70947016815298</x:v>
      </x:c>
      <x:c r="I140" s="80" t="n">
        <x:f>'Calc_Monthly'!K140</x:f>
        <x:v>52285.96513044715</x:v>
      </x:c>
      <x:c r="J140" s="80" t="n">
        <x:f>'Calc_Monthly'!Q140</x:f>
        <x:v>0</x:v>
      </x:c>
      <x:c r="K140" s="80" t="n">
        <x:f>'Calc_Monthly'!AC140</x:f>
        <x:v>0</x:v>
      </x:c>
      <x:c r="L140" s="80" t="n">
        <x:f>'Calc_Monthly'!AE140</x:f>
        <x:v>0</x:v>
      </x:c>
      <x:c r="M140" s="80" t="n">
        <x:f>'Calc_Monthly'!U140</x:f>
        <x:v>16204.545005648375</x:v>
      </x:c>
      <x:c r="N140" s="80" t="n">
        <x:f>'Calc_Monthly'!AD140</x:f>
        <x:v>18003.52599691668</x:v>
      </x:c>
      <x:c r="O140" s="80" t="n">
        <x:f>'Calc_Monthly'!AF140</x:f>
        <x:v>34208.071002565055</x:v>
      </x:c>
    </x:row>
    <x:row r="141">
      <x:c r="A141" s="78" t="str">
        <x:f>'Calc_Monthly'!A141</x:f>
        <x:v>20|upper</x:v>
      </x:c>
      <x:c r="B141" s="78" t="str">
        <x:f>'Calc_Monthly'!B141</x:f>
        <x:v>20</x:v>
      </x:c>
      <x:c r="C141" s="78" t="str">
        <x:f>'Calc_Monthly'!C141</x:f>
        <x:v>Test building 4</x:v>
      </x:c>
      <x:c r="D141" s="78" t="str">
        <x:f>'Calc_Monthly'!D141</x:f>
        <x:v>upper</x:v>
      </x:c>
      <x:c r="E141" s="78" t="str">
        <x:f>'Calc_Monthly'!E141</x:f>
        <x:v>2023-08</x:v>
      </x:c>
      <x:c r="F141" s="80" t="n">
        <x:f>'Calc_Monthly'!H141</x:f>
        <x:v>22.74717741935484</x:v>
      </x:c>
      <x:c r="G141" s="80" t="n">
        <x:f>'Calc_Case'!J13</x:f>
        <x:v>15551.309788660623</x:v>
      </x:c>
      <x:c r="H141" s="80" t="n">
        <x:f>'Calc_Case'!M13</x:f>
        <x:v>34.70947016815298</x:v>
      </x:c>
      <x:c r="I141" s="80" t="n">
        <x:f>'Calc_Monthly'!K141</x:f>
        <x:v>46634.25080659711</x:v>
      </x:c>
      <x:c r="J141" s="80" t="n">
        <x:f>'Calc_Monthly'!Q141</x:f>
        <x:v>0</x:v>
      </x:c>
      <x:c r="K141" s="80" t="n">
        <x:f>'Calc_Monthly'!AC141</x:f>
        <x:v>0</x:v>
      </x:c>
      <x:c r="L141" s="80" t="n">
        <x:f>'Calc_Monthly'!AE141</x:f>
        <x:v>0</x:v>
      </x:c>
      <x:c r="M141" s="80" t="n">
        <x:f>'Calc_Monthly'!U141</x:f>
        <x:v>8947.946521333179</x:v>
      </x:c>
      <x:c r="N141" s="80" t="n">
        <x:f>'Calc_Monthly'!AD141</x:f>
        <x:v>14361.643390300173</x:v>
      </x:c>
      <x:c r="O141" s="80" t="n">
        <x:f>'Calc_Monthly'!AF141</x:f>
        <x:v>23309.589911633353</x:v>
      </x:c>
    </x:row>
    <x:row r="142">
      <x:c r="A142" s="78" t="str">
        <x:f>'Calc_Monthly'!A142</x:f>
        <x:v>20|upper</x:v>
      </x:c>
      <x:c r="B142" s="78" t="str">
        <x:f>'Calc_Monthly'!B142</x:f>
        <x:v>20</x:v>
      </x:c>
      <x:c r="C142" s="78" t="str">
        <x:f>'Calc_Monthly'!C142</x:f>
        <x:v>Test building 4</x:v>
      </x:c>
      <x:c r="D142" s="78" t="str">
        <x:f>'Calc_Monthly'!D142</x:f>
        <x:v>upper</x:v>
      </x:c>
      <x:c r="E142" s="78" t="str">
        <x:f>'Calc_Monthly'!E142</x:f>
        <x:v>2023-09</x:v>
      </x:c>
      <x:c r="F142" s="80" t="n">
        <x:f>'Calc_Monthly'!H142</x:f>
        <x:v>19.61638888888889</x:v>
      </x:c>
      <x:c r="G142" s="80" t="n">
        <x:f>'Calc_Case'!J13</x:f>
        <x:v>15551.309788660623</x:v>
      </x:c>
      <x:c r="H142" s="80" t="n">
        <x:f>'Calc_Case'!M13</x:f>
        <x:v>34.70947016815298</x:v>
      </x:c>
      <x:c r="I142" s="80" t="n">
        <x:f>'Calc_Monthly'!K142</x:f>
        <x:v>35657.42202747551</x:v>
      </x:c>
      <x:c r="J142" s="80" t="n">
        <x:f>'Calc_Monthly'!Q142</x:f>
        <x:v>0</x:v>
      </x:c>
      <x:c r="K142" s="80" t="n">
        <x:f>'Calc_Monthly'!AC142</x:f>
        <x:v>0</x:v>
      </x:c>
      <x:c r="L142" s="80" t="n">
        <x:f>'Calc_Monthly'!AE142</x:f>
        <x:v>0</x:v>
      </x:c>
      <x:c r="M142" s="80" t="n">
        <x:f>'Calc_Monthly'!U142</x:f>
        <x:v>1651.2718085974338</x:v>
      </x:c>
      <x:c r="N142" s="80" t="n">
        <x:f>'Calc_Monthly'!AD142</x:f>
        <x:v>3653.2450258309673</x:v>
      </x:c>
      <x:c r="O142" s="80" t="n">
        <x:f>'Calc_Monthly'!AF142</x:f>
        <x:v>5304.516834428401</x:v>
      </x:c>
    </x:row>
    <x:row r="143">
      <x:c r="A143" s="78" t="str">
        <x:f>'Calc_Monthly'!A143</x:f>
        <x:v>20|upper</x:v>
      </x:c>
      <x:c r="B143" s="78" t="str">
        <x:f>'Calc_Monthly'!B143</x:f>
        <x:v>20</x:v>
      </x:c>
      <x:c r="C143" s="78" t="str">
        <x:f>'Calc_Monthly'!C143</x:f>
        <x:v>Test building 4</x:v>
      </x:c>
      <x:c r="D143" s="78" t="str">
        <x:f>'Calc_Monthly'!D143</x:f>
        <x:v>upper</x:v>
      </x:c>
      <x:c r="E143" s="78" t="str">
        <x:f>'Calc_Monthly'!E143</x:f>
        <x:v>2023-10</x:v>
      </x:c>
      <x:c r="F143" s="80" t="n">
        <x:f>'Calc_Monthly'!H143</x:f>
        <x:v>13.926209677419354</x:v>
      </x:c>
      <x:c r="G143" s="80" t="n">
        <x:f>'Calc_Case'!J13</x:f>
        <x:v>15551.309788660623</x:v>
      </x:c>
      <x:c r="H143" s="80" t="n">
        <x:f>'Calc_Case'!M13</x:f>
        <x:v>34.70947016815298</x:v>
      </x:c>
      <x:c r="I143" s="80" t="n">
        <x:f>'Calc_Monthly'!K143</x:f>
        <x:v>24765.474771586407</x:v>
      </x:c>
      <x:c r="J143" s="80" t="n">
        <x:f>'Calc_Monthly'!Q143</x:f>
        <x:v>2286.1125300241038</x:v>
      </x:c>
      <x:c r="K143" s="80" t="n">
        <x:f>'Calc_Monthly'!AC143</x:f>
        <x:v>34391.31598153814</x:v>
      </x:c>
      <x:c r="L143" s="80" t="n">
        <x:f>'Calc_Monthly'!AE143</x:f>
        <x:v>36677.42851156224</x:v>
      </x:c>
      <x:c r="M143" s="80" t="n">
        <x:f>'Calc_Monthly'!U143</x:f>
        <x:v>0</x:v>
      </x:c>
      <x:c r="N143" s="80" t="n">
        <x:f>'Calc_Monthly'!AD143</x:f>
        <x:v>0</x:v>
      </x:c>
      <x:c r="O143" s="80" t="n">
        <x:f>'Calc_Monthly'!AF143</x:f>
        <x:v>0</x:v>
      </x:c>
    </x:row>
    <x:row r="144">
      <x:c r="A144" s="78" t="str">
        <x:f>'Calc_Monthly'!A144</x:f>
        <x:v>20|upper</x:v>
      </x:c>
      <x:c r="B144" s="78" t="str">
        <x:f>'Calc_Monthly'!B144</x:f>
        <x:v>20</x:v>
      </x:c>
      <x:c r="C144" s="78" t="str">
        <x:f>'Calc_Monthly'!C144</x:f>
        <x:v>Test building 4</x:v>
      </x:c>
      <x:c r="D144" s="78" t="str">
        <x:f>'Calc_Monthly'!D144</x:f>
        <x:v>upper</x:v>
      </x:c>
      <x:c r="E144" s="78" t="str">
        <x:f>'Calc_Monthly'!E144</x:f>
        <x:v>2023-11</x:v>
      </x:c>
      <x:c r="F144" s="80" t="n">
        <x:f>'Calc_Monthly'!H144</x:f>
        <x:v>8.68388888888889</x:v>
      </x:c>
      <x:c r="G144" s="80" t="n">
        <x:f>'Calc_Case'!J13</x:f>
        <x:v>15551.309788660623</x:v>
      </x:c>
      <x:c r="H144" s="80" t="n">
        <x:f>'Calc_Case'!M13</x:f>
        <x:v>34.70947016815298</x:v>
      </x:c>
      <x:c r="I144" s="80" t="n">
        <x:f>'Calc_Monthly'!K144</x:f>
        <x:v>13104.147108498091</x:v>
      </x:c>
      <x:c r="J144" s="80" t="n">
        <x:f>'Calc_Monthly'!Q144</x:f>
        <x:v>60245.05578059765</x:v>
      </x:c>
      <x:c r="K144" s="80" t="n">
        <x:f>'Calc_Monthly'!AC144</x:f>
        <x:v>53392.4623854838</x:v>
      </x:c>
      <x:c r="L144" s="80" t="n">
        <x:f>'Calc_Monthly'!AE144</x:f>
        <x:v>113637.51816608146</x:v>
      </x:c>
      <x:c r="M144" s="80" t="n">
        <x:f>'Calc_Monthly'!U144</x:f>
        <x:v>0</x:v>
      </x:c>
      <x:c r="N144" s="80" t="n">
        <x:f>'Calc_Monthly'!AD144</x:f>
        <x:v>0</x:v>
      </x:c>
      <x:c r="O144" s="80" t="n">
        <x:f>'Calc_Monthly'!AF144</x:f>
        <x:v>0</x:v>
      </x:c>
    </x:row>
    <x:row r="145">
      <x:c r="A145" s="78" t="str">
        <x:f>'Calc_Monthly'!A145</x:f>
        <x:v>20|upper</x:v>
      </x:c>
      <x:c r="B145" s="78" t="str">
        <x:f>'Calc_Monthly'!B145</x:f>
        <x:v>20</x:v>
      </x:c>
      <x:c r="C145" s="78" t="str">
        <x:f>'Calc_Monthly'!C145</x:f>
        <x:v>Test building 4</x:v>
      </x:c>
      <x:c r="D145" s="78" t="str">
        <x:f>'Calc_Monthly'!D145</x:f>
        <x:v>upper</x:v>
      </x:c>
      <x:c r="E145" s="78" t="str">
        <x:f>'Calc_Monthly'!E145</x:f>
        <x:v>2023-12</x:v>
      </x:c>
      <x:c r="F145" s="80" t="n">
        <x:f>'Calc_Monthly'!H145</x:f>
        <x:v>3.9963709677419357</x:v>
      </x:c>
      <x:c r="G145" s="80" t="n">
        <x:f>'Calc_Case'!J13</x:f>
        <x:v>15551.309788660623</x:v>
      </x:c>
      <x:c r="H145" s="80" t="n">
        <x:f>'Calc_Case'!M13</x:f>
        <x:v>34.70947016815298</x:v>
      </x:c>
      <x:c r="I145" s="80" t="n">
        <x:f>'Calc_Monthly'!K145</x:f>
        <x:v>11208.846528821097</x:v>
      </x:c>
      <x:c r="J145" s="80" t="n">
        <x:f>'Calc_Monthly'!Q145</x:f>
        <x:v>102937.70672019754</x:v>
      </x:c>
      <x:c r="K145" s="80" t="n">
        <x:f>'Calc_Monthly'!AC145</x:f>
        <x:v>71022.84653539785</x:v>
      </x:c>
      <x:c r="L145" s="80" t="n">
        <x:f>'Calc_Monthly'!AE145</x:f>
        <x:v>173960.55325559538</x:v>
      </x:c>
      <x:c r="M145" s="80" t="n">
        <x:f>'Calc_Monthly'!U145</x:f>
        <x:v>0</x:v>
      </x:c>
      <x:c r="N145" s="80" t="n">
        <x:f>'Calc_Monthly'!AD145</x:f>
        <x:v>0</x:v>
      </x:c>
      <x:c r="O145" s="80" t="n">
        <x:f>'Calc_Monthly'!AF145</x:f>
        <x:v>0</x:v>
      </x:c>
    </x:row>
    <x:row r="146">
      <x:c r="A146" s="78" t="str">
        <x:f>'Calc_Monthly'!A146</x:f>
        <x:v>21|aggregate</x:v>
      </x:c>
      <x:c r="B146" s="78" t="str">
        <x:f>'Calc_Monthly'!B146</x:f>
        <x:v>21</x:v>
      </x:c>
      <x:c r="C146" s="78" t="str">
        <x:f>'Calc_Monthly'!C146</x:f>
        <x:v>Test building 5</x:v>
      </x:c>
      <x:c r="D146" s="78" t="str">
        <x:f>'Calc_Monthly'!D146</x:f>
        <x:v>aggregate</x:v>
      </x:c>
      <x:c r="E146" s="78" t="str">
        <x:f>'Calc_Monthly'!E146</x:f>
        <x:v>2023-01</x:v>
      </x:c>
      <x:c r="F146" s="80" t="n">
        <x:f>'Calc_Monthly'!H146</x:f>
        <x:v>2.638440860215054</x:v>
      </x:c>
      <x:c r="G146" s="80" t="n">
        <x:f>'Calc_Case'!J14</x:f>
        <x:v>52915.51169962878</x:v>
      </x:c>
      <x:c r="H146" s="80" t="n">
        <x:f>'Calc_Case'!M14</x:f>
        <x:v>37.89309076286837</x:v>
      </x:c>
      <x:c r="I146" s="80" t="n">
        <x:f>'Calc_Monthly'!K146</x:f>
        <x:v>48363.91442334903</x:v>
      </x:c>
      <x:c r="J146" s="80" t="n">
        <x:f>'Calc_Monthly'!Q146</x:f>
        <x:v>354281.47974434163</x:v>
      </x:c>
      <x:c r="K146" s="80" t="n">
        <x:f>'Calc_Monthly'!AC146</x:f>
        <x:v>280888.45515213185</x:v>
      </x:c>
      <x:c r="L146" s="80" t="n">
        <x:f>'Calc_Monthly'!AE146</x:f>
        <x:v>635169.9348964735</x:v>
      </x:c>
      <x:c r="M146" s="80" t="n">
        <x:f>'Calc_Monthly'!U146</x:f>
        <x:v>0</x:v>
      </x:c>
      <x:c r="N146" s="80" t="n">
        <x:f>'Calc_Monthly'!AD146</x:f>
        <x:v>0</x:v>
      </x:c>
      <x:c r="O146" s="80" t="n">
        <x:f>'Calc_Monthly'!AF146</x:f>
        <x:v>0</x:v>
      </x:c>
    </x:row>
    <x:row r="147">
      <x:c r="A147" s="78" t="str">
        <x:f>'Calc_Monthly'!A147</x:f>
        <x:v>21|aggregate</x:v>
      </x:c>
      <x:c r="B147" s="78" t="str">
        <x:f>'Calc_Monthly'!B147</x:f>
        <x:v>21</x:v>
      </x:c>
      <x:c r="C147" s="78" t="str">
        <x:f>'Calc_Monthly'!C147</x:f>
        <x:v>Test building 5</x:v>
      </x:c>
      <x:c r="D147" s="78" t="str">
        <x:f>'Calc_Monthly'!D147</x:f>
        <x:v>aggregate</x:v>
      </x:c>
      <x:c r="E147" s="78" t="str">
        <x:f>'Calc_Monthly'!E147</x:f>
        <x:v>2023-02</x:v>
      </x:c>
      <x:c r="F147" s="80" t="n">
        <x:f>'Calc_Monthly'!H147</x:f>
        <x:v>3.8903273809523813</x:v>
      </x:c>
      <x:c r="G147" s="80" t="n">
        <x:f>'Calc_Case'!J14</x:f>
        <x:v>52915.51169962878</x:v>
      </x:c>
      <x:c r="H147" s="80" t="n">
        <x:f>'Calc_Case'!M14</x:f>
        <x:v>37.89309076286837</x:v>
      </x:c>
      <x:c r="I147" s="80" t="n">
        <x:f>'Calc_Monthly'!K147</x:f>
        <x:v>54967.315738508376</x:v>
      </x:c>
      <x:c r="J147" s="80" t="n">
        <x:f>'Calc_Monthly'!Q147</x:f>
        <x:v>278457.60658780916</x:v>
      </x:c>
      <x:c r="K147" s="80" t="n">
        <x:f>'Calc_Monthly'!AC147</x:f>
        <x:v>239502.2755455669</x:v>
      </x:c>
      <x:c r="L147" s="80" t="n">
        <x:f>'Calc_Monthly'!AE147</x:f>
        <x:v>517959.8821333761</x:v>
      </x:c>
      <x:c r="M147" s="80" t="n">
        <x:f>'Calc_Monthly'!U147</x:f>
        <x:v>0</x:v>
      </x:c>
      <x:c r="N147" s="80" t="n">
        <x:f>'Calc_Monthly'!AD147</x:f>
        <x:v>0</x:v>
      </x:c>
      <x:c r="O147" s="80" t="n">
        <x:f>'Calc_Monthly'!AF147</x:f>
        <x:v>0</x:v>
      </x:c>
    </x:row>
    <x:row r="148">
      <x:c r="A148" s="78" t="str">
        <x:f>'Calc_Monthly'!A148</x:f>
        <x:v>21|aggregate</x:v>
      </x:c>
      <x:c r="B148" s="78" t="str">
        <x:f>'Calc_Monthly'!B148</x:f>
        <x:v>21</x:v>
      </x:c>
      <x:c r="C148" s="78" t="str">
        <x:f>'Calc_Monthly'!C148</x:f>
        <x:v>Test building 5</x:v>
      </x:c>
      <x:c r="D148" s="78" t="str">
        <x:f>'Calc_Monthly'!D148</x:f>
        <x:v>aggregate</x:v>
      </x:c>
      <x:c r="E148" s="78" t="str">
        <x:f>'Calc_Monthly'!E148</x:f>
        <x:v>2023-03</x:v>
      </x:c>
      <x:c r="F148" s="80" t="n">
        <x:f>'Calc_Monthly'!H148</x:f>
        <x:v>7.746908602150539</x:v>
      </x:c>
      <x:c r="G148" s="80" t="n">
        <x:f>'Calc_Case'!J14</x:f>
        <x:v>52915.51169962878</x:v>
      </x:c>
      <x:c r="H148" s="80" t="n">
        <x:f>'Calc_Case'!M14</x:f>
        <x:v>37.89309076286837</x:v>
      </x:c>
      <x:c r="I148" s="80" t="n">
        <x:f>'Calc_Monthly'!K148</x:f>
        <x:v>103316.3812407131</x:v>
      </x:c>
      <x:c r="J148" s="80" t="n">
        <x:f>'Calc_Monthly'!Q148</x:f>
        <x:v>164648.2959967086</x:v>
      </x:c>
      <x:c r="K148" s="80" t="n">
        <x:f>'Calc_Monthly'!AC148</x:f>
        <x:v>216719.8699807243</x:v>
      </x:c>
      <x:c r="L148" s="80" t="n">
        <x:f>'Calc_Monthly'!AE148</x:f>
        <x:v>381368.16597743286</x:v>
      </x:c>
      <x:c r="M148" s="80" t="n">
        <x:f>'Calc_Monthly'!U148</x:f>
        <x:v>0</x:v>
      </x:c>
      <x:c r="N148" s="80" t="n">
        <x:f>'Calc_Monthly'!AD148</x:f>
        <x:v>0</x:v>
      </x:c>
      <x:c r="O148" s="80" t="n">
        <x:f>'Calc_Monthly'!AF148</x:f>
        <x:v>0</x:v>
      </x:c>
    </x:row>
    <x:row r="149">
      <x:c r="A149" s="78" t="str">
        <x:f>'Calc_Monthly'!A149</x:f>
        <x:v>21|aggregate</x:v>
      </x:c>
      <x:c r="B149" s="78" t="str">
        <x:f>'Calc_Monthly'!B149</x:f>
        <x:v>21</x:v>
      </x:c>
      <x:c r="C149" s="78" t="str">
        <x:f>'Calc_Monthly'!C149</x:f>
        <x:v>Test building 5</x:v>
      </x:c>
      <x:c r="D149" s="78" t="str">
        <x:f>'Calc_Monthly'!D149</x:f>
        <x:v>aggregate</x:v>
      </x:c>
      <x:c r="E149" s="78" t="str">
        <x:f>'Calc_Monthly'!E149</x:f>
        <x:v>2023-04</x:v>
      </x:c>
      <x:c r="F149" s="80" t="n">
        <x:f>'Calc_Monthly'!H149</x:f>
        <x:v>12.03041666666667</x:v>
      </x:c>
      <x:c r="G149" s="80" t="n">
        <x:f>'Calc_Case'!J14</x:f>
        <x:v>52915.51169962878</x:v>
      </x:c>
      <x:c r="H149" s="80" t="n">
        <x:f>'Calc_Case'!M14</x:f>
        <x:v>37.89309076286837</x:v>
      </x:c>
      <x:c r="I149" s="80" t="n">
        <x:f>'Calc_Monthly'!K149</x:f>
        <x:v>124895.86978706224</x:v>
      </x:c>
      <x:c r="J149" s="80" t="n">
        <x:f>'Calc_Monthly'!Q149</x:f>
        <x:v>41632.06209910242</x:v>
      </x:c>
      <x:c r="K149" s="80" t="n">
        <x:f>'Calc_Monthly'!AC149</x:f>
        <x:v>157658.5011153527</x:v>
      </x:c>
      <x:c r="L149" s="80" t="n">
        <x:f>'Calc_Monthly'!AE149</x:f>
        <x:v>199290.56321445512</x:v>
      </x:c>
      <x:c r="M149" s="80" t="n">
        <x:f>'Calc_Monthly'!U149</x:f>
        <x:v>0</x:v>
      </x:c>
      <x:c r="N149" s="80" t="n">
        <x:f>'Calc_Monthly'!AD149</x:f>
        <x:v>0</x:v>
      </x:c>
      <x:c r="O149" s="80" t="n">
        <x:f>'Calc_Monthly'!AF149</x:f>
        <x:v>0</x:v>
      </x:c>
    </x:row>
    <x:row r="150">
      <x:c r="A150" s="78" t="str">
        <x:f>'Calc_Monthly'!A150</x:f>
        <x:v>21|aggregate</x:v>
      </x:c>
      <x:c r="B150" s="78" t="str">
        <x:f>'Calc_Monthly'!B150</x:f>
        <x:v>21</x:v>
      </x:c>
      <x:c r="C150" s="78" t="str">
        <x:f>'Calc_Monthly'!C150</x:f>
        <x:v>Test building 5</x:v>
      </x:c>
      <x:c r="D150" s="78" t="str">
        <x:f>'Calc_Monthly'!D150</x:f>
        <x:v>aggregate</x:v>
      </x:c>
      <x:c r="E150" s="78" t="str">
        <x:f>'Calc_Monthly'!E150</x:f>
        <x:v>2023-05</x:v>
      </x:c>
      <x:c r="F150" s="80" t="n">
        <x:f>'Calc_Monthly'!H150</x:f>
        <x:v>17.244086021505375</x:v>
      </x:c>
      <x:c r="G150" s="80" t="n">
        <x:f>'Calc_Case'!J14</x:f>
        <x:v>52915.51169962878</x:v>
      </x:c>
      <x:c r="H150" s="80" t="n">
        <x:f>'Calc_Case'!M14</x:f>
        <x:v>37.89309076286837</x:v>
      </x:c>
      <x:c r="I150" s="80" t="n">
        <x:f>'Calc_Monthly'!K150</x:f>
        <x:v>158834.33455291393</x:v>
      </x:c>
      <x:c r="J150" s="80" t="n">
        <x:f>'Calc_Monthly'!Q150</x:f>
        <x:v>0</x:v>
      </x:c>
      <x:c r="K150" s="80" t="n">
        <x:f>'Calc_Monthly'!AC150</x:f>
        <x:v>72301.29953377956</x:v>
      </x:c>
      <x:c r="L150" s="80" t="n">
        <x:f>'Calc_Monthly'!AE150</x:f>
        <x:v>72301.29953377956</x:v>
      </x:c>
      <x:c r="M150" s="80" t="n">
        <x:f>'Calc_Monthly'!U150</x:f>
        <x:v>0</x:v>
      </x:c>
      <x:c r="N150" s="80" t="n">
        <x:f>'Calc_Monthly'!AD150</x:f>
        <x:v>0</x:v>
      </x:c>
      <x:c r="O150" s="80" t="n">
        <x:f>'Calc_Monthly'!AF150</x:f>
        <x:v>0</x:v>
      </x:c>
    </x:row>
    <x:row r="151">
      <x:c r="A151" s="78" t="str">
        <x:f>'Calc_Monthly'!A151</x:f>
        <x:v>21|aggregate</x:v>
      </x:c>
      <x:c r="B151" s="78" t="str">
        <x:f>'Calc_Monthly'!B151</x:f>
        <x:v>21</x:v>
      </x:c>
      <x:c r="C151" s="78" t="str">
        <x:f>'Calc_Monthly'!C151</x:f>
        <x:v>Test building 5</x:v>
      </x:c>
      <x:c r="D151" s="78" t="str">
        <x:f>'Calc_Monthly'!D151</x:f>
        <x:v>aggregate</x:v>
      </x:c>
      <x:c r="E151" s="78" t="str">
        <x:f>'Calc_Monthly'!E151</x:f>
        <x:v>2023-06</x:v>
      </x:c>
      <x:c r="F151" s="80" t="n">
        <x:f>'Calc_Monthly'!H151</x:f>
        <x:v>20.758194444444445</x:v>
      </x:c>
      <x:c r="G151" s="80" t="n">
        <x:f>'Calc_Case'!J14</x:f>
        <x:v>52915.51169962878</x:v>
      </x:c>
      <x:c r="H151" s="80" t="n">
        <x:f>'Calc_Case'!M14</x:f>
        <x:v>37.89309076286837</x:v>
      </x:c>
      <x:c r="I151" s="80" t="n">
        <x:f>'Calc_Monthly'!K151</x:f>
        <x:v>160373.47755496294</x:v>
      </x:c>
      <x:c r="J151" s="80" t="n">
        <x:f>'Calc_Monthly'!Q151</x:f>
        <x:v>0</x:v>
      </x:c>
      <x:c r="K151" s="80" t="n">
        <x:f>'Calc_Monthly'!AC151</x:f>
        <x:v>0</x:v>
      </x:c>
      <x:c r="L151" s="80" t="n">
        <x:f>'Calc_Monthly'!AE151</x:f>
        <x:v>0</x:v>
      </x:c>
      <x:c r="M151" s="80" t="n">
        <x:f>'Calc_Monthly'!U151</x:f>
        <x:v>17417.04303847885</x:v>
      </x:c>
      <x:c r="N151" s="80" t="n">
        <x:f>'Calc_Monthly'!AD151</x:f>
        <x:v>27450.654518954798</x:v>
      </x:c>
      <x:c r="O151" s="80" t="n">
        <x:f>'Calc_Monthly'!AF151</x:f>
        <x:v>44867.69755743365</x:v>
      </x:c>
    </x:row>
    <x:row r="152">
      <x:c r="A152" s="78" t="str">
        <x:f>'Calc_Monthly'!A152</x:f>
        <x:v>21|aggregate</x:v>
      </x:c>
      <x:c r="B152" s="78" t="str">
        <x:f>'Calc_Monthly'!B152</x:f>
        <x:v>21</x:v>
      </x:c>
      <x:c r="C152" s="78" t="str">
        <x:f>'Calc_Monthly'!C152</x:f>
        <x:v>Test building 5</x:v>
      </x:c>
      <x:c r="D152" s="78" t="str">
        <x:f>'Calc_Monthly'!D152</x:f>
        <x:v>aggregate</x:v>
      </x:c>
      <x:c r="E152" s="78" t="str">
        <x:f>'Calc_Monthly'!E152</x:f>
        <x:v>2023-07</x:v>
      </x:c>
      <x:c r="F152" s="80" t="n">
        <x:f>'Calc_Monthly'!H152</x:f>
        <x:v>23.824193548387097</x:v>
      </x:c>
      <x:c r="G152" s="80" t="n">
        <x:f>'Calc_Case'!J14</x:f>
        <x:v>52915.51169962878</x:v>
      </x:c>
      <x:c r="H152" s="80" t="n">
        <x:f>'Calc_Case'!M14</x:f>
        <x:v>37.89309076286837</x:v>
      </x:c>
      <x:c r="I152" s="80" t="n">
        <x:f>'Calc_Monthly'!K152</x:f>
        <x:v>170765.2163717491</x:v>
      </x:c>
      <x:c r="J152" s="80" t="n">
        <x:f>'Calc_Monthly'!Q152</x:f>
        <x:v>0</x:v>
      </x:c>
      <x:c r="K152" s="80" t="n">
        <x:f>'Calc_Monthly'!AC152</x:f>
        <x:v>0</x:v>
      </x:c>
      <x:c r="L152" s="80" t="n">
        <x:f>'Calc_Monthly'!AE152</x:f>
        <x:v>0</x:v>
      </x:c>
      <x:c r="M152" s="80" t="n">
        <x:f>'Calc_Monthly'!U152</x:f>
        <x:v>45563.00010677861</x:v>
      </x:c>
      <x:c r="N152" s="80" t="n">
        <x:f>'Calc_Monthly'!AD152</x:f>
        <x:v>66878.36440155223</x:v>
      </x:c>
      <x:c r="O152" s="80" t="n">
        <x:f>'Calc_Monthly'!AF152</x:f>
        <x:v>112441.36450833084</x:v>
      </x:c>
    </x:row>
    <x:row r="153">
      <x:c r="A153" s="78" t="str">
        <x:f>'Calc_Monthly'!A153</x:f>
        <x:v>21|aggregate</x:v>
      </x:c>
      <x:c r="B153" s="78" t="str">
        <x:f>'Calc_Monthly'!B153</x:f>
        <x:v>21</x:v>
      </x:c>
      <x:c r="C153" s="78" t="str">
        <x:f>'Calc_Monthly'!C153</x:f>
        <x:v>Test building 5</x:v>
      </x:c>
      <x:c r="D153" s="78" t="str">
        <x:f>'Calc_Monthly'!D153</x:f>
        <x:v>aggregate</x:v>
      </x:c>
      <x:c r="E153" s="78" t="str">
        <x:f>'Calc_Monthly'!E153</x:f>
        <x:v>2023-08</x:v>
      </x:c>
      <x:c r="F153" s="80" t="n">
        <x:f>'Calc_Monthly'!H153</x:f>
        <x:v>22.74717741935484</x:v>
      </x:c>
      <x:c r="G153" s="80" t="n">
        <x:f>'Calc_Case'!J14</x:f>
        <x:v>52915.51169962878</x:v>
      </x:c>
      <x:c r="H153" s="80" t="n">
        <x:f>'Calc_Case'!M14</x:f>
        <x:v>37.89309076286837</x:v>
      </x:c>
      <x:c r="I153" s="80" t="n">
        <x:f>'Calc_Monthly'!K153</x:f>
        <x:v>154903.10010374655</x:v>
      </x:c>
      <x:c r="J153" s="80" t="n">
        <x:f>'Calc_Monthly'!Q153</x:f>
        <x:v>0</x:v>
      </x:c>
      <x:c r="K153" s="80" t="n">
        <x:f>'Calc_Monthly'!AC153</x:f>
        <x:v>0</x:v>
      </x:c>
      <x:c r="L153" s="80" t="n">
        <x:f>'Calc_Monthly'!AE153</x:f>
        <x:v>0</x:v>
      </x:c>
      <x:c r="M153" s="80" t="n">
        <x:f>'Calc_Monthly'!U153</x:f>
        <x:v>25387.088483815576</x:v>
      </x:c>
      <x:c r="N153" s="80" t="n">
        <x:f>'Calc_Monthly'!AD153</x:f>
        <x:v>53349.72828245607</x:v>
      </x:c>
      <x:c r="O153" s="80" t="n">
        <x:f>'Calc_Monthly'!AF153</x:f>
        <x:v>78736.81676627164</x:v>
      </x:c>
    </x:row>
    <x:row r="154">
      <x:c r="A154" s="78" t="str">
        <x:f>'Calc_Monthly'!A154</x:f>
        <x:v>21|aggregate</x:v>
      </x:c>
      <x:c r="B154" s="78" t="str">
        <x:f>'Calc_Monthly'!B154</x:f>
        <x:v>21</x:v>
      </x:c>
      <x:c r="C154" s="78" t="str">
        <x:f>'Calc_Monthly'!C154</x:f>
        <x:v>Test building 5</x:v>
      </x:c>
      <x:c r="D154" s="78" t="str">
        <x:f>'Calc_Monthly'!D154</x:f>
        <x:v>aggregate</x:v>
      </x:c>
      <x:c r="E154" s="78" t="str">
        <x:f>'Calc_Monthly'!E154</x:f>
        <x:v>2023-09</x:v>
      </x:c>
      <x:c r="F154" s="80" t="n">
        <x:f>'Calc_Monthly'!H154</x:f>
        <x:v>19.61638888888889</x:v>
      </x:c>
      <x:c r="G154" s="80" t="n">
        <x:f>'Calc_Case'!J14</x:f>
        <x:v>52915.51169962878</x:v>
      </x:c>
      <x:c r="H154" s="80" t="n">
        <x:f>'Calc_Case'!M14</x:f>
        <x:v>37.89309076286837</x:v>
      </x:c>
      <x:c r="I154" s="80" t="n">
        <x:f>'Calc_Monthly'!K154</x:f>
        <x:v>121258.16247712521</x:v>
      </x:c>
      <x:c r="J154" s="80" t="n">
        <x:f>'Calc_Monthly'!Q154</x:f>
        <x:v>0</x:v>
      </x:c>
      <x:c r="K154" s="80" t="n">
        <x:f>'Calc_Monthly'!AC154</x:f>
        <x:v>0</x:v>
      </x:c>
      <x:c r="L154" s="80" t="n">
        <x:f>'Calc_Monthly'!AE154</x:f>
        <x:v>0</x:v>
      </x:c>
      <x:c r="M154" s="80" t="n">
        <x:f>'Calc_Monthly'!U154</x:f>
        <x:v>4698.292634840545</x:v>
      </x:c>
      <x:c r="N154" s="80" t="n">
        <x:f>'Calc_Monthly'!AD154</x:f>
        <x:v>13570.844518319618</x:v>
      </x:c>
      <x:c r="O154" s="80" t="n">
        <x:f>'Calc_Monthly'!AF154</x:f>
        <x:v>18269.13715316016</x:v>
      </x:c>
    </x:row>
    <x:row r="155">
      <x:c r="A155" s="78" t="str">
        <x:f>'Calc_Monthly'!A155</x:f>
        <x:v>21|aggregate</x:v>
      </x:c>
      <x:c r="B155" s="78" t="str">
        <x:f>'Calc_Monthly'!B155</x:f>
        <x:v>21</x:v>
      </x:c>
      <x:c r="C155" s="78" t="str">
        <x:f>'Calc_Monthly'!C155</x:f>
        <x:v>Test building 5</x:v>
      </x:c>
      <x:c r="D155" s="78" t="str">
        <x:f>'Calc_Monthly'!D155</x:f>
        <x:v>aggregate</x:v>
      </x:c>
      <x:c r="E155" s="78" t="str">
        <x:f>'Calc_Monthly'!E155</x:f>
        <x:v>2023-10</x:v>
      </x:c>
      <x:c r="F155" s="80" t="n">
        <x:f>'Calc_Monthly'!H155</x:f>
        <x:v>13.926209677419354</x:v>
      </x:c>
      <x:c r="G155" s="80" t="n">
        <x:f>'Calc_Case'!J14</x:f>
        <x:v>52915.51169962878</x:v>
      </x:c>
      <x:c r="H155" s="80" t="n">
        <x:f>'Calc_Case'!M14</x:f>
        <x:v>37.89309076286837</x:v>
      </x:c>
      <x:c r="I155" s="80" t="n">
        <x:f>'Calc_Monthly'!K155</x:f>
        <x:v>87255.53138382138</x:v>
      </x:c>
      <x:c r="J155" s="80" t="n">
        <x:f>'Calc_Monthly'!Q155</x:f>
        <x:v>4515.473560339931</x:v>
      </x:c>
      <x:c r="K155" s="80" t="n">
        <x:f>'Calc_Monthly'!AC155</x:f>
        <x:v>127754.69443353167</x:v>
      </x:c>
      <x:c r="L155" s="80" t="n">
        <x:f>'Calc_Monthly'!AE155</x:f>
        <x:v>132270.1679938716</x:v>
      </x:c>
      <x:c r="M155" s="80" t="n">
        <x:f>'Calc_Monthly'!U155</x:f>
        <x:v>0</x:v>
      </x:c>
      <x:c r="N155" s="80" t="n">
        <x:f>'Calc_Monthly'!AD155</x:f>
        <x:v>0</x:v>
      </x:c>
      <x:c r="O155" s="80" t="n">
        <x:f>'Calc_Monthly'!AF155</x:f>
        <x:v>0</x:v>
      </x:c>
    </x:row>
    <x:row r="156">
      <x:c r="A156" s="78" t="str">
        <x:f>'Calc_Monthly'!A156</x:f>
        <x:v>21|aggregate</x:v>
      </x:c>
      <x:c r="B156" s="78" t="str">
        <x:f>'Calc_Monthly'!B156</x:f>
        <x:v>21</x:v>
      </x:c>
      <x:c r="C156" s="78" t="str">
        <x:f>'Calc_Monthly'!C156</x:f>
        <x:v>Test building 5</x:v>
      </x:c>
      <x:c r="D156" s="78" t="str">
        <x:f>'Calc_Monthly'!D156</x:f>
        <x:v>aggregate</x:v>
      </x:c>
      <x:c r="E156" s="78" t="str">
        <x:f>'Calc_Monthly'!E156</x:f>
        <x:v>2023-11</x:v>
      </x:c>
      <x:c r="F156" s="80" t="n">
        <x:f>'Calc_Monthly'!H156</x:f>
        <x:v>8.68388888888889</x:v>
      </x:c>
      <x:c r="G156" s="80" t="n">
        <x:f>'Calc_Case'!J14</x:f>
        <x:v>52915.51169962878</x:v>
      </x:c>
      <x:c r="H156" s="80" t="n">
        <x:f>'Calc_Case'!M14</x:f>
        <x:v>37.89309076286837</x:v>
      </x:c>
      <x:c r="I156" s="80" t="n">
        <x:f>'Calc_Monthly'!K156</x:f>
        <x:v>48719.19824401003</x:v>
      </x:c>
      <x:c r="J156" s="80" t="n">
        <x:f>'Calc_Monthly'!Q156</x:f>
        <x:v>184231.44579678233</x:v>
      </x:c>
      <x:c r="K156" s="80" t="n">
        <x:f>'Calc_Monthly'!AC156</x:f>
        <x:v>198338.95628690172</x:v>
      </x:c>
      <x:c r="L156" s="80" t="n">
        <x:f>'Calc_Monthly'!AE156</x:f>
        <x:v>382570.40208368405</x:v>
      </x:c>
      <x:c r="M156" s="80" t="n">
        <x:f>'Calc_Monthly'!U156</x:f>
        <x:v>0</x:v>
      </x:c>
      <x:c r="N156" s="80" t="n">
        <x:f>'Calc_Monthly'!AD156</x:f>
        <x:v>0</x:v>
      </x:c>
      <x:c r="O156" s="80" t="n">
        <x:f>'Calc_Monthly'!AF156</x:f>
        <x:v>0</x:v>
      </x:c>
    </x:row>
    <x:row r="157">
      <x:c r="A157" s="78" t="str">
        <x:f>'Calc_Monthly'!A157</x:f>
        <x:v>21|aggregate</x:v>
      </x:c>
      <x:c r="B157" s="78" t="str">
        <x:f>'Calc_Monthly'!B157</x:f>
        <x:v>21</x:v>
      </x:c>
      <x:c r="C157" s="78" t="str">
        <x:f>'Calc_Monthly'!C157</x:f>
        <x:v>Test building 5</x:v>
      </x:c>
      <x:c r="D157" s="78" t="str">
        <x:f>'Calc_Monthly'!D157</x:f>
        <x:v>aggregate</x:v>
      </x:c>
      <x:c r="E157" s="78" t="str">
        <x:f>'Calc_Monthly'!E157</x:f>
        <x:v>2023-12</x:v>
      </x:c>
      <x:c r="F157" s="80" t="n">
        <x:f>'Calc_Monthly'!H157</x:f>
        <x:v>3.9963709677419357</x:v>
      </x:c>
      <x:c r="G157" s="80" t="n">
        <x:f>'Calc_Case'!J14</x:f>
        <x:v>52915.51169962878</x:v>
      </x:c>
      <x:c r="H157" s="80" t="n">
        <x:f>'Calc_Case'!M14</x:f>
        <x:v>37.89309076286837</x:v>
      </x:c>
      <x:c r="I157" s="80" t="n">
        <x:f>'Calc_Monthly'!K157</x:f>
        <x:v>42520.582400289415</x:v>
      </x:c>
      <x:c r="J157" s="80" t="n">
        <x:f>'Calc_Monthly'!Q157</x:f>
        <x:v>323716.2902843732</x:v>
      </x:c>
      <x:c r="K157" s="80" t="n">
        <x:f>'Calc_Monthly'!AC157</x:f>
        <x:v>263831.1968579563</x:v>
      </x:c>
      <x:c r="L157" s="80" t="n">
        <x:f>'Calc_Monthly'!AE157</x:f>
        <x:v>587547.4871423296</x:v>
      </x:c>
      <x:c r="M157" s="80" t="n">
        <x:f>'Calc_Monthly'!U157</x:f>
        <x:v>0</x:v>
      </x:c>
      <x:c r="N157" s="80" t="n">
        <x:f>'Calc_Monthly'!AD157</x:f>
        <x:v>0</x:v>
      </x:c>
      <x:c r="O157" s="80" t="n">
        <x:f>'Calc_Monthly'!AF157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b6a51c2920c4f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3" t="str">
        <x:v>case_id</x:v>
      </x:c>
      <x:c r="B1" s="33" t="str">
        <x:v>building_id</x:v>
      </x:c>
      <x:c r="C1" s="33" t="str">
        <x:v>building_name</x:v>
      </x:c>
      <x:c r="D1" s="33" t="str">
        <x:v>zone_id</x:v>
      </x:c>
      <x:c r="E1" s="33" t="str">
        <x:v>case_scope</x:v>
      </x:c>
      <x:c r="F1" s="33" t="str">
        <x:v>A_f_m2</x:v>
      </x:c>
      <x:c r="G1" s="33" t="str">
        <x:v>useful_heating_kWh</x:v>
      </x:c>
      <x:c r="H1" s="33" t="str">
        <x:v>useful_cooling_kWh</x:v>
      </x:c>
      <x:c r="I1" s="33" t="str">
        <x:v>heating_kWh_m2</x:v>
      </x:c>
      <x:c r="J1" s="33" t="str">
        <x:v>cooling_kWh_m2</x:v>
      </x:c>
    </x:row>
    <x:row r="2">
      <x:c r="A2" s="77" t="str">
        <x:f>'In_Cases'!A2</x:f>
        <x:v>1|aggregate</x:v>
      </x:c>
      <x:c r="B2" s="77" t="str">
        <x:f>'In_Cases'!B2</x:f>
        <x:v>1</x:v>
      </x:c>
      <x:c r="C2" s="77" t="str">
        <x:f>'In_Cases'!C2</x:f>
        <x:v>Test building 1</x:v>
      </x:c>
      <x:c r="D2" s="77" t="str">
        <x:f>'In_Cases'!D2</x:f>
        <x:v>aggregate</x:v>
      </x:c>
      <x:c r="E2" s="77" t="str">
        <x:f>'In_Cases'!E2</x:f>
        <x:v>building_aggregate</x:v>
      </x:c>
      <x:c r="F2" s="81" t="n">
        <x:f>'In_Cases'!F2</x:f>
        <x:v>2980.3251953125</x:v>
      </x:c>
      <x:c r="G2" s="81" t="n">
        <x:f>SUM('Out_Monthly'!L2:L13)</x:f>
        <x:v>296785.4672358824</x:v>
      </x:c>
      <x:c r="H2" s="81" t="n">
        <x:f>SUM('Out_Monthly'!O2:O13)</x:f>
        <x:v>66931.97988382731</x:v>
      </x:c>
      <x:c r="I2" s="81" t="n">
        <x:f>G2/F2</x:f>
        <x:v>99.58157173675914</x:v>
      </x:c>
      <x:c r="J2" s="81" t="n">
        <x:f>H2/F2</x:f>
        <x:v>22.457945189705786</x:v>
      </x:c>
    </x:row>
    <x:row r="3">
      <x:c r="A3" s="78" t="str">
        <x:f>'In_Cases'!A3</x:f>
        <x:v>1|lower</x:v>
      </x:c>
      <x:c r="B3" s="78" t="str">
        <x:f>'In_Cases'!B3</x:f>
        <x:v>1</x:v>
      </x:c>
      <x:c r="C3" s="78" t="str">
        <x:f>'In_Cases'!C3</x:f>
        <x:v>Test building 1</x:v>
      </x:c>
      <x:c r="D3" s="78" t="str">
        <x:f>'In_Cases'!D3</x:f>
        <x:v>lower</x:v>
      </x:c>
      <x:c r="E3" s="78" t="str">
        <x:f>'In_Cases'!E3</x:f>
        <x:v>individual_zone:lower</x:v>
      </x:c>
      <x:c r="F3" s="82" t="n">
        <x:f>'In_Cases'!F3</x:f>
        <x:v>745.081298828125</x:v>
      </x:c>
      <x:c r="G3" s="82" t="n">
        <x:f>SUM('Out_Monthly'!L14:L25)</x:f>
        <x:v>119665.18570071808</x:v>
      </x:c>
      <x:c r="H3" s="82" t="n">
        <x:f>SUM('Out_Monthly'!O14:O25)</x:f>
        <x:v>49198.638599240876</x:v>
      </x:c>
      <x:c r="I3" s="82" t="n">
        <x:f>G3/F3</x:f>
        <x:v>160.60688395874286</x:v>
      </x:c>
      <x:c r="J3" s="82" t="n">
        <x:f>H3/F3</x:f>
        <x:v>66.03123535192901</x:v>
      </x:c>
    </x:row>
    <x:row r="4">
      <x:c r="A4" s="78" t="str">
        <x:f>'In_Cases'!A4</x:f>
        <x:v>1|upper</x:v>
      </x:c>
      <x:c r="B4" s="78" t="str">
        <x:f>'In_Cases'!B4</x:f>
        <x:v>1</x:v>
      </x:c>
      <x:c r="C4" s="78" t="str">
        <x:f>'In_Cases'!C4</x:f>
        <x:v>Test building 1</x:v>
      </x:c>
      <x:c r="D4" s="78" t="str">
        <x:f>'In_Cases'!D4</x:f>
        <x:v>upper</x:v>
      </x:c>
      <x:c r="E4" s="78" t="str">
        <x:f>'In_Cases'!E4</x:f>
        <x:v>individual_zone:upper</x:v>
      </x:c>
      <x:c r="F4" s="82" t="n">
        <x:f>'In_Cases'!F4</x:f>
        <x:v>2235.243896484375</x:v>
      </x:c>
      <x:c r="G4" s="82" t="n">
        <x:f>SUM('Out_Monthly'!L26:L37)</x:f>
        <x:v>196018.00606705295</x:v>
      </x:c>
      <x:c r="H4" s="82" t="n">
        <x:f>SUM('Out_Monthly'!O26:O37)</x:f>
        <x:v>19997.799962897687</x:v>
      </x:c>
      <x:c r="I4" s="82" t="n">
        <x:f>G4/F4</x:f>
        <x:v>87.6942361302733</x:v>
      </x:c>
      <x:c r="J4" s="82" t="n">
        <x:f>H4/F4</x:f>
        <x:v>8.946585200098532</x:v>
      </x:c>
    </x:row>
    <x:row r="5">
      <x:c r="A5" s="78" t="str">
        <x:f>'In_Cases'!A5</x:f>
        <x:v>18|aggregate</x:v>
      </x:c>
      <x:c r="B5" s="78" t="str">
        <x:f>'In_Cases'!B5</x:f>
        <x:v>18</x:v>
      </x:c>
      <x:c r="C5" s="78" t="str">
        <x:f>'In_Cases'!C5</x:f>
        <x:v>Test building 2</x:v>
      </x:c>
      <x:c r="D5" s="78" t="str">
        <x:f>'In_Cases'!D5</x:f>
        <x:v>aggregate</x:v>
      </x:c>
      <x:c r="E5" s="78" t="str">
        <x:f>'In_Cases'!E5</x:f>
        <x:v>building_aggregate</x:v>
      </x:c>
      <x:c r="F5" s="82" t="n">
        <x:f>'In_Cases'!F5</x:f>
        <x:v>920.057373046875</x:v>
      </x:c>
      <x:c r="G5" s="82" t="n">
        <x:f>SUM('Out_Monthly'!L38:L49)</x:f>
        <x:v>128191.17820977983</x:v>
      </x:c>
      <x:c r="H5" s="82" t="n">
        <x:f>SUM('Out_Monthly'!O38:O49)</x:f>
        <x:v>32422.265004857327</x:v>
      </x:c>
      <x:c r="I5" s="82" t="n">
        <x:f>G5/F5</x:f>
        <x:v>139.32954831421014</x:v>
      </x:c>
      <x:c r="J5" s="82" t="n">
        <x:f>H5/F5</x:f>
        <x:v>35.23939479718237</x:v>
      </x:c>
    </x:row>
    <x:row r="6">
      <x:c r="A6" s="78" t="str">
        <x:f>'In_Cases'!A6</x:f>
        <x:v>18|lower</x:v>
      </x:c>
      <x:c r="B6" s="78" t="str">
        <x:f>'In_Cases'!B6</x:f>
        <x:v>18</x:v>
      </x:c>
      <x:c r="C6" s="78" t="str">
        <x:f>'In_Cases'!C6</x:f>
        <x:v>Test building 2</x:v>
      </x:c>
      <x:c r="D6" s="78" t="str">
        <x:f>'In_Cases'!D6</x:f>
        <x:v>lower</x:v>
      </x:c>
      <x:c r="E6" s="78" t="str">
        <x:f>'In_Cases'!E6</x:f>
        <x:v>individual_zone:lower</x:v>
      </x:c>
      <x:c r="F6" s="82" t="n">
        <x:f>'In_Cases'!F6</x:f>
        <x:v>306.685791015625</x:v>
      </x:c>
      <x:c r="G6" s="82" t="n">
        <x:f>SUM('Out_Monthly'!L50:L61)</x:f>
        <x:v>57938.219568732355</x:v>
      </x:c>
      <x:c r="H6" s="82" t="n">
        <x:f>SUM('Out_Monthly'!O50:O61)</x:f>
        <x:v>23563.774193929894</x:v>
      </x:c>
      <x:c r="I6" s="82" t="n">
        <x:f>G6/F6</x:f>
        <x:v>188.91719559899835</x:v>
      </x:c>
      <x:c r="J6" s="82" t="n">
        <x:f>H6/F6</x:f>
        <x:v>76.83360261294065</x:v>
      </x:c>
    </x:row>
    <x:row r="7">
      <x:c r="A7" s="78" t="str">
        <x:f>'In_Cases'!A7</x:f>
        <x:v>18|upper</x:v>
      </x:c>
      <x:c r="B7" s="78" t="str">
        <x:f>'In_Cases'!B7</x:f>
        <x:v>18</x:v>
      </x:c>
      <x:c r="C7" s="78" t="str">
        <x:f>'In_Cases'!C7</x:f>
        <x:v>Test building 2</x:v>
      </x:c>
      <x:c r="D7" s="78" t="str">
        <x:f>'In_Cases'!D7</x:f>
        <x:v>upper</x:v>
      </x:c>
      <x:c r="E7" s="78" t="str">
        <x:f>'In_Cases'!E7</x:f>
        <x:v>individual_zone:upper</x:v>
      </x:c>
      <x:c r="F7" s="82" t="n">
        <x:f>'In_Cases'!F7</x:f>
        <x:v>613.37158203125</x:v>
      </x:c>
      <x:c r="G7" s="82" t="n">
        <x:f>SUM('Out_Monthly'!L62:L73)</x:f>
        <x:v>79717.5409427755</x:v>
      </x:c>
      <x:c r="H7" s="82" t="n">
        <x:f>SUM('Out_Monthly'!O62:O73)</x:f>
        <x:v>10706.776160970578</x:v>
      </x:c>
      <x:c r="I7" s="82" t="n">
        <x:f>G7/F7</x:f>
        <x:v>129.96614658732926</x:v>
      </x:c>
      <x:c r="J7" s="82" t="n">
        <x:f>H7/F7</x:f>
        <x:v>17.455611695465034</x:v>
      </x:c>
    </x:row>
    <x:row r="8">
      <x:c r="A8" s="78" t="str">
        <x:f>'In_Cases'!A8</x:f>
        <x:v>19|aggregate</x:v>
      </x:c>
      <x:c r="B8" s="78" t="str">
        <x:f>'In_Cases'!B8</x:f>
        <x:v>19</x:v>
      </x:c>
      <x:c r="C8" s="78" t="str">
        <x:f>'In_Cases'!C8</x:f>
        <x:v>Test building 3</x:v>
      </x:c>
      <x:c r="D8" s="78" t="str">
        <x:f>'In_Cases'!D8</x:f>
        <x:v>aggregate</x:v>
      </x:c>
      <x:c r="E8" s="78" t="str">
        <x:f>'In_Cases'!E8</x:f>
        <x:v>building_aggregate</x:v>
      </x:c>
      <x:c r="F8" s="82" t="n">
        <x:f>'In_Cases'!F8</x:f>
        <x:v>1556.1015625</x:v>
      </x:c>
      <x:c r="G8" s="82" t="n">
        <x:f>SUM('Out_Monthly'!L74:L85)</x:f>
        <x:v>290534.8982783884</x:v>
      </x:c>
      <x:c r="H8" s="82" t="n">
        <x:f>SUM('Out_Monthly'!O74:O85)</x:f>
        <x:v>35713.56556574338</x:v>
      </x:c>
      <x:c r="I8" s="82" t="n">
        <x:f>G8/F8</x:f>
        <x:v>186.70689965224454</x:v>
      </x:c>
      <x:c r="J8" s="82" t="n">
        <x:f>H8/F8</x:f>
        <x:v>22.950664934984527</x:v>
      </x:c>
    </x:row>
    <x:row r="9">
      <x:c r="A9" s="78" t="str">
        <x:f>'In_Cases'!A9</x:f>
        <x:v>19|lower</x:v>
      </x:c>
      <x:c r="B9" s="78" t="str">
        <x:f>'In_Cases'!B9</x:f>
        <x:v>19</x:v>
      </x:c>
      <x:c r="C9" s="78" t="str">
        <x:f>'In_Cases'!C9</x:f>
        <x:v>Test building 3</x:v>
      </x:c>
      <x:c r="D9" s="78" t="str">
        <x:f>'In_Cases'!D9</x:f>
        <x:v>lower</x:v>
      </x:c>
      <x:c r="E9" s="78" t="str">
        <x:f>'In_Cases'!E9</x:f>
        <x:v>individual_zone:lower</x:v>
      </x:c>
      <x:c r="F9" s="82" t="n">
        <x:f>'In_Cases'!F9</x:f>
        <x:v>389.025390625</x:v>
      </x:c>
      <x:c r="G9" s="82" t="n">
        <x:f>SUM('Out_Monthly'!L86:L97)</x:f>
        <x:v>75658.15630791381</x:v>
      </x:c>
      <x:c r="H9" s="82" t="n">
        <x:f>SUM('Out_Monthly'!O86:O97)</x:f>
        <x:v>27188.08766803211</x:v>
      </x:c>
      <x:c r="I9" s="82" t="n">
        <x:f>G9/F9</x:f>
        <x:v>194.48128099392952</x:v>
      </x:c>
      <x:c r="J9" s="82" t="n">
        <x:f>H9/F9</x:f>
        <x:v>69.88769453930064</x:v>
      </x:c>
    </x:row>
    <x:row r="10">
      <x:c r="A10" s="78" t="str">
        <x:f>'In_Cases'!A10</x:f>
        <x:v>19|upper</x:v>
      </x:c>
      <x:c r="B10" s="78" t="str">
        <x:f>'In_Cases'!B10</x:f>
        <x:v>19</x:v>
      </x:c>
      <x:c r="C10" s="78" t="str">
        <x:f>'In_Cases'!C10</x:f>
        <x:v>Test building 3</x:v>
      </x:c>
      <x:c r="D10" s="78" t="str">
        <x:f>'In_Cases'!D10</x:f>
        <x:v>upper</x:v>
      </x:c>
      <x:c r="E10" s="78" t="str">
        <x:f>'In_Cases'!E10</x:f>
        <x:v>individual_zone:upper</x:v>
      </x:c>
      <x:c r="F10" s="82" t="n">
        <x:f>'In_Cases'!F10</x:f>
        <x:v>1167.076171875</x:v>
      </x:c>
      <x:c r="G10" s="82" t="n">
        <x:f>SUM('Out_Monthly'!L98:L109)</x:f>
        <x:v>225671.69485532766</x:v>
      </x:c>
      <x:c r="H10" s="82" t="n">
        <x:f>SUM('Out_Monthly'!O98:O109)</x:f>
        <x:v>10285.589097633958</x:v>
      </x:c>
      <x:c r="I10" s="82" t="n">
        <x:f>G10/F10</x:f>
        <x:v>193.36500932305754</x:v>
      </x:c>
      <x:c r="J10" s="82" t="n">
        <x:f>H10/F10</x:f>
        <x:v>8.813125780050283</x:v>
      </x:c>
    </x:row>
    <x:row r="11">
      <x:c r="A11" s="78" t="str">
        <x:f>'In_Cases'!A11</x:f>
        <x:v>20|aggregate</x:v>
      </x:c>
      <x:c r="B11" s="78" t="str">
        <x:f>'In_Cases'!B11</x:f>
        <x:v>20</x:v>
      </x:c>
      <x:c r="C11" s="78" t="str">
        <x:f>'In_Cases'!C11</x:f>
        <x:v>Test building 4</x:v>
      </x:c>
      <x:c r="D11" s="78" t="str">
        <x:f>'In_Cases'!D11</x:f>
        <x:v>aggregate</x:v>
      </x:c>
      <x:c r="E11" s="78" t="str">
        <x:f>'In_Cases'!E11</x:f>
        <x:v>building_aggregate</x:v>
      </x:c>
      <x:c r="F11" s="82" t="n">
        <x:f>'In_Cases'!F11</x:f>
        <x:v>13459.392578125</x:v>
      </x:c>
      <x:c r="G11" s="82" t="n">
        <x:f>SUM('Out_Monthly'!L110:L121)</x:f>
        <x:v>1145202.1048355643</x:v>
      </x:c>
      <x:c r="H11" s="82" t="n">
        <x:f>SUM('Out_Monthly'!O110:O121)</x:f>
        <x:v>79256.58845352329</x:v>
      </x:c>
      <x:c r="I11" s="82" t="n">
        <x:f>G11/F11</x:f>
        <x:v>85.08571974464988</x:v>
      </x:c>
      <x:c r="J11" s="82" t="n">
        <x:f>H11/F11</x:f>
        <x:v>5.888570973279714</x:v>
      </x:c>
    </x:row>
    <x:row r="12">
      <x:c r="A12" s="78" t="str">
        <x:f>'In_Cases'!A12</x:f>
        <x:v>20|lower</x:v>
      </x:c>
      <x:c r="B12" s="78" t="str">
        <x:f>'In_Cases'!B12</x:f>
        <x:v>20</x:v>
      </x:c>
      <x:c r="C12" s="78" t="str">
        <x:f>'In_Cases'!C12</x:f>
        <x:v>Test building 4</x:v>
      </x:c>
      <x:c r="D12" s="78" t="str">
        <x:f>'In_Cases'!D12</x:f>
        <x:v>lower</x:v>
      </x:c>
      <x:c r="E12" s="78" t="str">
        <x:f>'In_Cases'!E12</x:f>
        <x:v>individual_zone:lower</x:v>
      </x:c>
      <x:c r="F12" s="82" t="n">
        <x:f>'In_Cases'!F12</x:f>
        <x:v>1682.424072265625</x:v>
      </x:c>
      <x:c r="G12" s="82" t="n">
        <x:f>SUM('Out_Monthly'!L122:L133)</x:f>
        <x:v>295093.41680673877</x:v>
      </x:c>
      <x:c r="H12" s="82" t="n">
        <x:f>SUM('Out_Monthly'!O122:O133)</x:f>
        <x:v>2358.8496495376385</x:v>
      </x:c>
      <x:c r="I12" s="82" t="n">
        <x:f>G12/F12</x:f>
        <x:v>175.39776187899713</x:v>
      </x:c>
      <x:c r="J12" s="82" t="n">
        <x:f>H12/F12</x:f>
        <x:v>1.4020541481917277</x:v>
      </x:c>
    </x:row>
    <x:row r="13">
      <x:c r="A13" s="78" t="str">
        <x:f>'In_Cases'!A13</x:f>
        <x:v>20|upper</x:v>
      </x:c>
      <x:c r="B13" s="78" t="str">
        <x:f>'In_Cases'!B13</x:f>
        <x:v>20</x:v>
      </x:c>
      <x:c r="C13" s="78" t="str">
        <x:f>'In_Cases'!C13</x:f>
        <x:v>Test building 4</x:v>
      </x:c>
      <x:c r="D13" s="78" t="str">
        <x:f>'In_Cases'!D13</x:f>
        <x:v>upper</x:v>
      </x:c>
      <x:c r="E13" s="78" t="str">
        <x:f>'In_Cases'!E13</x:f>
        <x:v>individual_zone:upper</x:v>
      </x:c>
      <x:c r="F13" s="82" t="n">
        <x:f>'In_Cases'!F13</x:f>
        <x:v>11776.968505859375</x:v>
      </x:c>
      <x:c r="G13" s="82" t="n">
        <x:f>SUM('Out_Monthly'!L134:L145)</x:f>
        <x:v>855257.0142668685</x:v>
      </x:c>
      <x:c r="H13" s="82" t="n">
        <x:f>SUM('Out_Monthly'!O134:O145)</x:f>
        <x:v>76705.01718313216</x:v>
      </x:c>
      <x:c r="I13" s="82" t="n">
        <x:f>G13/F13</x:f>
        <x:v>72.62115151631372</x:v>
      </x:c>
      <x:c r="J13" s="82" t="n">
        <x:f>H13/F13</x:f>
        <x:v>6.513137667386072</x:v>
      </x:c>
    </x:row>
    <x:row r="14">
      <x:c r="A14" s="78" t="str">
        <x:f>'In_Cases'!A14</x:f>
        <x:v>21|aggregate</x:v>
      </x:c>
      <x:c r="B14" s="78" t="str">
        <x:f>'In_Cases'!B14</x:f>
        <x:v>21</x:v>
      </x:c>
      <x:c r="C14" s="78" t="str">
        <x:f>'In_Cases'!C14</x:f>
        <x:v>Test building 5</x:v>
      </x:c>
      <x:c r="D14" s="78" t="str">
        <x:f>'In_Cases'!D14</x:f>
        <x:v>aggregate</x:v>
      </x:c>
      <x:c r="E14" s="78" t="str">
        <x:f>'In_Cases'!E14</x:f>
        <x:v>building_aggregate</x:v>
      </x:c>
      <x:c r="F14" s="82" t="n">
        <x:f>'In_Cases'!F14</x:f>
        <x:v>43748.3408203125</x:v>
      </x:c>
      <x:c r="G14" s="82" t="n">
        <x:f>SUM('Out_Monthly'!L146:L157)</x:f>
        <x:v>2908477.9029754023</x:v>
      </x:c>
      <x:c r="H14" s="82" t="n">
        <x:f>SUM('Out_Monthly'!O146:O157)</x:f>
        <x:v>254315.01598519628</x:v>
      </x:c>
      <x:c r="I14" s="82" t="n">
        <x:f>G14/F14</x:f>
        <x:v>66.48201619625735</x:v>
      </x:c>
      <x:c r="J14" s="82" t="n">
        <x:f>H14/F14</x:f>
        <x:v>5.813135109048912</x:v>
      </x:c>
    </x:row>
  </x:sheetData>
  <x:pageMargins left="0.7" right="0.7" top="0.75" bottom="0.75" header="0.3" footer="0.3"/>
  <x:tableParts count="1">
    <x:tablePart xmlns:r="http://schemas.openxmlformats.org/officeDocument/2006/relationships" r:id="R44fa729c2d8444f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46" hidden="0" customWidth="1"/>
    <x:col min="12" max="12" width="30" hidden="0" customWidth="1"/>
    <x:col min="13" max="13" width="20" hidden="0" customWidth="1"/>
    <x:col min="14" max="14" width="20" hidden="0" customWidth="1"/>
  </x:cols>
  <x:sheetData>
    <x:row r="1" ht="30" customHeight="1">
      <x:c r="A1" s="33" t="str">
        <x:v>case</x:v>
      </x:c>
      <x:c r="B1" s="33" t="str">
        <x:v>semi_stationary_heating_kWh</x:v>
      </x:c>
      <x:c r="C1" s="33" t="str">
        <x:v>spreadsheet_heating_kWh</x:v>
      </x:c>
      <x:c r="D1" s="33" t="str">
        <x:v>heating_difference_kWh</x:v>
      </x:c>
      <x:c r="E1" s="33" t="str">
        <x:v>heating_difference_pct</x:v>
      </x:c>
      <x:c r="F1" s="33" t="str">
        <x:v>semi_stationary_cooling_kWh</x:v>
      </x:c>
      <x:c r="G1" s="33" t="str">
        <x:v>spreadsheet_cooling_kWh</x:v>
      </x:c>
      <x:c r="H1" s="33" t="str">
        <x:v>cooling_difference_kWh</x:v>
      </x:c>
      <x:c r="I1" s="33" t="str">
        <x:v>cooling_difference_pct</x:v>
      </x:c>
      <x:c r="J1" s="33" t="str">
        <x:v>interpretation</x:v>
      </x:c>
      <x:c r="L1" s="33" t="str">
        <x:v>case</x:v>
      </x:c>
      <x:c r="M1" s="33" t="str">
        <x:v>heating difference</x:v>
      </x:c>
      <x:c r="N1" s="33" t="str">
        <x:v>cooling difference</x:v>
      </x:c>
    </x:row>
    <x:row r="2">
      <x:c r="A2" s="77" t="str">
        <x:f>"Piovego — aggregate"</x:f>
        <x:v>Piovego — aggregate</x:v>
      </x:c>
      <x:c r="B2" s="81" t="n">
        <x:f>SUM('Tested_Results'!N2:N13)</x:f>
        <x:v>320080.94236463594</x:v>
      </x:c>
      <x:c r="C2" s="81" t="n">
        <x:f>'Out_Annual'!G2</x:f>
        <x:v>296785.4672358824</x:v>
      </x:c>
      <x:c r="D2" s="81" t="n">
        <x:f>C2-B2</x:f>
        <x:v>-23295.47512875352</x:v>
      </x:c>
      <x:c r="E2" s="83" t="n">
        <x:f>IF(B2=0,"",D2/B2)</x:f>
        <x:v>-0.07277995046082854</x:v>
      </x:c>
      <x:c r="F2" s="81" t="n">
        <x:f>SUM('Tested_Results'!Q2:Q13)</x:f>
        <x:v>72104.16712646662</x:v>
      </x:c>
      <x:c r="G2" s="81" t="n">
        <x:f>'Out_Annual'!H2</x:f>
        <x:v>66931.97988382731</x:v>
      </x:c>
      <x:c r="H2" s="81" t="n">
        <x:f>G2-F2</x:f>
        <x:v>-5172.187242639309</x:v>
      </x:c>
      <x:c r="I2" s="83" t="n">
        <x:f>IF(F2=0,"",H2/F2)</x:f>
        <x:v>-0.0717321543090233</x:v>
      </x:c>
      <x:c r="J2" s="77" t="str">
        <x:f>"APPROXIMATE — independent zones collapsed"</x:f>
        <x:v>APPROXIMATE — independent zones collapsed</x:v>
      </x:c>
      <x:c r="L2" s="58" t="str">
        <x:f>A2</x:f>
        <x:v>Piovego — aggregate</x:v>
      </x:c>
      <x:c r="M2" s="85" t="n">
        <x:f>E2</x:f>
        <x:v>-0.07277995046082854</x:v>
      </x:c>
      <x:c r="N2" s="85" t="n">
        <x:f>I2</x:f>
        <x:v>-0.0717321543090233</x:v>
      </x:c>
    </x:row>
    <x:row r="3">
      <x:c r="A3" s="78" t="str">
        <x:f>"Piovego — lower"</x:f>
        <x:v>Piovego — lower</x:v>
      </x:c>
      <x:c r="B3" s="82" t="n">
        <x:f>SUM('Tested_Results'!N14:N25)</x:f>
        <x:v>122531.90080551279</x:v>
      </x:c>
      <x:c r="C3" s="82" t="n">
        <x:f>'Out_Annual'!G3</x:f>
        <x:v>119665.18570071808</x:v>
      </x:c>
      <x:c r="D3" s="82" t="n">
        <x:f>C3-B3</x:f>
        <x:v>-2866.715104794712</x:v>
      </x:c>
      <x:c r="E3" s="84" t="n">
        <x:f>IF(B3=0,"",D3/B3)</x:f>
        <x:v>-0.023395663381937323</x:v>
      </x:c>
      <x:c r="F3" s="82" t="n">
        <x:f>SUM('Tested_Results'!Q14:Q25)</x:f>
        <x:v>51128.10356569028</x:v>
      </x:c>
      <x:c r="G3" s="82" t="n">
        <x:f>'Out_Annual'!H3</x:f>
        <x:v>49198.638599240876</x:v>
      </x:c>
      <x:c r="H3" s="82" t="n">
        <x:f>G3-F3</x:f>
        <x:v>-1929.4649664494063</x:v>
      </x:c>
      <x:c r="I3" s="84" t="n">
        <x:f>IF(F3=0,"",H3/F3)</x:f>
        <x:v>-0.037737855149866766</x:v>
      </x:c>
      <x:c r="J3" s="78" t="str">
        <x:f>"APPROXIMATE — monthly/annual mapping assumptions"</x:f>
        <x:v>APPROXIMATE — monthly/annual mapping assumptions</x:v>
      </x:c>
      <x:c r="L3" s="59" t="str">
        <x:f>A3</x:f>
        <x:v>Piovego — lower</x:v>
      </x:c>
      <x:c r="M3" s="86" t="n">
        <x:f>E3</x:f>
        <x:v>-0.023395663381937323</x:v>
      </x:c>
      <x:c r="N3" s="86" t="n">
        <x:f>I3</x:f>
        <x:v>-0.037737855149866766</x:v>
      </x:c>
    </x:row>
    <x:row r="4">
      <x:c r="A4" s="78" t="str">
        <x:f>"Piovego — upper"</x:f>
        <x:v>Piovego — upper</x:v>
      </x:c>
      <x:c r="B4" s="82" t="n">
        <x:f>SUM('Tested_Results'!N26:N37)</x:f>
        <x:v>197549.0415591231</x:v>
      </x:c>
      <x:c r="C4" s="82" t="n">
        <x:f>'Out_Annual'!G4</x:f>
        <x:v>196018.00606705295</x:v>
      </x:c>
      <x:c r="D4" s="82" t="n">
        <x:f>C4-B4</x:f>
        <x:v>-1531.0354920701648</x:v>
      </x:c>
      <x:c r="E4" s="84" t="n">
        <x:f>IF(B4=0,"",D4/B4)</x:f>
        <x:v>-0.0077501539870136575</x:v>
      </x:c>
      <x:c r="F4" s="82" t="n">
        <x:f>SUM('Tested_Results'!Q26:Q37)</x:f>
        <x:v>20976.063560776332</x:v>
      </x:c>
      <x:c r="G4" s="82" t="n">
        <x:f>'Out_Annual'!H4</x:f>
        <x:v>19997.799962897687</x:v>
      </x:c>
      <x:c r="H4" s="82" t="n">
        <x:f>G4-F4</x:f>
        <x:v>-978.2635978786457</x:v>
      </x:c>
      <x:c r="I4" s="84" t="n">
        <x:f>IF(F4=0,"",H4/F4)</x:f>
        <x:v>-0.04663713928231631</x:v>
      </x:c>
      <x:c r="J4" s="78" t="str">
        <x:f>"APPROXIMATE — monthly/annual mapping assumptions"</x:f>
        <x:v>APPROXIMATE — monthly/annual mapping assumptions</x:v>
      </x:c>
      <x:c r="L4" s="59" t="str">
        <x:f>A4</x:f>
        <x:v>Piovego — upper</x:v>
      </x:c>
      <x:c r="M4" s="86" t="n">
        <x:f>E4</x:f>
        <x:v>-0.0077501539870136575</x:v>
      </x:c>
      <x:c r="N4" s="86" t="n">
        <x:f>I4</x:f>
        <x:v>-0.04663713928231631</x:v>
      </x:c>
    </x:row>
    <x:row r="5">
      <x:c r="A5" s="78" t="str">
        <x:f>"RB3 — aggregate"</x:f>
        <x:v>RB3 — aggregate</x:v>
      </x:c>
      <x:c r="B5" s="82" t="n">
        <x:f>SUM('Tested_Results'!N38:N49)</x:f>
        <x:v>138054.390226279</x:v>
      </x:c>
      <x:c r="C5" s="82" t="n">
        <x:f>'Out_Annual'!G5</x:f>
        <x:v>128191.17820977983</x:v>
      </x:c>
      <x:c r="D5" s="82" t="n">
        <x:f>C5-B5</x:f>
        <x:v>-9863.21201649918</x:v>
      </x:c>
      <x:c r="E5" s="84" t="n">
        <x:f>IF(B5=0,"",D5/B5)</x:f>
        <x:v>-0.07144439231764244</x:v>
      </x:c>
      <x:c r="F5" s="82" t="n">
        <x:f>SUM('Tested_Results'!Q38:Q49)</x:f>
        <x:v>34289.465268266285</x:v>
      </x:c>
      <x:c r="G5" s="82" t="n">
        <x:f>'Out_Annual'!H5</x:f>
        <x:v>32422.265004857327</x:v>
      </x:c>
      <x:c r="H5" s="82" t="n">
        <x:f>G5-F5</x:f>
        <x:v>-1867.2002634089586</x:v>
      </x:c>
      <x:c r="I5" s="84" t="n">
        <x:f>IF(F5=0,"",H5/F5)</x:f>
        <x:v>-0.054454050210488054</x:v>
      </x:c>
      <x:c r="J5" s="78" t="str">
        <x:f>"APPROXIMATE — independent zones collapsed"</x:f>
        <x:v>APPROXIMATE — independent zones collapsed</x:v>
      </x:c>
      <x:c r="L5" s="59" t="str">
        <x:f>A5</x:f>
        <x:v>RB3 — aggregate</x:v>
      </x:c>
      <x:c r="M5" s="86" t="n">
        <x:f>E5</x:f>
        <x:v>-0.07144439231764244</x:v>
      </x:c>
      <x:c r="N5" s="86" t="n">
        <x:f>I5</x:f>
        <x:v>-0.054454050210488054</x:v>
      </x:c>
    </x:row>
    <x:row r="6">
      <x:c r="A6" s="78" t="str">
        <x:f>"RB3 — lower"</x:f>
        <x:v>RB3 — lower</x:v>
      </x:c>
      <x:c r="B6" s="82" t="n">
        <x:f>SUM('Tested_Results'!N50:N61)</x:f>
        <x:v>58273.66400832703</x:v>
      </x:c>
      <x:c r="C6" s="82" t="n">
        <x:f>'Out_Annual'!G6</x:f>
        <x:v>57938.219568732355</x:v>
      </x:c>
      <x:c r="D6" s="82" t="n">
        <x:f>C6-B6</x:f>
        <x:v>-335.44443959467753</x:v>
      </x:c>
      <x:c r="E6" s="84" t="n">
        <x:f>IF(B6=0,"",D6/B6)</x:f>
        <x:v>-0.005756364308013035</x:v>
      </x:c>
      <x:c r="F6" s="82" t="n">
        <x:f>SUM('Tested_Results'!Q50:Q61)</x:f>
        <x:v>24011.265324860633</x:v>
      </x:c>
      <x:c r="G6" s="82" t="n">
        <x:f>'Out_Annual'!H6</x:f>
        <x:v>23563.774193929894</x:v>
      </x:c>
      <x:c r="H6" s="82" t="n">
        <x:f>G6-F6</x:f>
        <x:v>-447.491130930739</x:v>
      </x:c>
      <x:c r="I6" s="84" t="n">
        <x:f>IF(F6=0,"",H6/F6)</x:f>
        <x:v>-0.018636715927978127</x:v>
      </x:c>
      <x:c r="J6" s="78" t="str">
        <x:f>"APPROXIMATE — monthly/annual mapping assumptions"</x:f>
        <x:v>APPROXIMATE — monthly/annual mapping assumptions</x:v>
      </x:c>
      <x:c r="L6" s="59" t="str">
        <x:f>A6</x:f>
        <x:v>RB3 — lower</x:v>
      </x:c>
      <x:c r="M6" s="86" t="n">
        <x:f>E6</x:f>
        <x:v>-0.005756364308013035</x:v>
      </x:c>
      <x:c r="N6" s="86" t="n">
        <x:f>I6</x:f>
        <x:v>-0.018636715927978127</x:v>
      </x:c>
    </x:row>
    <x:row r="7">
      <x:c r="A7" s="78" t="str">
        <x:f>"RB3 — upper"</x:f>
        <x:v>RB3 — upper</x:v>
      </x:c>
      <x:c r="B7" s="82" t="n">
        <x:f>SUM('Tested_Results'!N62:N73)</x:f>
        <x:v>79780.72621795197</x:v>
      </x:c>
      <x:c r="C7" s="82" t="n">
        <x:f>'Out_Annual'!G7</x:f>
        <x:v>79717.5409427755</x:v>
      </x:c>
      <x:c r="D7" s="82" t="n">
        <x:f>C7-B7</x:f>
        <x:v>-63.18527517648181</x:v>
      </x:c>
      <x:c r="E7" s="84" t="n">
        <x:f>IF(B7=0,"",D7/B7)</x:f>
        <x:v>-0.0007919867137316692</x:v>
      </x:c>
      <x:c r="F7" s="82" t="n">
        <x:f>SUM('Tested_Results'!Q62:Q73)</x:f>
        <x:v>10278.199943405658</x:v>
      </x:c>
      <x:c r="G7" s="82" t="n">
        <x:f>'Out_Annual'!H7</x:f>
        <x:v>10706.776160970578</x:v>
      </x:c>
      <x:c r="H7" s="82" t="n">
        <x:f>G7-F7</x:f>
        <x:v>428.5762175649197</x:v>
      </x:c>
      <x:c r="I7" s="84" t="n">
        <x:f>IF(F7=0,"",H7/F7)</x:f>
        <x:v>0.041697594902294924</x:v>
      </x:c>
      <x:c r="J7" s="78" t="str">
        <x:f>"APPROXIMATE — monthly/annual mapping assumptions"</x:f>
        <x:v>APPROXIMATE — monthly/annual mapping assumptions</x:v>
      </x:c>
      <x:c r="L7" s="59" t="str">
        <x:f>A7</x:f>
        <x:v>RB3 — upper</x:v>
      </x:c>
      <x:c r="M7" s="86" t="n">
        <x:f>E7</x:f>
        <x:v>-0.0007919867137316692</x:v>
      </x:c>
      <x:c r="N7" s="86" t="n">
        <x:f>I7</x:f>
        <x:v>0.041697594902294924</x:v>
      </x:c>
    </x:row>
    <x:row r="8">
      <x:c r="A8" s="78" t="str">
        <x:f>"RB4 — aggregate"</x:f>
        <x:v>RB4 — aggregate</x:v>
      </x:c>
      <x:c r="B8" s="82" t="n">
        <x:f>SUM('Tested_Results'!N74:N85)</x:f>
        <x:v>304313.5401661038</x:v>
      </x:c>
      <x:c r="C8" s="82" t="n">
        <x:f>'Out_Annual'!G8</x:f>
        <x:v>290534.8982783884</x:v>
      </x:c>
      <x:c r="D8" s="82" t="n">
        <x:f>C8-B8</x:f>
        <x:v>-13778.641887715377</x:v>
      </x:c>
      <x:c r="E8" s="84" t="n">
        <x:f>IF(B8=0,"",D8/B8)</x:f>
        <x:v>-0.0452777811995962</x:v>
      </x:c>
      <x:c r="F8" s="82" t="n">
        <x:f>SUM('Tested_Results'!Q74:Q85)</x:f>
        <x:v>37862.94813146074</x:v>
      </x:c>
      <x:c r="G8" s="82" t="n">
        <x:f>'Out_Annual'!H8</x:f>
        <x:v>35713.56556574338</x:v>
      </x:c>
      <x:c r="H8" s="82" t="n">
        <x:f>G8-F8</x:f>
        <x:v>-2149.3825657173584</x:v>
      </x:c>
      <x:c r="I8" s="84" t="n">
        <x:f>IF(F8=0,"",H8/F8)</x:f>
        <x:v>-0.05676743813647762</x:v>
      </x:c>
      <x:c r="J8" s="78" t="str">
        <x:f>"APPROXIMATE — independent zones collapsed"</x:f>
        <x:v>APPROXIMATE — independent zones collapsed</x:v>
      </x:c>
      <x:c r="L8" s="59" t="str">
        <x:f>A8</x:f>
        <x:v>RB4 — aggregate</x:v>
      </x:c>
      <x:c r="M8" s="86" t="n">
        <x:f>E8</x:f>
        <x:v>-0.0452777811995962</x:v>
      </x:c>
      <x:c r="N8" s="86" t="n">
        <x:f>I8</x:f>
        <x:v>-0.05676743813647762</x:v>
      </x:c>
    </x:row>
    <x:row r="9">
      <x:c r="A9" s="78" t="str">
        <x:f>"RB4 — lower"</x:f>
        <x:v>RB4 — lower</x:v>
      </x:c>
      <x:c r="B9" s="82" t="n">
        <x:f>SUM('Tested_Results'!N86:N97)</x:f>
        <x:v>76738.57679979727</x:v>
      </x:c>
      <x:c r="C9" s="82" t="n">
        <x:f>'Out_Annual'!G9</x:f>
        <x:v>75658.15630791381</x:v>
      </x:c>
      <x:c r="D9" s="82" t="n">
        <x:f>C9-B9</x:f>
        <x:v>-1080.4204918834585</x:v>
      </x:c>
      <x:c r="E9" s="84" t="n">
        <x:f>IF(B9=0,"",D9/B9)</x:f>
        <x:v>-0.014079235463307586</x:v>
      </x:c>
      <x:c r="F9" s="82" t="n">
        <x:f>SUM('Tested_Results'!Q86:Q97)</x:f>
        <x:v>28015.424074670205</x:v>
      </x:c>
      <x:c r="G9" s="82" t="n">
        <x:f>'Out_Annual'!H9</x:f>
        <x:v>27188.08766803211</x:v>
      </x:c>
      <x:c r="H9" s="82" t="n">
        <x:f>G9-F9</x:f>
        <x:v>-827.3364066380964</x:v>
      </x:c>
      <x:c r="I9" s="84" t="n">
        <x:f>IF(F9=0,"",H9/F9)</x:f>
        <x:v>-0.029531461113455792</x:v>
      </x:c>
      <x:c r="J9" s="78" t="str">
        <x:f>"APPROXIMATE — monthly/annual mapping assumptions"</x:f>
        <x:v>APPROXIMATE — monthly/annual mapping assumptions</x:v>
      </x:c>
      <x:c r="L9" s="59" t="str">
        <x:f>A9</x:f>
        <x:v>RB4 — lower</x:v>
      </x:c>
      <x:c r="M9" s="86" t="n">
        <x:f>E9</x:f>
        <x:v>-0.014079235463307586</x:v>
      </x:c>
      <x:c r="N9" s="86" t="n">
        <x:f>I9</x:f>
        <x:v>-0.029531461113455792</x:v>
      </x:c>
    </x:row>
    <x:row r="10">
      <x:c r="A10" s="78" t="str">
        <x:f>"RB4 — upper"</x:f>
        <x:v>RB4 — upper</x:v>
      </x:c>
      <x:c r="B10" s="82" t="n">
        <x:f>SUM('Tested_Results'!N98:N109)</x:f>
        <x:v>227574.9633663066</x:v>
      </x:c>
      <x:c r="C10" s="82" t="n">
        <x:f>'Out_Annual'!G10</x:f>
        <x:v>225671.69485532766</x:v>
      </x:c>
      <x:c r="D10" s="82" t="n">
        <x:f>C10-B10</x:f>
        <x:v>-1903.2685109789309</x:v>
      </x:c>
      <x:c r="E10" s="84" t="n">
        <x:f>IF(B10=0,"",D10/B10)</x:f>
        <x:v>-0.00836325966101734</x:v>
      </x:c>
      <x:c r="F10" s="82" t="n">
        <x:f>SUM('Tested_Results'!Q98:Q109)</x:f>
        <x:v>9847.524056790538</x:v>
      </x:c>
      <x:c r="G10" s="82" t="n">
        <x:f>'Out_Annual'!H10</x:f>
        <x:v>10285.589097633958</x:v>
      </x:c>
      <x:c r="H10" s="82" t="n">
        <x:f>G10-F10</x:f>
        <x:v>438.0650408434194</x:v>
      </x:c>
      <x:c r="I10" s="84" t="n">
        <x:f>IF(F10=0,"",H10/F10)</x:f>
        <x:v>0.04448479011750611</x:v>
      </x:c>
      <x:c r="J10" s="78" t="str">
        <x:f>"APPROXIMATE — monthly/annual mapping assumptions"</x:f>
        <x:v>APPROXIMATE — monthly/annual mapping assumptions</x:v>
      </x:c>
      <x:c r="L10" s="59" t="str">
        <x:f>A10</x:f>
        <x:v>RB4 — upper</x:v>
      </x:c>
      <x:c r="M10" s="86" t="n">
        <x:f>E10</x:f>
        <x:v>-0.00836325966101734</x:v>
      </x:c>
      <x:c r="N10" s="86" t="n">
        <x:f>I10</x:f>
        <x:v>0.04448479011750611</x:v>
      </x:c>
    </x:row>
    <x:row r="11">
      <x:c r="A11" s="78" t="str">
        <x:f>"TorreArchimede — aggregate"</x:f>
        <x:v>TorreArchimede — aggregate</x:v>
      </x:c>
      <x:c r="B11" s="82" t="n">
        <x:f>SUM('Tested_Results'!N110:N121)</x:f>
        <x:v>1159574.9892277159</x:v>
      </x:c>
      <x:c r="C11" s="82" t="n">
        <x:f>'Out_Annual'!G11</x:f>
        <x:v>1145202.1048355643</x:v>
      </x:c>
      <x:c r="D11" s="82" t="n">
        <x:f>C11-B11</x:f>
        <x:v>-14372.884392151609</x:v>
      </x:c>
      <x:c r="E11" s="84" t="n">
        <x:f>IF(B11=0,"",D11/B11)</x:f>
        <x:v>-0.012394958951058473</x:v>
      </x:c>
      <x:c r="F11" s="82" t="n">
        <x:f>SUM('Tested_Results'!Q110:Q121)</x:f>
        <x:v>84637.12517990381</x:v>
      </x:c>
      <x:c r="G11" s="82" t="n">
        <x:f>'Out_Annual'!H11</x:f>
        <x:v>79256.58845352329</x:v>
      </x:c>
      <x:c r="H11" s="82" t="n">
        <x:f>G11-F11</x:f>
        <x:v>-5380.536726380524</x:v>
      </x:c>
      <x:c r="I11" s="84" t="n">
        <x:f>IF(F11=0,"",H11/F11)</x:f>
        <x:v>-0.06357182755136956</x:v>
      </x:c>
      <x:c r="J11" s="78" t="str">
        <x:f>"APPROXIMATE — independent zones collapsed"</x:f>
        <x:v>APPROXIMATE — independent zones collapsed</x:v>
      </x:c>
      <x:c r="L11" s="59" t="str">
        <x:f>A11</x:f>
        <x:v>TorreArchimede — aggregate</x:v>
      </x:c>
      <x:c r="M11" s="86" t="n">
        <x:f>E11</x:f>
        <x:v>-0.012394958951058473</x:v>
      </x:c>
      <x:c r="N11" s="86" t="n">
        <x:f>I11</x:f>
        <x:v>-0.06357182755136956</x:v>
      </x:c>
    </x:row>
    <x:row r="12">
      <x:c r="A12" s="78" t="str">
        <x:f>"TorreArchimede — lower"</x:f>
        <x:v>TorreArchimede — lower</x:v>
      </x:c>
      <x:c r="B12" s="82" t="n">
        <x:f>SUM('Tested_Results'!N122:N133)</x:f>
        <x:v>296723.4689279719</x:v>
      </x:c>
      <x:c r="C12" s="82" t="n">
        <x:f>'Out_Annual'!G12</x:f>
        <x:v>295093.41680673877</x:v>
      </x:c>
      <x:c r="D12" s="82" t="n">
        <x:f>C12-B12</x:f>
        <x:v>-1630.0521212331369</x:v>
      </x:c>
      <x:c r="E12" s="84" t="n">
        <x:f>IF(B12=0,"",D12/B12)</x:f>
        <x:v>-0.005493505879809</x:v>
      </x:c>
      <x:c r="F12" s="82" t="n">
        <x:f>SUM('Tested_Results'!Q122:Q133)</x:f>
        <x:v>2660.5141610684523</x:v>
      </x:c>
      <x:c r="G12" s="82" t="n">
        <x:f>'Out_Annual'!H12</x:f>
        <x:v>2358.8496495376385</x:v>
      </x:c>
      <x:c r="H12" s="82" t="n">
        <x:f>G12-F12</x:f>
        <x:v>-301.6645115308138</x:v>
      </x:c>
      <x:c r="I12" s="84" t="n">
        <x:f>IF(F12=0,"",H12/F12)</x:f>
        <x:v>-0.11338579434949013</x:v>
      </x:c>
      <x:c r="J12" s="78" t="str">
        <x:f>"APPROXIMATE — monthly/annual mapping assumptions"</x:f>
        <x:v>APPROXIMATE — monthly/annual mapping assumptions</x:v>
      </x:c>
      <x:c r="L12" s="59" t="str">
        <x:f>A12</x:f>
        <x:v>TorreArchimede — lower</x:v>
      </x:c>
      <x:c r="M12" s="86" t="n">
        <x:f>E12</x:f>
        <x:v>-0.005493505879809</x:v>
      </x:c>
      <x:c r="N12" s="86" t="n">
        <x:f>I12</x:f>
        <x:v>-0.11338579434949013</x:v>
      </x:c>
    </x:row>
    <x:row r="13">
      <x:c r="A13" s="78" t="str">
        <x:f>"TorreArchimede — upper"</x:f>
        <x:v>TorreArchimede — upper</x:v>
      </x:c>
      <x:c r="B13" s="82" t="n">
        <x:f>SUM('Tested_Results'!N134:N145)</x:f>
        <x:v>862851.5202997442</x:v>
      </x:c>
      <x:c r="C13" s="82" t="n">
        <x:f>'Out_Annual'!G13</x:f>
        <x:v>855257.0142668685</x:v>
      </x:c>
      <x:c r="D13" s="82" t="n">
        <x:f>C13-B13</x:f>
        <x:v>-7594.506032875739</x:v>
      </x:c>
      <x:c r="E13" s="84" t="n">
        <x:f>IF(B13=0,"",D13/B13)</x:f>
        <x:v>-0.008801637192732185</x:v>
      </x:c>
      <x:c r="F13" s="82" t="n">
        <x:f>SUM('Tested_Results'!Q134:Q145)</x:f>
        <x:v>81976.61101883536</x:v>
      </x:c>
      <x:c r="G13" s="82" t="n">
        <x:f>'Out_Annual'!H13</x:f>
        <x:v>76705.01718313216</x:v>
      </x:c>
      <x:c r="H13" s="82" t="n">
        <x:f>G13-F13</x:f>
        <x:v>-5271.593835703199</x:v>
      </x:c>
      <x:c r="I13" s="84" t="n">
        <x:f>IF(F13=0,"",H13/F13)</x:f>
        <x:v>-0.06430607181958242</x:v>
      </x:c>
      <x:c r="J13" s="78" t="str">
        <x:f>"APPROXIMATE — monthly/annual mapping assumptions"</x:f>
        <x:v>APPROXIMATE — monthly/annual mapping assumptions</x:v>
      </x:c>
      <x:c r="L13" s="59" t="str">
        <x:f>A13</x:f>
        <x:v>TorreArchimede — upper</x:v>
      </x:c>
      <x:c r="M13" s="86" t="n">
        <x:f>E13</x:f>
        <x:v>-0.008801637192732185</x:v>
      </x:c>
      <x:c r="N13" s="86" t="n">
        <x:f>I13</x:f>
        <x:v>-0.06430607181958242</x:v>
      </x:c>
    </x:row>
    <x:row r="14">
      <x:c r="A14" s="78" t="str">
        <x:f>"Dicea — aggregate"</x:f>
        <x:v>Dicea — aggregate</x:v>
      </x:c>
      <x:c r="B14" s="82" t="n">
        <x:f>SUM('Tested_Results'!N146:N157)</x:f>
        <x:v>2931187.6036937246</x:v>
      </x:c>
      <x:c r="C14" s="82" t="n">
        <x:f>'Out_Annual'!G14</x:f>
        <x:v>2908477.9029754023</x:v>
      </x:c>
      <x:c r="D14" s="82" t="n">
        <x:f>C14-B14</x:f>
        <x:v>-22709.700718322303</x:v>
      </x:c>
      <x:c r="E14" s="84" t="n">
        <x:f>IF(B14=0,"",D14/B14)</x:f>
        <x:v>-0.007747610794240792</x:v>
      </x:c>
      <x:c r="F14" s="82" t="n">
        <x:f>SUM('Tested_Results'!Q146:Q157)</x:f>
        <x:v>269089.10759650375</x:v>
      </x:c>
      <x:c r="G14" s="82" t="n">
        <x:f>'Out_Annual'!H14</x:f>
        <x:v>254315.01598519628</x:v>
      </x:c>
      <x:c r="H14" s="82" t="n">
        <x:f>G14-F14</x:f>
        <x:v>-14774.091611307464</x:v>
      </x:c>
      <x:c r="I14" s="84" t="n">
        <x:f>IF(F14=0,"",H14/F14)</x:f>
        <x:v>-0.054904086394537595</x:v>
      </x:c>
      <x:c r="J14" s="78" t="str">
        <x:f>"APPROXIMATE — monthly/annual mapping assumptions"</x:f>
        <x:v>APPROXIMATE — monthly/annual mapping assumptions</x:v>
      </x:c>
      <x:c r="L14" s="59" t="str">
        <x:f>A14</x:f>
        <x:v>Dicea — aggregate</x:v>
      </x:c>
      <x:c r="M14" s="86" t="n">
        <x:f>E14</x:f>
        <x:v>-0.007747610794240792</x:v>
      </x:c>
      <x:c r="N14" s="86" t="n">
        <x:f>I14</x:f>
        <x:v>-0.054904086394537595</x:v>
      </x:c>
    </x:row>
  </x:sheetData>
  <x:conditionalFormatting sqref="E2:E14">
    <x:cfRule type="expression" dxfId="1" priority="1">
      <x:formula>ABS(E2)&gt;0.1</x:formula>
    </x:cfRule>
  </x:conditionalFormatting>
  <x:conditionalFormatting sqref="I2:I14">
    <x:cfRule type="expression" dxfId="2" priority="2">
      <x:formula>ABS(I2)&gt;0.1</x:formula>
    </x:cfRule>
  </x:conditionalFormatting>
  <x:pageMargins left="0.7" right="0.7" top="0.75" bottom="0.75" header="0.3" footer="0.3"/>
  <x:drawing xmlns:r="http://schemas.openxmlformats.org/officeDocument/2006/relationships" r:id="Rbc8804e5dc5740b5"/>
  <x:tableParts count="1">
    <x:tablePart xmlns:r="http://schemas.openxmlformats.org/officeDocument/2006/relationships" r:id="Rc80467f2a2ad4ecd"/>
  </x:tableParts>
</x:worksheet>
</file>