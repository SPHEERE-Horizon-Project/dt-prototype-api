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534a24719442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antities" sheetId="1" r:id="Ra8d07232aba94513"/>
    <x:sheet xmlns:r="http://schemas.openxmlformats.org/officeDocument/2006/relationships" name="Catalogue" sheetId="2" r:id="R05e5771327724c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"/>
  </x:numFmts>
  <x:fonts count="5">
    <x:font>
      <x:sz val="11"/>
      <x:name val="Carlito"/>
    </x:font>
    <x:font>
      <x:sz val="11"/>
      <x:color rgb="FF243445"/>
      <x:name val="Arial"/>
    </x:font>
    <x:font>
      <x:b/>
      <x:sz val="16"/>
      <x:color rgb="FF24486B"/>
      <x:name val="Arial"/>
    </x:font>
    <x:font>
      <x:sz val="11"/>
      <x:color rgb="FF174B88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24486B"/>
      </x:patternFill>
    </x:fill>
    <x:fill>
      <x:patternFill patternType="solid">
        <x:fgColor rgb="FFEEF1F4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C8D2DC"/>
      </x:bottom>
      <x:diagonal/>
    </x:border>
    <x:border>
      <x:left style="thin">
        <x:color rgb="FFC8D2DC"/>
      </x:left>
      <x:right/>
      <x:top/>
      <x:bottom/>
      <x:diagonal/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20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/>
    </x:xf>
    <x:xf numFmtId="201" fontId="3" fillId="2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201" fontId="1" fillId="4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4" fillId="3" borderId="2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vertical="center" wrapText="1"/>
    </x:xf>
    <x:xf numFmtId="0" fontId="1" fillId="4" borderId="2" xfId="0" applyNumberFormat="1" applyFont="1" applyFill="1" applyBorder="1" applyAlignment="1">
      <x:alignment vertical="center" wrapText="1"/>
    </x:xf>
    <x:xf numFmtId="0" fontId="1" fillId="4" borderId="2" xfId="0" applyNumberFormat="1" applyFont="1" applyFill="1" applyBorder="1" applyAlignment="1">
      <x:alignment vertical="center"/>
    </x:xf>
  </x:cellXfs>
  <x:cellStyles count="1">
    <x:cellStyle name="Normal" xfId="0"/>
  </x:cellStyles>
  <x:dxfs count="3">
    <x:dxf>
      <x:font>
        <x:color rgb="FF8A3D15"/>
      </x:font>
      <x:fill>
        <x:patternFill patternType="solid">
          <x:bgColor rgb="FFFCE8D6"/>
        </x:patternFill>
      </x:fill>
    </x:dxf>
    <x:dxf>
      <x:font>
        <x:b/>
        <x:color rgb="FF9C2620"/>
      </x:font>
      <x:fill>
        <x:patternFill patternType="solid">
          <x:bgColor rgb="FFFADBD8"/>
        </x:patternFill>
      </x:fill>
    </x:dxf>
    <x:dxf>
      <x:font>
        <x:color rgb="FF8A3D15"/>
      </x:font>
      <x:fill>
        <x:patternFill patternType="solid">
          <x:bgColor rgb="FFFCE8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0e774928324fb6" /><Relationship Type="http://schemas.openxmlformats.org/officeDocument/2006/relationships/theme" Target="/xl/theme/theme1.xml" Id="R823aa1fd1be244a2" /><Relationship Type="http://schemas.openxmlformats.org/officeDocument/2006/relationships/sharedStrings" Target="/xl/sharedStrings.xml" Id="R3de42685fe784517" /><Relationship Type="http://schemas.openxmlformats.org/officeDocument/2006/relationships/worksheet" Target="/xl/worksheets/sheet1.xml" Id="Ra8d07232aba94513" /><Relationship Type="http://schemas.openxmlformats.org/officeDocument/2006/relationships/worksheet" Target="/xl/worksheets/sheet2.xml" Id="R05e5771327724c0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4486B"/>
  </x:sheetPr>
  <x:sheetViews>
    <x:sheetView showGridLines="0" workbookViewId="0">
      <x:pane xSplit="2" ySplit="10" topLeftCell="C11" activePane="bottomRight" state="frozen"/>
    </x:sheetView>
  </x:sheetViews>
  <x:sheetFormatPr defaultRowHeight="15"/>
  <x:cols>
    <x:col min="1" max="1" width="27" hidden="0" customWidth="1"/>
    <x:col min="2" max="2" width="27" hidden="0" customWidth="1"/>
    <x:col min="3" max="3" width="16" hidden="0" customWidth="1"/>
    <x:col min="4" max="4" width="18" hidden="0" customWidth="1"/>
    <x:col min="5" max="5" width="15" hidden="0" customWidth="1"/>
    <x:col min="6" max="6" width="22" hidden="0" customWidth="1"/>
    <x:col min="7" max="7" width="49" hidden="0" customWidth="1"/>
    <x:col min="8" max="8" width="16" hidden="0" customWidth="1"/>
    <x:col min="9" max="9" width="66" hidden="0" customWidth="1"/>
    <x:col min="10" max="10" width="56" hidden="0" customWidth="1"/>
    <x:col min="11" max="11" width="12" hidden="0" customWidth="1"/>
    <x:col min="12" max="12" width="20" hidden="0" customWidth="1"/>
    <x:col min="13" max="13" width="20" hidden="0" customWidth="1"/>
    <x:col min="14" max="14" width="24" hidden="0" customWidth="1"/>
    <x:col min="15" max="15" width="22" hidden="0" customWidth="1"/>
    <x:col min="16" max="16" width="16" hidden="0" customWidth="1"/>
    <x:col min="17" max="17" width="13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 ht="25" customHeight="1">
      <x:c r="A2" s="3" t="str">
        <x:v>Asset quantities: auto and direct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</x:row>
    <x:row r="3" ht="25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</x:row>
    <x:row r="4" ht="25" customHeight="1">
      <x:c r="A4" s="2" t="str">
        <x:v>assessment_id</x:v>
      </x:c>
      <x:c r="B4" s="8" t="str">
        <x:v>preliminary_example</x:v>
      </x:c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</x:row>
    <x:row r="5" ht="25" customHeight="1">
      <x:c r="A5" s="2" t="str">
        <x:v>building_id</x:v>
      </x:c>
      <x:c r="B5" s="8" t="str">
        <x:v>1</x:v>
      </x:c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</x:row>
    <x:row r="6" ht="25" customHeight="1">
      <x:c r="A6" s="2" t="str">
        <x:v>Default quantity mode</x:v>
      </x:c>
      <x:c r="B6" s="9" t="str">
        <x:v>auto</x:v>
      </x:c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</x:row>
    <x:row r="7" ht="25" customHeight="1">
      <x:c r="A7" s="2" t="str">
        <x:v>Description</x:v>
      </x:c>
      <x:c r="B7" s="9" t="str">
        <x:v>Illustrative preliminary inventory; edit assumptions before use.</x:v>
      </x:c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</x:row>
    <x:row r="8" ht="25" customHeight="1">
      <x:c r="A8" s="2" t="str">
        <x:v>Yellow cells are inputs. Auto = estimate × factor. Direct = entered quantity. Python recomputes estimates when this file is used as input.</x:v>
      </x:c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</x:row>
    <x:row r="9" ht="25" customHeight="1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</x:row>
    <x:row r="10" ht="44" customHeight="1">
      <x:c r="A10" s="13" t="str">
        <x:v>asset_id</x:v>
      </x:c>
      <x:c r="B10" s="13" t="str">
        <x:v>catalogue_id</x:v>
      </x:c>
      <x:c r="C10" s="13" t="str">
        <x:v>quantity_mode</x:v>
      </x:c>
      <x:c r="D10" s="13" t="str">
        <x:v>direct_quantity</x:v>
      </x:c>
      <x:c r="E10" s="13" t="str">
        <x:v>auto_factor</x:v>
      </x:c>
      <x:c r="F10" s="21" t="str">
        <x:v>rule_id</x:v>
      </x:c>
      <x:c r="G10" s="13" t="str">
        <x:v>parameters</x:v>
      </x:c>
      <x:c r="H10" s="13" t="str">
        <x:v>scope_action</x:v>
      </x:c>
      <x:c r="I10" s="13" t="str">
        <x:v>source</x:v>
      </x:c>
      <x:c r="J10" s="13" t="str">
        <x:v>quantity_basis</x:v>
      </x:c>
      <x:c r="K10" s="13" t="str">
        <x:v>Unit</x:v>
      </x:c>
      <x:c r="L10" s="13" t="str">
        <x:v>Estimated quantity</x:v>
      </x:c>
      <x:c r="M10" s="13" t="str">
        <x:v>Resolved quantity</x:v>
      </x:c>
      <x:c r="N10" s="21" t="str">
        <x:v>Input status</x:v>
      </x:c>
      <x:c r="O10" s="13" t="str">
        <x:v>Python baseline check</x:v>
      </x:c>
      <x:c r="P10" s="13" t="str">
        <x:v>Selected mode</x:v>
      </x:c>
      <x:c r="Q10" s="13" t="str">
        <x:v>Snapshot row</x:v>
      </x:c>
    </x:row>
    <x:row r="11" ht="60" customHeight="1">
      <x:c r="A11" s="8" t="str">
        <x:v>facade_insulation</x:v>
      </x:c>
      <x:c r="B11" s="8" t="str">
        <x:v>facade_insulation</x:v>
      </x:c>
      <x:c r="C11" s="8"/>
      <x:c r="D11" s="15"/>
      <x:c r="E11" s="15" t="n">
        <x:v>1</x:v>
      </x:c>
      <x:c r="F11" s="22"/>
      <x:c r="G11" s="18" t="str">
        <x:v>{}</x:v>
      </x:c>
      <x:c r="H11" s="18" t="str">
        <x:v>installed</x:v>
      </x:c>
      <x:c r="I11" s="18" t="str">
        <x:v>Illustrative: treat all opaque facades</x:v>
      </x:c>
      <x:c r="J11" s="18"/>
      <x:c r="K11" s="16" t="str">
        <x:f>IF(A11="","",IFERROR(INDEX(Catalogue!$D$6:$D$21,MATCH(B11,Catalogue!$A$6:$A$21,0)),""))</x:f>
        <x:v>m2</x:v>
      </x:c>
      <x:c r="L11" s="17" t="n">
        <x:f>IF(OR(A11="",P11&lt;&gt;"auto"),"",IF(Q11=0,"",IF(OR(NOT(EXACT("id:"&amp;$B$5,"id:"&amp;Catalogue!$B$24)),B11&lt;&gt;INDEX(Catalogue!$B$28:$B$39,Q11),IF(F11="",INDEX(Catalogue!$F$6:$F$21,MATCH(B11,Catalogue!$A$6:$A$21,0)),F11)&lt;&gt;INDEX(Catalogue!$C$28:$C$39,Q11),G11&lt;&gt;INDEX(Catalogue!$D$28:$D$39,Q11)),"",INDEX(Catalogue!$E$28:$E$39,Q11))))</x:f>
        <x:v>1402.022756467201</x:v>
      </x:c>
      <x:c r="M11" s="17" t="n">
        <x:f>IF(N11&lt;&gt;"Ready","",IF(P11="direct",D11,L11*E11))</x:f>
        <x:v>1402.022756467201</x:v>
      </x:c>
      <x:c r="N11" s="23" t="str">
        <x:f>IF(A11="","",IF(OR($B$4="",$B$5=""),"Need building/assessment",IF(COUNTIF($A$11:$A$26,A11)&gt;1,"Duplicate asset ID",IF(COUNTIF(Catalogue!$A$6:$A$21,B11)&lt;&gt;1,"Unknown catalogue ID",IF(OR(I11="",H11=""),"Need source/action",IF(AND(INDEX(Catalogue!$G$6:$G$21,MATCH(B11,Catalogue!$A$6:$A$21,0))="Yes",J11=""),"Need capacity basis",IF(P11="direct",IF(AND(ISNUMBER(D11),D11&gt;=0),"Ready","Need direct quantity"),IF(P11="auto",IF(AND(ISNUMBER(E11),E11&gt;0,ISNUMBER(L11),L11&gt;=0),"Ready","Need estimate/factor"),"Invalid mode"))))))))</x:f>
        <x:v>Ready</x:v>
      </x:c>
      <x:c r="O11" s="19" t="str">
        <x:f>IF(A11="","",IF(NOT(ISNUMBER(M11)),"Incomplete",IF(Q11=0,"No reference",IF(B11&lt;&gt;INDEX(Catalogue!$B$28:$B$39,Q11),"No reference",IF(ABS(M11-INDEX(Catalogue!$F$28:$F$39,Q11))&lt;=0.000001+0.000000001*ABS(INDEX(Catalogue!$F$28:$F$39,Q11)),"PASS","DIFFERENCE")))))</x:f>
        <x:v>PASS</x:v>
      </x:c>
      <x:c r="P11" s="14" t="str">
        <x:f>IF(A11="","",IF(C11="",$B$6,C11))</x:f>
        <x:v>auto</x:v>
      </x:c>
      <x:c r="Q11" s="14" t="n">
        <x:f>IF(A11="","",IFERROR(MATCH(A11,Catalogue!$A$28:$A$39,0),0))</x:f>
        <x:v>1</x:v>
      </x:c>
    </x:row>
    <x:row r="12" ht="60" customHeight="1">
      <x:c r="A12" s="8" t="str">
        <x:v>roof_insulation</x:v>
      </x:c>
      <x:c r="B12" s="8" t="str">
        <x:v>roof_insulation</x:v>
      </x:c>
      <x:c r="C12" s="8"/>
      <x:c r="D12" s="15"/>
      <x:c r="E12" s="15" t="n">
        <x:v>1</x:v>
      </x:c>
      <x:c r="F12" s="22"/>
      <x:c r="G12" s="18" t="str">
        <x:v>{}</x:v>
      </x:c>
      <x:c r="H12" s="18" t="str">
        <x:v>installed</x:v>
      </x:c>
      <x:c r="I12" s="18" t="str">
        <x:v>Illustrative: treat all roof area</x:v>
      </x:c>
      <x:c r="J12" s="18"/>
      <x:c r="K12" s="16" t="str">
        <x:f>IF(A12="","",IFERROR(INDEX(Catalogue!$D$6:$D$21,MATCH(B12,Catalogue!$A$6:$A$21,0)),""))</x:f>
        <x:v>m2</x:v>
      </x:c>
      <x:c r="L12" s="17" t="n">
        <x:f>IF(OR(A12="",P12&lt;&gt;"auto"),"",IF(Q12=0,"",IF(OR(NOT(EXACT("id:"&amp;$B$5,"id:"&amp;Catalogue!$B$24)),B12&lt;&gt;INDEX(Catalogue!$B$28:$B$39,Q12),IF(F12="",INDEX(Catalogue!$F$6:$F$21,MATCH(B12,Catalogue!$A$6:$A$21,0)),F12)&lt;&gt;INDEX(Catalogue!$C$28:$C$39,Q12),G12&lt;&gt;INDEX(Catalogue!$D$28:$D$39,Q12)),"",INDEX(Catalogue!$E$28:$E$39,Q12))))</x:f>
        <x:v>745.081298828125</x:v>
      </x:c>
      <x:c r="M12" s="17" t="n">
        <x:f>IF(N12&lt;&gt;"Ready","",IF(P12="direct",D12,L12*E12))</x:f>
        <x:v>745.081298828125</x:v>
      </x:c>
      <x:c r="N12" s="23" t="str">
        <x:f>IF(A12="","",IF(OR($B$4="",$B$5=""),"Need building/assessment",IF(COUNTIF($A$11:$A$26,A12)&gt;1,"Duplicate asset ID",IF(COUNTIF(Catalogue!$A$6:$A$21,B12)&lt;&gt;1,"Unknown catalogue ID",IF(OR(I12="",H12=""),"Need source/action",IF(AND(INDEX(Catalogue!$G$6:$G$21,MATCH(B12,Catalogue!$A$6:$A$21,0))="Yes",J12=""),"Need capacity basis",IF(P12="direct",IF(AND(ISNUMBER(D12),D12&gt;=0),"Ready","Need direct quantity"),IF(P12="auto",IF(AND(ISNUMBER(E12),E12&gt;0,ISNUMBER(L12),L12&gt;=0),"Ready","Need estimate/factor"),"Invalid mode"))))))))</x:f>
        <x:v>Ready</x:v>
      </x:c>
      <x:c r="O12" s="19" t="str">
        <x:f>IF(A12="","",IF(NOT(ISNUMBER(M12)),"Incomplete",IF(Q12=0,"No reference",IF(B12&lt;&gt;INDEX(Catalogue!$B$28:$B$39,Q12),"No reference",IF(ABS(M12-INDEX(Catalogue!$F$28:$F$39,Q12))&lt;=0.000001+0.000000001*ABS(INDEX(Catalogue!$F$28:$F$39,Q12)),"PASS","DIFFERENCE")))))</x:f>
        <x:v>PASS</x:v>
      </x:c>
      <x:c r="P12" s="14" t="str">
        <x:f>IF(A12="","",IF(C12="",$B$6,C12))</x:f>
        <x:v>auto</x:v>
      </x:c>
      <x:c r="Q12" s="14" t="n">
        <x:f>IF(A12="","",IFERROR(MATCH(A12,Catalogue!$A$28:$A$39,0),0))</x:f>
        <x:v>2</x:v>
      </x:c>
    </x:row>
    <x:row r="13" ht="60" customHeight="1">
      <x:c r="A13" s="8" t="str">
        <x:v>basement_insulation</x:v>
      </x:c>
      <x:c r="B13" s="8" t="str">
        <x:v>basement_insulation</x:v>
      </x:c>
      <x:c r="C13" s="8"/>
      <x:c r="D13" s="15"/>
      <x:c r="E13" s="15" t="n">
        <x:v>1</x:v>
      </x:c>
      <x:c r="F13" s="22"/>
      <x:c r="G13" s="18" t="str">
        <x:v>{}</x:v>
      </x:c>
      <x:c r="H13" s="18" t="str">
        <x:v>installed</x:v>
      </x:c>
      <x:c r="I13" s="18" t="str">
        <x:v>Illustrative: treat the model ground boundary</x:v>
      </x:c>
      <x:c r="J13" s="18"/>
      <x:c r="K13" s="16" t="str">
        <x:f>IF(A13="","",IFERROR(INDEX(Catalogue!$D$6:$D$21,MATCH(B13,Catalogue!$A$6:$A$21,0)),""))</x:f>
        <x:v>m2</x:v>
      </x:c>
      <x:c r="L13" s="17" t="n">
        <x:f>IF(OR(A13="",P13&lt;&gt;"auto"),"",IF(Q13=0,"",IF(OR(NOT(EXACT("id:"&amp;$B$5,"id:"&amp;Catalogue!$B$24)),B13&lt;&gt;INDEX(Catalogue!$B$28:$B$39,Q13),IF(F13="",INDEX(Catalogue!$F$6:$F$21,MATCH(B13,Catalogue!$A$6:$A$21,0)),F13)&lt;&gt;INDEX(Catalogue!$C$28:$C$39,Q13),G13&lt;&gt;INDEX(Catalogue!$D$28:$D$39,Q13)),"",INDEX(Catalogue!$E$28:$E$39,Q13))))</x:f>
        <x:v>745.081298828125</x:v>
      </x:c>
      <x:c r="M13" s="17" t="n">
        <x:f>IF(N13&lt;&gt;"Ready","",IF(P13="direct",D13,L13*E13))</x:f>
        <x:v>745.081298828125</x:v>
      </x:c>
      <x:c r="N13" s="23" t="str">
        <x:f>IF(A13="","",IF(OR($B$4="",$B$5=""),"Need building/assessment",IF(COUNTIF($A$11:$A$26,A13)&gt;1,"Duplicate asset ID",IF(COUNTIF(Catalogue!$A$6:$A$21,B13)&lt;&gt;1,"Unknown catalogue ID",IF(OR(I13="",H13=""),"Need source/action",IF(AND(INDEX(Catalogue!$G$6:$G$21,MATCH(B13,Catalogue!$A$6:$A$21,0))="Yes",J13=""),"Need capacity basis",IF(P13="direct",IF(AND(ISNUMBER(D13),D13&gt;=0),"Ready","Need direct quantity"),IF(P13="auto",IF(AND(ISNUMBER(E13),E13&gt;0,ISNUMBER(L13),L13&gt;=0),"Ready","Need estimate/factor"),"Invalid mode"))))))))</x:f>
        <x:v>Ready</x:v>
      </x:c>
      <x:c r="O13" s="19" t="str">
        <x:f>IF(A13="","",IF(NOT(ISNUMBER(M13)),"Incomplete",IF(Q13=0,"No reference",IF(B13&lt;&gt;INDEX(Catalogue!$B$28:$B$39,Q13),"No reference",IF(ABS(M13-INDEX(Catalogue!$F$28:$F$39,Q13))&lt;=0.000001+0.000000001*ABS(INDEX(Catalogue!$F$28:$F$39,Q13)),"PASS","DIFFERENCE")))))</x:f>
        <x:v>PASS</x:v>
      </x:c>
      <x:c r="P13" s="14" t="str">
        <x:f>IF(A13="","",IF(C13="",$B$6,C13))</x:f>
        <x:v>auto</x:v>
      </x:c>
      <x:c r="Q13" s="14" t="n">
        <x:f>IF(A13="","",IFERROR(MATCH(A13,Catalogue!$A$28:$A$39,0),0))</x:f>
        <x:v>3</x:v>
      </x:c>
    </x:row>
    <x:row r="14" ht="60" customHeight="1">
      <x:c r="A14" s="8" t="str">
        <x:v>glazing_system</x:v>
      </x:c>
      <x:c r="B14" s="8" t="str">
        <x:v>glazing_system</x:v>
      </x:c>
      <x:c r="C14" s="8"/>
      <x:c r="D14" s="15"/>
      <x:c r="E14" s="15" t="n">
        <x:v>1</x:v>
      </x:c>
      <x:c r="F14" s="22"/>
      <x:c r="G14" s="18" t="str">
        <x:v>{}</x:v>
      </x:c>
      <x:c r="H14" s="18" t="str">
        <x:v>replaced</x:v>
      </x:c>
      <x:c r="I14" s="18" t="str">
        <x:v>Illustrative: replace all derived glazing</x:v>
      </x:c>
      <x:c r="J14" s="18"/>
      <x:c r="K14" s="16" t="str">
        <x:f>IF(A14="","",IFERROR(INDEX(Catalogue!$D$6:$D$21,MATCH(B14,Catalogue!$A$6:$A$21,0)),""))</x:f>
        <x:v>m2</x:v>
      </x:c>
      <x:c r="L14" s="17" t="n">
        <x:f>IF(OR(A14="",P14&lt;&gt;"auto"),"",IF(Q14=0,"",IF(OR(NOT(EXACT("id:"&amp;$B$5,"id:"&amp;Catalogue!$B$24)),B14&lt;&gt;INDEX(Catalogue!$B$28:$B$39,Q14),IF(F14="",INDEX(Catalogue!$F$6:$F$21,MATCH(B14,Catalogue!$A$6:$A$21,0)),F14)&lt;&gt;INDEX(Catalogue!$C$28:$C$39,Q14),G14&lt;&gt;INDEX(Catalogue!$D$28:$D$39,Q14)),"",INDEX(Catalogue!$E$28:$E$39,Q14))))</x:f>
        <x:v>200.2889652096001</x:v>
      </x:c>
      <x:c r="M14" s="17" t="n">
        <x:f>IF(N14&lt;&gt;"Ready","",IF(P14="direct",D14,L14*E14))</x:f>
        <x:v>200.2889652096001</x:v>
      </x:c>
      <x:c r="N14" s="23" t="str">
        <x:f>IF(A14="","",IF(OR($B$4="",$B$5=""),"Need building/assessment",IF(COUNTIF($A$11:$A$26,A14)&gt;1,"Duplicate asset ID",IF(COUNTIF(Catalogue!$A$6:$A$21,B14)&lt;&gt;1,"Unknown catalogue ID",IF(OR(I14="",H14=""),"Need source/action",IF(AND(INDEX(Catalogue!$G$6:$G$21,MATCH(B14,Catalogue!$A$6:$A$21,0))="Yes",J14=""),"Need capacity basis",IF(P14="direct",IF(AND(ISNUMBER(D14),D14&gt;=0),"Ready","Need direct quantity"),IF(P14="auto",IF(AND(ISNUMBER(E14),E14&gt;0,ISNUMBER(L14),L14&gt;=0),"Ready","Need estimate/factor"),"Invalid mode"))))))))</x:f>
        <x:v>Ready</x:v>
      </x:c>
      <x:c r="O14" s="19" t="str">
        <x:f>IF(A14="","",IF(NOT(ISNUMBER(M14)),"Incomplete",IF(Q14=0,"No reference",IF(B14&lt;&gt;INDEX(Catalogue!$B$28:$B$39,Q14),"No reference",IF(ABS(M14-INDEX(Catalogue!$F$28:$F$39,Q14))&lt;=0.000001+0.000000001*ABS(INDEX(Catalogue!$F$28:$F$39,Q14)),"PASS","DIFFERENCE")))))</x:f>
        <x:v>PASS</x:v>
      </x:c>
      <x:c r="P14" s="14" t="str">
        <x:f>IF(A14="","",IF(C14="",$B$6,C14))</x:f>
        <x:v>auto</x:v>
      </x:c>
      <x:c r="Q14" s="14" t="n">
        <x:f>IF(A14="","",IFERROR(MATCH(A14,Catalogue!$A$28:$A$39,0),0))</x:f>
        <x:v>4</x:v>
      </x:c>
    </x:row>
    <x:row r="15" ht="60" customHeight="1">
      <x:c r="A15" s="8" t="str">
        <x:v>heat_pump_system</x:v>
      </x:c>
      <x:c r="B15" s="8" t="str">
        <x:v>heat_pump_system</x:v>
      </x:c>
      <x:c r="C15" s="8"/>
      <x:c r="D15" s="15"/>
      <x:c r="E15" s="15" t="n">
        <x:v>1.2</x:v>
      </x:c>
      <x:c r="F15" s="22"/>
      <x:c r="G15" s="18" t="str">
        <x:v>{}</x:v>
      </x:c>
      <x:c r="H15" s="18" t="str">
        <x:v>installed</x:v>
      </x:c>
      <x:c r="I15" s="18" t="str">
        <x:v>Illustrative: total thermal group capacity; separate DHW device, 20% explicit allowance</x:v>
      </x:c>
      <x:c r="J15" s="18"/>
      <x:c r="K15" s="16" t="str">
        <x:f>IF(A15="","",IFERROR(INDEX(Catalogue!$D$6:$D$21,MATCH(B15,Catalogue!$A$6:$A$21,0)),""))</x:f>
        <x:v>kW</x:v>
      </x:c>
      <x:c r="L15" s="17" t="n">
        <x:f>IF(OR(A15="",P15&lt;&gt;"auto"),"",IF(Q15=0,"",IF(OR(NOT(EXACT("id:"&amp;$B$5,"id:"&amp;Catalogue!$B$24)),B15&lt;&gt;INDEX(Catalogue!$B$28:$B$39,Q15),IF(F15="",INDEX(Catalogue!$F$6:$F$21,MATCH(B15,Catalogue!$A$6:$A$21,0)),F15)&lt;&gt;INDEX(Catalogue!$C$28:$C$39,Q15),G15&lt;&gt;INDEX(Catalogue!$D$28:$D$39,Q15)),"",INDEX(Catalogue!$E$28:$E$39,Q15))))</x:f>
        <x:v>169.02947351217253</x:v>
      </x:c>
      <x:c r="M15" s="17" t="n">
        <x:f>IF(N15&lt;&gt;"Ready","",IF(P15="direct",D15,L15*E15))</x:f>
        <x:v>202.83536821460703</x:v>
      </x:c>
      <x:c r="N15" s="23" t="str">
        <x:f>IF(A15="","",IF(OR($B$4="",$B$5=""),"Need building/assessment",IF(COUNTIF($A$11:$A$26,A15)&gt;1,"Duplicate asset ID",IF(COUNTIF(Catalogue!$A$6:$A$21,B15)&lt;&gt;1,"Unknown catalogue ID",IF(OR(I15="",H15=""),"Need source/action",IF(AND(INDEX(Catalogue!$G$6:$G$21,MATCH(B15,Catalogue!$A$6:$A$21,0))="Yes",J15=""),"Need capacity basis",IF(P15="direct",IF(AND(ISNUMBER(D15),D15&gt;=0),"Ready","Need direct quantity"),IF(P15="auto",IF(AND(ISNUMBER(E15),E15&gt;0,ISNUMBER(L15),L15&gt;=0),"Ready","Need estimate/factor"),"Invalid mode"))))))))</x:f>
        <x:v>Ready</x:v>
      </x:c>
      <x:c r="O15" s="19" t="str">
        <x:f>IF(A15="","",IF(NOT(ISNUMBER(M15)),"Incomplete",IF(Q15=0,"No reference",IF(B15&lt;&gt;INDEX(Catalogue!$B$28:$B$39,Q15),"No reference",IF(ABS(M15-INDEX(Catalogue!$F$28:$F$39,Q15))&lt;=0.000001+0.000000001*ABS(INDEX(Catalogue!$F$28:$F$39,Q15)),"PASS","DIFFERENCE")))))</x:f>
        <x:v>PASS</x:v>
      </x:c>
      <x:c r="P15" s="14" t="str">
        <x:f>IF(A15="","",IF(C15="",$B$6,C15))</x:f>
        <x:v>auto</x:v>
      </x:c>
      <x:c r="Q15" s="14" t="n">
        <x:f>IF(A15="","",IFERROR(MATCH(A15,Catalogue!$A$28:$A$39,0),0))</x:f>
        <x:v>5</x:v>
      </x:c>
    </x:row>
    <x:row r="16" ht="60" customHeight="1">
      <x:c r="A16" s="8" t="str">
        <x:v>dhw_heat_pump</x:v>
      </x:c>
      <x:c r="B16" s="8" t="str">
        <x:v>dhw_heat_pump</x:v>
      </x:c>
      <x:c r="C16" s="8"/>
      <x:c r="D16" s="15"/>
      <x:c r="E16" s="15" t="n">
        <x:v>1.1</x:v>
      </x:c>
      <x:c r="F16" s="22"/>
      <x:c r="G16" s="18" t="str">
        <x:v>{"recovery_hours":8}</x:v>
      </x:c>
      <x:c r="H16" s="18" t="str">
        <x:v>installed</x:v>
      </x:c>
      <x:c r="I16" s="18" t="str">
        <x:v>Illustrative: recover maximum daily DHW energy in eight hours, 10% allowance</x:v>
      </x:c>
      <x:c r="J16" s="18"/>
      <x:c r="K16" s="16" t="str">
        <x:f>IF(A16="","",IFERROR(INDEX(Catalogue!$D$6:$D$21,MATCH(B16,Catalogue!$A$6:$A$21,0)),""))</x:f>
        <x:v>kW</x:v>
      </x:c>
      <x:c r="L16" s="17" t="n">
        <x:f>IF(OR(A16="",P16&lt;&gt;"auto"),"",IF(Q16=0,"",IF(OR(NOT(EXACT("id:"&amp;$B$5,"id:"&amp;Catalogue!$B$24)),B16&lt;&gt;INDEX(Catalogue!$B$28:$B$39,Q16),IF(F16="",INDEX(Catalogue!$F$6:$F$21,MATCH(B16,Catalogue!$A$6:$A$21,0)),F16)&lt;&gt;INDEX(Catalogue!$C$28:$C$39,Q16),G16&lt;&gt;INDEX(Catalogue!$D$28:$D$39,Q16)),"",INDEX(Catalogue!$E$28:$E$39,Q16))))</x:f>
        <x:v>71.17840520890435</x:v>
      </x:c>
      <x:c r="M16" s="17" t="n">
        <x:f>IF(N16&lt;&gt;"Ready","",IF(P16="direct",D16,L16*E16))</x:f>
        <x:v>78.29624572979479</x:v>
      </x:c>
      <x:c r="N16" s="23" t="str">
        <x:f>IF(A16="","",IF(OR($B$4="",$B$5=""),"Need building/assessment",IF(COUNTIF($A$11:$A$26,A16)&gt;1,"Duplicate asset ID",IF(COUNTIF(Catalogue!$A$6:$A$21,B16)&lt;&gt;1,"Unknown catalogue ID",IF(OR(I16="",H16=""),"Need source/action",IF(AND(INDEX(Catalogue!$G$6:$G$21,MATCH(B16,Catalogue!$A$6:$A$21,0))="Yes",J16=""),"Need capacity basis",IF(P16="direct",IF(AND(ISNUMBER(D16),D16&gt;=0),"Ready","Need direct quantity"),IF(P16="auto",IF(AND(ISNUMBER(E16),E16&gt;0,ISNUMBER(L16),L16&gt;=0),"Ready","Need estimate/factor"),"Invalid mode"))))))))</x:f>
        <x:v>Ready</x:v>
      </x:c>
      <x:c r="O16" s="19" t="str">
        <x:f>IF(A16="","",IF(NOT(ISNUMBER(M16)),"Incomplete",IF(Q16=0,"No reference",IF(B16&lt;&gt;INDEX(Catalogue!$B$28:$B$39,Q16),"No reference",IF(ABS(M16-INDEX(Catalogue!$F$28:$F$39,Q16))&lt;=0.000001+0.000000001*ABS(INDEX(Catalogue!$F$28:$F$39,Q16)),"PASS","DIFFERENCE")))))</x:f>
        <x:v>PASS</x:v>
      </x:c>
      <x:c r="P16" s="14" t="str">
        <x:f>IF(A16="","",IF(C16="",$B$6,C16))</x:f>
        <x:v>auto</x:v>
      </x:c>
      <x:c r="Q16" s="14" t="n">
        <x:f>IF(A16="","",IFERROR(MATCH(A16,Catalogue!$A$28:$A$39,0),0))</x:f>
        <x:v>6</x:v>
      </x:c>
    </x:row>
    <x:row r="17" ht="60" customHeight="1">
      <x:c r="A17" s="8" t="str">
        <x:v>water_tank</x:v>
      </x:c>
      <x:c r="B17" s="8" t="str">
        <x:v>water_tank</x:v>
      </x:c>
      <x:c r="C17" s="8"/>
      <x:c r="D17" s="15"/>
      <x:c r="E17" s="15" t="n">
        <x:v>0.5</x:v>
      </x:c>
      <x:c r="F17" s="22"/>
      <x:c r="G17" s="18" t="str">
        <x:v>{}</x:v>
      </x:c>
      <x:c r="H17" s="18" t="str">
        <x:v>installed</x:v>
      </x:c>
      <x:c r="I17" s="18" t="str">
        <x:v>Illustrative: half of maximum daily water draw volume; verify storage-temperature and draw-off basis</x:v>
      </x:c>
      <x:c r="J17" s="18"/>
      <x:c r="K17" s="16" t="str">
        <x:f>IF(A17="","",IFERROR(INDEX(Catalogue!$D$6:$D$21,MATCH(B17,Catalogue!$A$6:$A$21,0)),""))</x:f>
        <x:v>L</x:v>
      </x:c>
      <x:c r="L17" s="17" t="n">
        <x:f>IF(OR(A17="",P17&lt;&gt;"auto"),"",IF(Q17=0,"",IF(OR(NOT(EXACT("id:"&amp;$B$5,"id:"&amp;Catalogue!$B$24)),B17&lt;&gt;INDEX(Catalogue!$B$28:$B$39,Q17),IF(F17="",INDEX(Catalogue!$F$6:$F$21,MATCH(B17,Catalogue!$A$6:$A$21,0)),F17)&lt;&gt;INDEX(Catalogue!$C$28:$C$39,Q17),G17&lt;&gt;INDEX(Catalogue!$D$28:$D$39,Q17)),"",INDEX(Catalogue!$E$28:$E$39,Q17))))</x:f>
        <x:v>15372.520337747073</x:v>
      </x:c>
      <x:c r="M17" s="17" t="n">
        <x:f>IF(N17&lt;&gt;"Ready","",IF(P17="direct",D17,L17*E17))</x:f>
        <x:v>7686.260168873537</x:v>
      </x:c>
      <x:c r="N17" s="23" t="str">
        <x:f>IF(A17="","",IF(OR($B$4="",$B$5=""),"Need building/assessment",IF(COUNTIF($A$11:$A$26,A17)&gt;1,"Duplicate asset ID",IF(COUNTIF(Catalogue!$A$6:$A$21,B17)&lt;&gt;1,"Unknown catalogue ID",IF(OR(I17="",H17=""),"Need source/action",IF(AND(INDEX(Catalogue!$G$6:$G$21,MATCH(B17,Catalogue!$A$6:$A$21,0))="Yes",J17=""),"Need capacity basis",IF(P17="direct",IF(AND(ISNUMBER(D17),D17&gt;=0),"Ready","Need direct quantity"),IF(P17="auto",IF(AND(ISNUMBER(E17),E17&gt;0,ISNUMBER(L17),L17&gt;=0),"Ready","Need estimate/factor"),"Invalid mode"))))))))</x:f>
        <x:v>Ready</x:v>
      </x:c>
      <x:c r="O17" s="19" t="str">
        <x:f>IF(A17="","",IF(NOT(ISNUMBER(M17)),"Incomplete",IF(Q17=0,"No reference",IF(B17&lt;&gt;INDEX(Catalogue!$B$28:$B$39,Q17),"No reference",IF(ABS(M17-INDEX(Catalogue!$F$28:$F$39,Q17))&lt;=0.000001+0.000000001*ABS(INDEX(Catalogue!$F$28:$F$39,Q17)),"PASS","DIFFERENCE")))))</x:f>
        <x:v>PASS</x:v>
      </x:c>
      <x:c r="P17" s="14" t="str">
        <x:f>IF(A17="","",IF(C17="",$B$6,C17))</x:f>
        <x:v>auto</x:v>
      </x:c>
      <x:c r="Q17" s="14" t="n">
        <x:f>IF(A17="","",IFERROR(MATCH(A17,Catalogue!$A$28:$A$39,0),0))</x:f>
        <x:v>7</x:v>
      </x:c>
    </x:row>
    <x:row r="18" ht="60" customHeight="1">
      <x:c r="A18" s="8" t="str">
        <x:v>thermal_storage</x:v>
      </x:c>
      <x:c r="B18" s="8" t="str">
        <x:v>thermal_storage</x:v>
      </x:c>
      <x:c r="C18" s="8"/>
      <x:c r="D18" s="15"/>
      <x:c r="E18" s="15" t="n">
        <x:v>1</x:v>
      </x:c>
      <x:c r="F18" s="22" t="str">
        <x:v>asset_multiple</x:v>
      </x:c>
      <x:c r="G18" s="18" t="str">
        <x:v>{"asset_id":"heat_pump_system","rate":10,"rate_unit":"L/kW"}</x:v>
      </x:c>
      <x:c r="H18" s="18" t="str">
        <x:v>installed</x:v>
      </x:c>
      <x:c r="I18" s="18" t="str">
        <x:v>Illustrative distinct buffer: ten litres per resolved heating kW, not a normative rule</x:v>
      </x:c>
      <x:c r="J18" s="18"/>
      <x:c r="K18" s="16" t="str">
        <x:f>IF(A18="","",IFERROR(INDEX(Catalogue!$D$6:$D$21,MATCH(B18,Catalogue!$A$6:$A$21,0)),""))</x:f>
        <x:v>L</x:v>
      </x:c>
      <x:c r="L18" s="17" t="n">
        <x:f>IF(OR(A18="",P18&lt;&gt;"auto"),"",IF(Q18=0,"",IF(OR(NOT(EXACT("id:"&amp;$B$5,"id:"&amp;Catalogue!$B$24)),B18&lt;&gt;INDEX(Catalogue!$B$28:$B$39,Q18),IF(F18="",INDEX(Catalogue!$F$6:$F$21,MATCH(B18,Catalogue!$A$6:$A$21,0)),F18)&lt;&gt;INDEX(Catalogue!$C$28:$C$39,Q18),G18&lt;&gt;INDEX(Catalogue!$D$28:$D$39,Q18)),"",IF(AND($A$15=INDEX(Catalogue!$G$28:$G$39,Q18),ISNUMBER($M$15)),$M$15*INDEX(Catalogue!$H$28:$H$39,Q18),""))))</x:f>
        <x:v>2028.3536821460702</x:v>
      </x:c>
      <x:c r="M18" s="17" t="n">
        <x:f>IF(N18&lt;&gt;"Ready","",IF(P18="direct",D18,L18*E18))</x:f>
        <x:v>2028.3536821460702</x:v>
      </x:c>
      <x:c r="N18" s="23" t="str">
        <x:f>IF(A18="","",IF(OR($B$4="",$B$5=""),"Need building/assessment",IF(COUNTIF($A$11:$A$26,A18)&gt;1,"Duplicate asset ID",IF(COUNTIF(Catalogue!$A$6:$A$21,B18)&lt;&gt;1,"Unknown catalogue ID",IF(OR(I18="",H18=""),"Need source/action",IF(AND(INDEX(Catalogue!$G$6:$G$21,MATCH(B18,Catalogue!$A$6:$A$21,0))="Yes",J18=""),"Need capacity basis",IF(P18="direct",IF(AND(ISNUMBER(D18),D18&gt;=0),"Ready","Need direct quantity"),IF(P18="auto",IF(AND(ISNUMBER(E18),E18&gt;0,ISNUMBER(L18),L18&gt;=0),"Ready","Need estimate/factor"),"Invalid mode"))))))))</x:f>
        <x:v>Ready</x:v>
      </x:c>
      <x:c r="O18" s="19" t="str">
        <x:f>IF(A18="","",IF(NOT(ISNUMBER(M18)),"Incomplete",IF(Q18=0,"No reference",IF(B18&lt;&gt;INDEX(Catalogue!$B$28:$B$39,Q18),"No reference",IF(ABS(M18-INDEX(Catalogue!$F$28:$F$39,Q18))&lt;=0.000001+0.000000001*ABS(INDEX(Catalogue!$F$28:$F$39,Q18)),"PASS","DIFFERENCE")))))</x:f>
        <x:v>PASS</x:v>
      </x:c>
      <x:c r="P18" s="14" t="str">
        <x:f>IF(A18="","",IF(C18="",$B$6,C18))</x:f>
        <x:v>auto</x:v>
      </x:c>
      <x:c r="Q18" s="14" t="n">
        <x:f>IF(A18="","",IFERROR(MATCH(A18,Catalogue!$A$28:$A$39,0),0))</x:f>
        <x:v>8</x:v>
      </x:c>
    </x:row>
    <x:row r="19" ht="60" customHeight="1">
      <x:c r="A19" s="8" t="str">
        <x:v>fan_coils_hvac</x:v>
      </x:c>
      <x:c r="B19" s="8" t="str">
        <x:v>fan_coils_hvac</x:v>
      </x:c>
      <x:c r="C19" s="8"/>
      <x:c r="D19" s="15"/>
      <x:c r="E19" s="15" t="n">
        <x:v>1</x:v>
      </x:c>
      <x:c r="F19" s="22" t="str">
        <x:v>asset_multiple</x:v>
      </x:c>
      <x:c r="G19" s="18" t="str">
        <x:v>{"asset_id":"heat_pump_system","rate":0.8,"rate_unit":"kW/kW"}</x:v>
      </x:c>
      <x:c r="H19" s="18" t="str">
        <x:v>installed</x:v>
      </x:c>
      <x:c r="I19" s="18" t="str">
        <x:v>Illustrative heating-rated terminal capacity: 80% of group heating capacity; verify AHU share and terminal ratings</x:v>
      </x:c>
      <x:c r="J19" s="18"/>
      <x:c r="K19" s="16" t="str">
        <x:f>IF(A19="","",IFERROR(INDEX(Catalogue!$D$6:$D$21,MATCH(B19,Catalogue!$A$6:$A$21,0)),""))</x:f>
        <x:v>kW</x:v>
      </x:c>
      <x:c r="L19" s="17" t="n">
        <x:f>IF(OR(A19="",P19&lt;&gt;"auto"),"",IF(Q19=0,"",IF(OR(NOT(EXACT("id:"&amp;$B$5,"id:"&amp;Catalogue!$B$24)),B19&lt;&gt;INDEX(Catalogue!$B$28:$B$39,Q19),IF(F19="",INDEX(Catalogue!$F$6:$F$21,MATCH(B19,Catalogue!$A$6:$A$21,0)),F19)&lt;&gt;INDEX(Catalogue!$C$28:$C$39,Q19),G19&lt;&gt;INDEX(Catalogue!$D$28:$D$39,Q19)),"",IF(AND($A$15=INDEX(Catalogue!$G$28:$G$39,Q19),ISNUMBER($M$15)),$M$15*INDEX(Catalogue!$H$28:$H$39,Q19),""))))</x:f>
        <x:v>162.26829457168563</x:v>
      </x:c>
      <x:c r="M19" s="17" t="n">
        <x:f>IF(N19&lt;&gt;"Ready","",IF(P19="direct",D19,L19*E19))</x:f>
        <x:v>162.26829457168563</x:v>
      </x:c>
      <x:c r="N19" s="23" t="str">
        <x:f>IF(A19="","",IF(OR($B$4="",$B$5=""),"Need building/assessment",IF(COUNTIF($A$11:$A$26,A19)&gt;1,"Duplicate asset ID",IF(COUNTIF(Catalogue!$A$6:$A$21,B19)&lt;&gt;1,"Unknown catalogue ID",IF(OR(I19="",H19=""),"Need source/action",IF(AND(INDEX(Catalogue!$G$6:$G$21,MATCH(B19,Catalogue!$A$6:$A$21,0))="Yes",J19=""),"Need capacity basis",IF(P19="direct",IF(AND(ISNUMBER(D19),D19&gt;=0),"Ready","Need direct quantity"),IF(P19="auto",IF(AND(ISNUMBER(E19),E19&gt;0,ISNUMBER(L19),L19&gt;=0),"Ready","Need estimate/factor"),"Invalid mode"))))))))</x:f>
        <x:v>Ready</x:v>
      </x:c>
      <x:c r="O19" s="19" t="str">
        <x:f>IF(A19="","",IF(NOT(ISNUMBER(M19)),"Incomplete",IF(Q19=0,"No reference",IF(B19&lt;&gt;INDEX(Catalogue!$B$28:$B$39,Q19),"No reference",IF(ABS(M19-INDEX(Catalogue!$F$28:$F$39,Q19))&lt;=0.000001+0.000000001*ABS(INDEX(Catalogue!$F$28:$F$39,Q19)),"PASS","DIFFERENCE")))))</x:f>
        <x:v>PASS</x:v>
      </x:c>
      <x:c r="P19" s="14" t="str">
        <x:f>IF(A19="","",IF(C19="",$B$6,C19))</x:f>
        <x:v>auto</x:v>
      </x:c>
      <x:c r="Q19" s="14" t="n">
        <x:f>IF(A19="","",IFERROR(MATCH(A19,Catalogue!$A$28:$A$39,0),0))</x:f>
        <x:v>9</x:v>
      </x:c>
    </x:row>
    <x:row r="20" ht="60" customHeight="1">
      <x:c r="A20" s="8" t="str">
        <x:v>pv_system</x:v>
      </x:c>
      <x:c r="B20" s="8" t="str">
        <x:v>pv_system</x:v>
      </x:c>
      <x:c r="C20" s="8"/>
      <x:c r="D20" s="15"/>
      <x:c r="E20" s="15" t="n">
        <x:v>1</x:v>
      </x:c>
      <x:c r="F20" s="22"/>
      <x:c r="G20" s="18" t="str">
        <x:v>{"coverage":0.45,"module_kW_m2":0.23529411764705882}</x:v>
      </x:c>
      <x:c r="H20" s="18" t="str">
        <x:v>installed</x:v>
      </x:c>
      <x:c r="I20" s="18" t="str">
        <x:v>Illustrative 45% physical roof coverage and 0.4 kW per 1.7 m2</x:v>
      </x:c>
      <x:c r="J20" s="18"/>
      <x:c r="K20" s="16" t="str">
        <x:f>IF(A20="","",IFERROR(INDEX(Catalogue!$D$6:$D$21,MATCH(B20,Catalogue!$A$6:$A$21,0)),""))</x:f>
        <x:v>kW</x:v>
      </x:c>
      <x:c r="L20" s="17" t="n">
        <x:f>IF(OR(A20="",P20&lt;&gt;"auto"),"",IF(Q20=0,"",IF(OR(NOT(EXACT("id:"&amp;$B$5,"id:"&amp;Catalogue!$B$24)),B20&lt;&gt;INDEX(Catalogue!$B$28:$B$39,Q20),IF(F20="",INDEX(Catalogue!$F$6:$F$21,MATCH(B20,Catalogue!$A$6:$A$21,0)),F20)&lt;&gt;INDEX(Catalogue!$C$28:$C$39,Q20),G20&lt;&gt;INDEX(Catalogue!$D$28:$D$39,Q20)),"",INDEX(Catalogue!$E$28:$E$39,Q20))))</x:f>
        <x:v>78.89096105238971</x:v>
      </x:c>
      <x:c r="M20" s="17" t="n">
        <x:f>IF(N20&lt;&gt;"Ready","",IF(P20="direct",D20,L20*E20))</x:f>
        <x:v>78.89096105238971</x:v>
      </x:c>
      <x:c r="N20" s="23" t="str">
        <x:f>IF(A20="","",IF(OR($B$4="",$B$5=""),"Need building/assessment",IF(COUNTIF($A$11:$A$26,A20)&gt;1,"Duplicate asset ID",IF(COUNTIF(Catalogue!$A$6:$A$21,B20)&lt;&gt;1,"Unknown catalogue ID",IF(OR(I20="",H20=""),"Need source/action",IF(AND(INDEX(Catalogue!$G$6:$G$21,MATCH(B20,Catalogue!$A$6:$A$21,0))="Yes",J20=""),"Need capacity basis",IF(P20="direct",IF(AND(ISNUMBER(D20),D20&gt;=0),"Ready","Need direct quantity"),IF(P20="auto",IF(AND(ISNUMBER(E20),E20&gt;0,ISNUMBER(L20),L20&gt;=0),"Ready","Need estimate/factor"),"Invalid mode"))))))))</x:f>
        <x:v>Ready</x:v>
      </x:c>
      <x:c r="O20" s="19" t="str">
        <x:f>IF(A20="","",IF(NOT(ISNUMBER(M20)),"Incomplete",IF(Q20=0,"No reference",IF(B20&lt;&gt;INDEX(Catalogue!$B$28:$B$39,Q20),"No reference",IF(ABS(M20-INDEX(Catalogue!$F$28:$F$39,Q20))&lt;=0.000001+0.000000001*ABS(INDEX(Catalogue!$F$28:$F$39,Q20)),"PASS","DIFFERENCE")))))</x:f>
        <x:v>PASS</x:v>
      </x:c>
      <x:c r="P20" s="14" t="str">
        <x:f>IF(A20="","",IF(C20="",$B$6,C20))</x:f>
        <x:v>auto</x:v>
      </x:c>
      <x:c r="Q20" s="14" t="n">
        <x:f>IF(A20="","",IFERROR(MATCH(A20,Catalogue!$A$28:$A$39,0),0))</x:f>
        <x:v>10</x:v>
      </x:c>
    </x:row>
    <x:row r="21" ht="60" customHeight="1">
      <x:c r="A21" s="8" t="str">
        <x:v>battery_system</x:v>
      </x:c>
      <x:c r="B21" s="8" t="str">
        <x:v>battery_system</x:v>
      </x:c>
      <x:c r="C21" s="8"/>
      <x:c r="D21" s="15"/>
      <x:c r="E21" s="15" t="n">
        <x:v>1</x:v>
      </x:c>
      <x:c r="F21" s="22" t="str">
        <x:v>asset_multiple</x:v>
      </x:c>
      <x:c r="G21" s="18" t="str">
        <x:v>{"asset_id":"pv_system","rate":1.5,"rate_unit":"kWh/kW"}</x:v>
      </x:c>
      <x:c r="H21" s="18" t="str">
        <x:v>installed</x:v>
      </x:c>
      <x:c r="I21" s="18" t="str">
        <x:v>Illustrative usable storage ratio: 1.5 kWh per resolved PV kW</x:v>
      </x:c>
      <x:c r="J21" s="18"/>
      <x:c r="K21" s="16" t="str">
        <x:f>IF(A21="","",IFERROR(INDEX(Catalogue!$D$6:$D$21,MATCH(B21,Catalogue!$A$6:$A$21,0)),""))</x:f>
        <x:v>kWh</x:v>
      </x:c>
      <x:c r="L21" s="17" t="n">
        <x:f>IF(OR(A21="",P21&lt;&gt;"auto"),"",IF(Q21=0,"",IF(OR(NOT(EXACT("id:"&amp;$B$5,"id:"&amp;Catalogue!$B$24)),B21&lt;&gt;INDEX(Catalogue!$B$28:$B$39,Q21),IF(F21="",INDEX(Catalogue!$F$6:$F$21,MATCH(B21,Catalogue!$A$6:$A$21,0)),F21)&lt;&gt;INDEX(Catalogue!$C$28:$C$39,Q21),G21&lt;&gt;INDEX(Catalogue!$D$28:$D$39,Q21)),"",IF(AND($A$20=INDEX(Catalogue!$G$28:$G$39,Q21),ISNUMBER($M$20)),$M$20*INDEX(Catalogue!$H$28:$H$39,Q21),""))))</x:f>
        <x:v>118.33644157858457</x:v>
      </x:c>
      <x:c r="M21" s="17" t="n">
        <x:f>IF(N21&lt;&gt;"Ready","",IF(P21="direct",D21,L21*E21))</x:f>
        <x:v>118.33644157858457</x:v>
      </x:c>
      <x:c r="N21" s="23" t="str">
        <x:f>IF(A21="","",IF(OR($B$4="",$B$5=""),"Need building/assessment",IF(COUNTIF($A$11:$A$26,A21)&gt;1,"Duplicate asset ID",IF(COUNTIF(Catalogue!$A$6:$A$21,B21)&lt;&gt;1,"Unknown catalogue ID",IF(OR(I21="",H21=""),"Need source/action",IF(AND(INDEX(Catalogue!$G$6:$G$21,MATCH(B21,Catalogue!$A$6:$A$21,0))="Yes",J21=""),"Need capacity basis",IF(P21="direct",IF(AND(ISNUMBER(D21),D21&gt;=0),"Ready","Need direct quantity"),IF(P21="auto",IF(AND(ISNUMBER(E21),E21&gt;0,ISNUMBER(L21),L21&gt;=0),"Ready","Need estimate/factor"),"Invalid mode"))))))))</x:f>
        <x:v>Ready</x:v>
      </x:c>
      <x:c r="O21" s="19" t="str">
        <x:f>IF(A21="","",IF(NOT(ISNUMBER(M21)),"Incomplete",IF(Q21=0,"No reference",IF(B21&lt;&gt;INDEX(Catalogue!$B$28:$B$39,Q21),"No reference",IF(ABS(M21-INDEX(Catalogue!$F$28:$F$39,Q21))&lt;=0.000001+0.000000001*ABS(INDEX(Catalogue!$F$28:$F$39,Q21)),"PASS","DIFFERENCE")))))</x:f>
        <x:v>PASS</x:v>
      </x:c>
      <x:c r="P21" s="14" t="str">
        <x:f>IF(A21="","",IF(C21="",$B$6,C21))</x:f>
        <x:v>auto</x:v>
      </x:c>
      <x:c r="Q21" s="14" t="n">
        <x:f>IF(A21="","",IFERROR(MATCH(A21,Catalogue!$A$28:$A$39,0),0))</x:f>
        <x:v>11</x:v>
      </x:c>
    </x:row>
    <x:row r="22" ht="60" customHeight="1">
      <x:c r="A22" s="8" t="str">
        <x:v>renovation_area_allowance</x:v>
      </x:c>
      <x:c r="B22" s="8" t="str">
        <x:v>renovation_area_allowance</x:v>
      </x:c>
      <x:c r="C22" s="8"/>
      <x:c r="D22" s="15"/>
      <x:c r="E22" s="15" t="n">
        <x:v>1</x:v>
      </x:c>
      <x:c r="F22" s="22"/>
      <x:c r="G22" s="18" t="str">
        <x:v>{}</x:v>
      </x:c>
      <x:c r="H22" s="18" t="str">
        <x:v>installed</x:v>
      </x:c>
      <x:c r="I22" s="18" t="str">
        <x:v>Illustrative renovated floor-area allowance; avoid assessment overlap</x:v>
      </x:c>
      <x:c r="J22" s="18"/>
      <x:c r="K22" s="16" t="str">
        <x:f>IF(A22="","",IFERROR(INDEX(Catalogue!$D$6:$D$21,MATCH(B22,Catalogue!$A$6:$A$21,0)),""))</x:f>
        <x:v>m2</x:v>
      </x:c>
      <x:c r="L22" s="17" t="n">
        <x:f>IF(OR(A22="",P22&lt;&gt;"auto"),"",IF(Q22=0,"",IF(OR(NOT(EXACT("id:"&amp;$B$5,"id:"&amp;Catalogue!$B$24)),B22&lt;&gt;INDEX(Catalogue!$B$28:$B$39,Q22),IF(F22="",INDEX(Catalogue!$F$6:$F$21,MATCH(B22,Catalogue!$A$6:$A$21,0)),F22)&lt;&gt;INDEX(Catalogue!$C$28:$C$39,Q22),G22&lt;&gt;INDEX(Catalogue!$D$28:$D$39,Q22)),"",INDEX(Catalogue!$E$28:$E$39,Q22))))</x:f>
        <x:v>2980.3251953125</x:v>
      </x:c>
      <x:c r="M22" s="17" t="n">
        <x:f>IF(N22&lt;&gt;"Ready","",IF(P22="direct",D22,L22*E22))</x:f>
        <x:v>2980.3251953125</x:v>
      </x:c>
      <x:c r="N22" s="23" t="str">
        <x:f>IF(A22="","",IF(OR($B$4="",$B$5=""),"Need building/assessment",IF(COUNTIF($A$11:$A$26,A22)&gt;1,"Duplicate asset ID",IF(COUNTIF(Catalogue!$A$6:$A$21,B22)&lt;&gt;1,"Unknown catalogue ID",IF(OR(I22="",H22=""),"Need source/action",IF(AND(INDEX(Catalogue!$G$6:$G$21,MATCH(B22,Catalogue!$A$6:$A$21,0))="Yes",J22=""),"Need capacity basis",IF(P22="direct",IF(AND(ISNUMBER(D22),D22&gt;=0),"Ready","Need direct quantity"),IF(P22="auto",IF(AND(ISNUMBER(E22),E22&gt;0,ISNUMBER(L22),L22&gt;=0),"Ready","Need estimate/factor"),"Invalid mode"))))))))</x:f>
        <x:v>Ready</x:v>
      </x:c>
      <x:c r="O22" s="19" t="str">
        <x:f>IF(A22="","",IF(NOT(ISNUMBER(M22)),"Incomplete",IF(Q22=0,"No reference",IF(B22&lt;&gt;INDEX(Catalogue!$B$28:$B$39,Q22),"No reference",IF(ABS(M22-INDEX(Catalogue!$F$28:$F$39,Q22))&lt;=0.000001+0.000000001*ABS(INDEX(Catalogue!$F$28:$F$39,Q22)),"PASS","DIFFERENCE")))))</x:f>
        <x:v>PASS</x:v>
      </x:c>
      <x:c r="P22" s="14" t="str">
        <x:f>IF(A22="","",IF(C22="",$B$6,C22))</x:f>
        <x:v>auto</x:v>
      </x:c>
      <x:c r="Q22" s="14" t="n">
        <x:f>IF(A22="","",IFERROR(MATCH(A22,Catalogue!$A$28:$A$39,0),0))</x:f>
        <x:v>12</x:v>
      </x:c>
    </x:row>
    <x:row r="23" ht="60" customHeight="1">
      <x:c r="A23" s="8"/>
      <x:c r="B23" s="8"/>
      <x:c r="C23" s="8"/>
      <x:c r="D23" s="15"/>
      <x:c r="E23" s="15"/>
      <x:c r="F23" s="22"/>
      <x:c r="G23" s="18"/>
      <x:c r="H23" s="18"/>
      <x:c r="I23" s="18"/>
      <x:c r="J23" s="18"/>
      <x:c r="K23" s="16" t="str">
        <x:f>IF(A23="","",IFERROR(INDEX(Catalogue!$D$6:$D$21,MATCH(B23,Catalogue!$A$6:$A$21,0)),""))</x:f>
      </x:c>
      <x:c r="L23" s="17" t="str">
        <x:f>IF(OR(A23="",P23&lt;&gt;"auto"),"",IF(Q23=0,"",IF(OR(NOT(EXACT("id:"&amp;$B$5,"id:"&amp;Catalogue!$B$24)),B23&lt;&gt;INDEX(Catalogue!$B$28:$B$39,Q23),IF(F23="",INDEX(Catalogue!$F$6:$F$21,MATCH(B23,Catalogue!$A$6:$A$21,0)),F23)&lt;&gt;INDEX(Catalogue!$C$28:$C$39,Q23),G23&lt;&gt;INDEX(Catalogue!$D$28:$D$39,Q23)),"",INDEX(Catalogue!$E$28:$E$39,Q23))))</x:f>
      </x:c>
      <x:c r="M23" s="17" t="str">
        <x:f>IF(N23&lt;&gt;"Ready","",IF(P23="direct",D23,L23*E23))</x:f>
      </x:c>
      <x:c r="N23" s="23" t="str">
        <x:f>IF(A23="","",IF(OR($B$4="",$B$5=""),"Need building/assessment",IF(COUNTIF($A$11:$A$26,A23)&gt;1,"Duplicate asset ID",IF(COUNTIF(Catalogue!$A$6:$A$21,B23)&lt;&gt;1,"Unknown catalogue ID",IF(OR(I23="",H23=""),"Need source/action",IF(AND(INDEX(Catalogue!$G$6:$G$21,MATCH(B23,Catalogue!$A$6:$A$21,0))="Yes",J23=""),"Need capacity basis",IF(P23="direct",IF(AND(ISNUMBER(D23),D23&gt;=0),"Ready","Need direct quantity"),IF(P23="auto",IF(AND(ISNUMBER(E23),E23&gt;0,ISNUMBER(L23),L23&gt;=0),"Ready","Need estimate/factor"),"Invalid mode"))))))))</x:f>
      </x:c>
      <x:c r="O23" s="19" t="str">
        <x:f>IF(A23="","",IF(NOT(ISNUMBER(M23)),"Incomplete",IF(Q23=0,"No reference",IF(B23&lt;&gt;INDEX(Catalogue!$B$28:$B$39,Q23),"No reference",IF(ABS(M23-INDEX(Catalogue!$F$28:$F$39,Q23))&lt;=0.000001+0.000000001*ABS(INDEX(Catalogue!$F$28:$F$39,Q23)),"PASS","DIFFERENCE")))))</x:f>
      </x:c>
      <x:c r="P23" s="14" t="str">
        <x:f>IF(A23="","",IF(C23="",$B$6,C23))</x:f>
      </x:c>
      <x:c r="Q23" s="14" t="str">
        <x:f>IF(A23="","",IFERROR(MATCH(A23,Catalogue!$A$28:$A$39,0),0))</x:f>
      </x:c>
    </x:row>
    <x:row r="24" ht="60" customHeight="1">
      <x:c r="A24" s="8"/>
      <x:c r="B24" s="8"/>
      <x:c r="C24" s="8"/>
      <x:c r="D24" s="15"/>
      <x:c r="E24" s="15"/>
      <x:c r="F24" s="22"/>
      <x:c r="G24" s="18"/>
      <x:c r="H24" s="18"/>
      <x:c r="I24" s="18"/>
      <x:c r="J24" s="18"/>
      <x:c r="K24" s="16" t="str">
        <x:f>IF(A24="","",IFERROR(INDEX(Catalogue!$D$6:$D$21,MATCH(B24,Catalogue!$A$6:$A$21,0)),""))</x:f>
      </x:c>
      <x:c r="L24" s="17" t="str">
        <x:f>IF(OR(A24="",P24&lt;&gt;"auto"),"",IF(Q24=0,"",IF(OR(NOT(EXACT("id:"&amp;$B$5,"id:"&amp;Catalogue!$B$24)),B24&lt;&gt;INDEX(Catalogue!$B$28:$B$39,Q24),IF(F24="",INDEX(Catalogue!$F$6:$F$21,MATCH(B24,Catalogue!$A$6:$A$21,0)),F24)&lt;&gt;INDEX(Catalogue!$C$28:$C$39,Q24),G24&lt;&gt;INDEX(Catalogue!$D$28:$D$39,Q24)),"",INDEX(Catalogue!$E$28:$E$39,Q24))))</x:f>
      </x:c>
      <x:c r="M24" s="17" t="str">
        <x:f>IF(N24&lt;&gt;"Ready","",IF(P24="direct",D24,L24*E24))</x:f>
      </x:c>
      <x:c r="N24" s="23" t="str">
        <x:f>IF(A24="","",IF(OR($B$4="",$B$5=""),"Need building/assessment",IF(COUNTIF($A$11:$A$26,A24)&gt;1,"Duplicate asset ID",IF(COUNTIF(Catalogue!$A$6:$A$21,B24)&lt;&gt;1,"Unknown catalogue ID",IF(OR(I24="",H24=""),"Need source/action",IF(AND(INDEX(Catalogue!$G$6:$G$21,MATCH(B24,Catalogue!$A$6:$A$21,0))="Yes",J24=""),"Need capacity basis",IF(P24="direct",IF(AND(ISNUMBER(D24),D24&gt;=0),"Ready","Need direct quantity"),IF(P24="auto",IF(AND(ISNUMBER(E24),E24&gt;0,ISNUMBER(L24),L24&gt;=0),"Ready","Need estimate/factor"),"Invalid mode"))))))))</x:f>
      </x:c>
      <x:c r="O24" s="19" t="str">
        <x:f>IF(A24="","",IF(NOT(ISNUMBER(M24)),"Incomplete",IF(Q24=0,"No reference",IF(B24&lt;&gt;INDEX(Catalogue!$B$28:$B$39,Q24),"No reference",IF(ABS(M24-INDEX(Catalogue!$F$28:$F$39,Q24))&lt;=0.000001+0.000000001*ABS(INDEX(Catalogue!$F$28:$F$39,Q24)),"PASS","DIFFERENCE")))))</x:f>
      </x:c>
      <x:c r="P24" s="14" t="str">
        <x:f>IF(A24="","",IF(C24="",$B$6,C24))</x:f>
      </x:c>
      <x:c r="Q24" s="14" t="str">
        <x:f>IF(A24="","",IFERROR(MATCH(A24,Catalogue!$A$28:$A$39,0),0))</x:f>
      </x:c>
    </x:row>
    <x:row r="25" ht="60" customHeight="1">
      <x:c r="A25" s="8"/>
      <x:c r="B25" s="8"/>
      <x:c r="C25" s="8"/>
      <x:c r="D25" s="15"/>
      <x:c r="E25" s="15"/>
      <x:c r="F25" s="22"/>
      <x:c r="G25" s="18"/>
      <x:c r="H25" s="18"/>
      <x:c r="I25" s="18"/>
      <x:c r="J25" s="18"/>
      <x:c r="K25" s="16" t="str">
        <x:f>IF(A25="","",IFERROR(INDEX(Catalogue!$D$6:$D$21,MATCH(B25,Catalogue!$A$6:$A$21,0)),""))</x:f>
      </x:c>
      <x:c r="L25" s="17" t="str">
        <x:f>IF(OR(A25="",P25&lt;&gt;"auto"),"",IF(Q25=0,"",IF(OR(NOT(EXACT("id:"&amp;$B$5,"id:"&amp;Catalogue!$B$24)),B25&lt;&gt;INDEX(Catalogue!$B$28:$B$39,Q25),IF(F25="",INDEX(Catalogue!$F$6:$F$21,MATCH(B25,Catalogue!$A$6:$A$21,0)),F25)&lt;&gt;INDEX(Catalogue!$C$28:$C$39,Q25),G25&lt;&gt;INDEX(Catalogue!$D$28:$D$39,Q25)),"",INDEX(Catalogue!$E$28:$E$39,Q25))))</x:f>
      </x:c>
      <x:c r="M25" s="17" t="str">
        <x:f>IF(N25&lt;&gt;"Ready","",IF(P25="direct",D25,L25*E25))</x:f>
      </x:c>
      <x:c r="N25" s="23" t="str">
        <x:f>IF(A25="","",IF(OR($B$4="",$B$5=""),"Need building/assessment",IF(COUNTIF($A$11:$A$26,A25)&gt;1,"Duplicate asset ID",IF(COUNTIF(Catalogue!$A$6:$A$21,B25)&lt;&gt;1,"Unknown catalogue ID",IF(OR(I25="",H25=""),"Need source/action",IF(AND(INDEX(Catalogue!$G$6:$G$21,MATCH(B25,Catalogue!$A$6:$A$21,0))="Yes",J25=""),"Need capacity basis",IF(P25="direct",IF(AND(ISNUMBER(D25),D25&gt;=0),"Ready","Need direct quantity"),IF(P25="auto",IF(AND(ISNUMBER(E25),E25&gt;0,ISNUMBER(L25),L25&gt;=0),"Ready","Need estimate/factor"),"Invalid mode"))))))))</x:f>
      </x:c>
      <x:c r="O25" s="19" t="str">
        <x:f>IF(A25="","",IF(NOT(ISNUMBER(M25)),"Incomplete",IF(Q25=0,"No reference",IF(B25&lt;&gt;INDEX(Catalogue!$B$28:$B$39,Q25),"No reference",IF(ABS(M25-INDEX(Catalogue!$F$28:$F$39,Q25))&lt;=0.000001+0.000000001*ABS(INDEX(Catalogue!$F$28:$F$39,Q25)),"PASS","DIFFERENCE")))))</x:f>
      </x:c>
      <x:c r="P25" s="14" t="str">
        <x:f>IF(A25="","",IF(C25="",$B$6,C25))</x:f>
      </x:c>
      <x:c r="Q25" s="14" t="str">
        <x:f>IF(A25="","",IFERROR(MATCH(A25,Catalogue!$A$28:$A$39,0),0))</x:f>
      </x:c>
    </x:row>
    <x:row r="26" ht="60" customHeight="1">
      <x:c r="A26" s="8"/>
      <x:c r="B26" s="8"/>
      <x:c r="C26" s="8"/>
      <x:c r="D26" s="15"/>
      <x:c r="E26" s="15"/>
      <x:c r="F26" s="22"/>
      <x:c r="G26" s="18"/>
      <x:c r="H26" s="18"/>
      <x:c r="I26" s="18"/>
      <x:c r="J26" s="18"/>
      <x:c r="K26" s="16" t="str">
        <x:f>IF(A26="","",IFERROR(INDEX(Catalogue!$D$6:$D$21,MATCH(B26,Catalogue!$A$6:$A$21,0)),""))</x:f>
      </x:c>
      <x:c r="L26" s="17" t="str">
        <x:f>IF(OR(A26="",P26&lt;&gt;"auto"),"",IF(Q26=0,"",IF(OR(NOT(EXACT("id:"&amp;$B$5,"id:"&amp;Catalogue!$B$24)),B26&lt;&gt;INDEX(Catalogue!$B$28:$B$39,Q26),IF(F26="",INDEX(Catalogue!$F$6:$F$21,MATCH(B26,Catalogue!$A$6:$A$21,0)),F26)&lt;&gt;INDEX(Catalogue!$C$28:$C$39,Q26),G26&lt;&gt;INDEX(Catalogue!$D$28:$D$39,Q26)),"",INDEX(Catalogue!$E$28:$E$39,Q26))))</x:f>
      </x:c>
      <x:c r="M26" s="17" t="str">
        <x:f>IF(N26&lt;&gt;"Ready","",IF(P26="direct",D26,L26*E26))</x:f>
      </x:c>
      <x:c r="N26" s="23" t="str">
        <x:f>IF(A26="","",IF(OR($B$4="",$B$5=""),"Need building/assessment",IF(COUNTIF($A$11:$A$26,A26)&gt;1,"Duplicate asset ID",IF(COUNTIF(Catalogue!$A$6:$A$21,B26)&lt;&gt;1,"Unknown catalogue ID",IF(OR(I26="",H26=""),"Need source/action",IF(AND(INDEX(Catalogue!$G$6:$G$21,MATCH(B26,Catalogue!$A$6:$A$21,0))="Yes",J26=""),"Need capacity basis",IF(P26="direct",IF(AND(ISNUMBER(D26),D26&gt;=0),"Ready","Need direct quantity"),IF(P26="auto",IF(AND(ISNUMBER(E26),E26&gt;0,ISNUMBER(L26),L26&gt;=0),"Ready","Need estimate/factor"),"Invalid mode"))))))))</x:f>
      </x:c>
      <x:c r="O26" s="19" t="str">
        <x:f>IF(A26="","",IF(NOT(ISNUMBER(M26)),"Incomplete",IF(Q26=0,"No reference",IF(B26&lt;&gt;INDEX(Catalogue!$B$28:$B$39,Q26),"No reference",IF(ABS(M26-INDEX(Catalogue!$F$28:$F$39,Q26))&lt;=0.000001+0.000000001*ABS(INDEX(Catalogue!$F$28:$F$39,Q26)),"PASS","DIFFERENCE")))))</x:f>
      </x:c>
      <x:c r="P26" s="14" t="str">
        <x:f>IF(A26="","",IF(C26="",$B$6,C26))</x:f>
      </x:c>
      <x:c r="Q26" s="14" t="str">
        <x:f>IF(A26="","",IFERROR(MATCH(A26,Catalogue!$A$28:$A$39,0),0))</x:f>
      </x:c>
    </x:row>
    <x:row r="27" ht="25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</x:row>
    <x:row r="28" ht="25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</x:row>
  </x:sheetData>
  <x:conditionalFormatting sqref="N11:N26">
    <x:cfRule type="containsText" dxfId="0" priority="1" operator="containsText" text="Need"/>
    <x:cfRule type="containsText" dxfId="1" priority="2" operator="containsText" text="Duplicate"/>
  </x:conditionalFormatting>
  <x:conditionalFormatting sqref="O11:O26">
    <x:cfRule type="containsText" dxfId="2" priority="3" operator="containsText" text="DIFFERENCE"/>
  </x:conditionalFormatting>
  <x:dataValidations count="6">
    <x:dataValidation type="list" sqref="B6">
      <x:formula1>"auto,direct"</x:formula1>
    </x:dataValidation>
    <x:dataValidation type="list" sqref="C11:C26">
      <x:formula1>"auto,direct"</x:formula1>
    </x:dataValidation>
    <x:dataValidation type="list" sqref="H11:H26">
      <x:formula1>"existing,retained,installed,replaced,removed"</x:formula1>
    </x:dataValidation>
    <x:dataValidation type="decimal" operator="greaterThanOrEqual" sqref="D11:D26">
      <x:formula1>0</x:formula1>
    </x:dataValidation>
    <x:dataValidation type="decimal" operator="greaterThan" sqref="E11:E26">
      <x:formula1>0</x:formula1>
    </x:dataValidation>
    <x:dataValidation type="list" sqref="B11:B26">
      <x:formula1>"facade_insulation,roof_insulation,basement_insulation,glazing_system,heat_pump_system,dhw_heat_pump,water_tank,thermal_storage,bacs,fan_coils_hvac,battery_system,pv_system,solar_thermal_system,cooling_system,heating_generator_other,renovation_area_allowance"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40" hidden="0" customWidth="1"/>
    <x:col min="3" max="3" width="42" hidden="0" customWidth="1"/>
    <x:col min="4" max="4" width="33" hidden="0" customWidth="1"/>
    <x:col min="5" max="5" width="82" hidden="0" customWidth="1"/>
    <x:col min="6" max="6" width="24" hidden="0" customWidth="1"/>
    <x:col min="7" max="7" width="18" hidden="0" customWidth="1"/>
    <x:col min="8" max="8" width="16" hidden="0" customWidth="1"/>
    <x:col min="9" max="9" width="59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5" customHeight="1">
      <x:c r="A2" s="3" t="str">
        <x:v>Catalogue and prepared estimate sources</x:v>
      </x:c>
      <x:c r="B2" s="2"/>
      <x:c r="C2" s="2"/>
      <x:c r="D2" s="2"/>
      <x:c r="E2" s="2"/>
      <x:c r="F2" s="2"/>
      <x:c r="G2" s="2"/>
      <x:c r="H2" s="2"/>
      <x:c r="I2" s="2"/>
    </x:row>
    <x:row r="3" ht="25" customHeight="1">
      <x:c r="A3" s="4"/>
      <x:c r="B3" s="4"/>
      <x:c r="C3" s="4"/>
      <x:c r="D3" s="4"/>
      <x:c r="E3" s="4"/>
      <x:c r="F3" s="4"/>
      <x:c r="G3" s="4"/>
      <x:c r="H3" s="4"/>
      <x:c r="I3" s="4"/>
    </x:row>
    <x:row r="4" ht="25" customHeight="1">
      <x:c r="A4" s="2" t="str">
        <x:v>Reference units: m2 surface area; kW capacity; kWh usable battery capacity; L water volume. Edit definitions in the JSON catalogue.</x:v>
      </x:c>
      <x:c r="B4" s="2"/>
      <x:c r="C4" s="2"/>
      <x:c r="D4" s="2"/>
      <x:c r="E4" s="2"/>
      <x:c r="F4" s="2"/>
      <x:c r="G4" s="2"/>
      <x:c r="H4" s="2"/>
      <x:c r="I4" s="2"/>
    </x:row>
    <x:row r="5" ht="44" customHeight="1">
      <x:c r="A5" s="13" t="str">
        <x:v>catalogue_id</x:v>
      </x:c>
      <x:c r="B5" s="13" t="str">
        <x:v>Asset name</x:v>
      </x:c>
      <x:c r="C5" s="13" t="str">
        <x:v>category_id</x:v>
      </x:c>
      <x:c r="D5" s="13" t="str">
        <x:v>Unit</x:v>
      </x:c>
      <x:c r="E5" s="13" t="str">
        <x:v>Quantity basis</x:v>
      </x:c>
      <x:c r="F5" s="13" t="str">
        <x:v>Default rule</x:v>
      </x:c>
      <x:c r="G5" s="13" t="str">
        <x:v>Explicit basis required?</x:v>
      </x:c>
      <x:c r="H5" s="13" t="str">
        <x:v>Kind</x:v>
      </x:c>
      <x:c r="I5" s="2"/>
    </x:row>
    <x:row r="6" ht="58" customHeight="1">
      <x:c r="A6" s="2" t="str">
        <x:v>facade_insulation</x:v>
      </x:c>
      <x:c r="B6" s="20" t="str">
        <x:v>Facade insulation</x:v>
      </x:c>
      <x:c r="C6" s="20" t="str">
        <x:v>envelope.wall.insulation</x:v>
      </x:c>
      <x:c r="D6" s="2" t="str">
        <x:v>m2</x:v>
      </x:c>
      <x:c r="E6" s="20" t="str">
        <x:v>treated opaque facade area, excluding glazing</x:v>
      </x:c>
      <x:c r="F6" s="20" t="str">
        <x:v>opaque_wall_area</x:v>
      </x:c>
      <x:c r="G6" s="2" t="str">
        <x:v>No</x:v>
      </x:c>
      <x:c r="H6" s="2" t="str">
        <x:v>physical</x:v>
      </x:c>
      <x:c r="I6" s="2"/>
    </x:row>
    <x:row r="7" ht="58" customHeight="1">
      <x:c r="A7" s="2" t="str">
        <x:v>roof_insulation</x:v>
      </x:c>
      <x:c r="B7" s="20" t="str">
        <x:v>Roof insulation</x:v>
      </x:c>
      <x:c r="C7" s="20" t="str">
        <x:v>envelope.roof.insulation</x:v>
      </x:c>
      <x:c r="D7" s="2" t="str">
        <x:v>m2</x:v>
      </x:c>
      <x:c r="E7" s="20" t="str">
        <x:v>treated roof area</x:v>
      </x:c>
      <x:c r="F7" s="20" t="str">
        <x:v>roof_area</x:v>
      </x:c>
      <x:c r="G7" s="2" t="str">
        <x:v>No</x:v>
      </x:c>
      <x:c r="H7" s="2" t="str">
        <x:v>physical</x:v>
      </x:c>
      <x:c r="I7" s="2"/>
    </x:row>
    <x:row r="8" ht="58" customHeight="1">
      <x:c r="A8" s="2" t="str">
        <x:v>basement_insulation</x:v>
      </x:c>
      <x:c r="B8" s="20" t="str">
        <x:v>Basement / ground insulation</x:v>
      </x:c>
      <x:c r="C8" s="20" t="str">
        <x:v>envelope.ground.insulation</x:v>
      </x:c>
      <x:c r="D8" s="2" t="str">
        <x:v>m2</x:v>
      </x:c>
      <x:c r="E8" s="20" t="str">
        <x:v>treated ground-boundary area; verify the actual basement boundary</x:v>
      </x:c>
      <x:c r="F8" s="20" t="str">
        <x:v>ground_area</x:v>
      </x:c>
      <x:c r="G8" s="2" t="str">
        <x:v>No</x:v>
      </x:c>
      <x:c r="H8" s="2" t="str">
        <x:v>physical</x:v>
      </x:c>
      <x:c r="I8" s="2"/>
    </x:row>
    <x:row r="9" ht="58" customHeight="1">
      <x:c r="A9" s="2" t="str">
        <x:v>glazing_system</x:v>
      </x:c>
      <x:c r="B9" s="20" t="str">
        <x:v>Glazing system</x:v>
      </x:c>
      <x:c r="C9" s="20" t="str">
        <x:v>envelope.window.glazing</x:v>
      </x:c>
      <x:c r="D9" s="2" t="str">
        <x:v>m2</x:v>
      </x:c>
      <x:c r="E9" s="20" t="str">
        <x:v>window area derived from the envelope window-to-wall ratio</x:v>
      </x:c>
      <x:c r="F9" s="20" t="str">
        <x:v>glazed_area</x:v>
      </x:c>
      <x:c r="G9" s="2" t="str">
        <x:v>No</x:v>
      </x:c>
      <x:c r="H9" s="2" t="str">
        <x:v>physical</x:v>
      </x:c>
      <x:c r="I9" s="2"/>
    </x:row>
    <x:row r="10" ht="58" customHeight="1">
      <x:c r="A10" s="2" t="str">
        <x:v>heat_pump_system</x:v>
      </x:c>
      <x:c r="B10" s="20" t="str">
        <x:v>Heat pump system</x:v>
      </x:c>
      <x:c r="C10" s="20" t="str">
        <x:v>technical_system.heat_pump_group</x:v>
      </x:c>
      <x:c r="D10" s="2" t="str">
        <x:v>kW</x:v>
      </x:c>
      <x:c r="E10" s="20" t="str">
        <x:v>total nominal heating thermal capacity of all heat pumps in the group, at declared rating conditions; not device count or electrical input</x:v>
      </x:c>
      <x:c r="F10" s="20" t="str">
        <x:v>heating_design</x:v>
      </x:c>
      <x:c r="G10" s="2" t="str">
        <x:v>No</x:v>
      </x:c>
      <x:c r="H10" s="2" t="str">
        <x:v>physical</x:v>
      </x:c>
      <x:c r="I10" s="2"/>
    </x:row>
    <x:row r="11" ht="58" customHeight="1">
      <x:c r="A11" s="2" t="str">
        <x:v>dhw_heat_pump</x:v>
      </x:c>
      <x:c r="B11" s="20" t="str">
        <x:v>Dedicated DHW heat pump</x:v>
      </x:c>
      <x:c r="C11" s="20" t="str">
        <x:v>technical_system.heat_pump.dhw</x:v>
      </x:c>
      <x:c r="D11" s="2" t="str">
        <x:v>kW</x:v>
      </x:c>
      <x:c r="E11" s="20" t="str">
        <x:v>nominal DHW thermal output at declared rating conditions; only a separate physical device</x:v>
      </x:c>
      <x:c r="F11" s="20" t="str">
        <x:v>dhw_recovery</x:v>
      </x:c>
      <x:c r="G11" s="2" t="str">
        <x:v>No</x:v>
      </x:c>
      <x:c r="H11" s="2" t="str">
        <x:v>physical</x:v>
      </x:c>
      <x:c r="I11" s="2"/>
    </x:row>
    <x:row r="12" ht="58" customHeight="1">
      <x:c r="A12" s="2" t="str">
        <x:v>water_tank</x:v>
      </x:c>
      <x:c r="B12" s="20" t="str">
        <x:v>Water tank</x:v>
      </x:c>
      <x:c r="C12" s="20" t="str">
        <x:v>technical_system.water_tank</x:v>
      </x:c>
      <x:c r="D12" s="2" t="str">
        <x:v>L</x:v>
      </x:c>
      <x:c r="E12" s="20" t="str">
        <x:v>litres of water contained in the DHW tank; not outer tank volume</x:v>
      </x:c>
      <x:c r="F12" s="20" t="str">
        <x:v>dhw_daily_volume</x:v>
      </x:c>
      <x:c r="G12" s="2" t="str">
        <x:v>No</x:v>
      </x:c>
      <x:c r="H12" s="2" t="str">
        <x:v>physical</x:v>
      </x:c>
      <x:c r="I12" s="2"/>
    </x:row>
    <x:row r="13" ht="58" customHeight="1">
      <x:c r="A13" s="2" t="str">
        <x:v>thermal_storage</x:v>
      </x:c>
      <x:c r="B13" s="20" t="str">
        <x:v>Thermal water storage</x:v>
      </x:c>
      <x:c r="C13" s="20" t="str">
        <x:v>technical_system.thermal_storage</x:v>
      </x:c>
      <x:c r="D13" s="2" t="str">
        <x:v>L</x:v>
      </x:c>
      <x:c r="E13" s="20" t="str">
        <x:v>litres of contained water in a distinct heating/cooling buffer; avoid duplicating the water_tank asset</x:v>
      </x:c>
      <x:c r="F13" s="20" t="str"/>
      <x:c r="G13" s="2" t="str">
        <x:v>No</x:v>
      </x:c>
      <x:c r="H13" s="2" t="str">
        <x:v>physical</x:v>
      </x:c>
      <x:c r="I13" s="2"/>
    </x:row>
    <x:row r="14" ht="58" customHeight="1">
      <x:c r="A14" s="2" t="str">
        <x:v>bacs</x:v>
      </x:c>
      <x:c r="B14" s="20" t="str">
        <x:v>BACS (Building Automation and Control Systems)</x:v>
      </x:c>
      <x:c r="C14" s="20" t="str">
        <x:v>control.bacs</x:v>
      </x:c>
      <x:c r="D14" s="2" t="str">
        <x:v>kW</x:v>
      </x:c>
      <x:c r="E14" s="20" t="str">
        <x:v>capacity proxy must be stated explicitly in the asset input (e.g. controlled thermal capacity)</x:v>
      </x:c>
      <x:c r="F14" s="20" t="str"/>
      <x:c r="G14" s="2" t="str">
        <x:v>Yes</x:v>
      </x:c>
      <x:c r="H14" s="2" t="str">
        <x:v>physical</x:v>
      </x:c>
      <x:c r="I14" s="2"/>
    </x:row>
    <x:row r="15" ht="58" customHeight="1">
      <x:c r="A15" s="2" t="str">
        <x:v>fan_coils_hvac</x:v>
      </x:c>
      <x:c r="B15" s="20" t="str">
        <x:v>Fan coils HVAC</x:v>
      </x:c>
      <x:c r="C15" s="20" t="str">
        <x:v>technical_system.terminal.fan_coil</x:v>
      </x:c>
      <x:c r="D15" s="2" t="str">
        <x:v>kW</x:v>
      </x:c>
      <x:c r="E15" s="20" t="str">
        <x:v>total terminal thermal capacity; specify heating or cooling rating conditions in the source</x:v>
      </x:c>
      <x:c r="F15" s="20" t="str"/>
      <x:c r="G15" s="2" t="str">
        <x:v>No</x:v>
      </x:c>
      <x:c r="H15" s="2" t="str">
        <x:v>physical</x:v>
      </x:c>
      <x:c r="I15" s="2"/>
    </x:row>
    <x:row r="16" ht="58" customHeight="1">
      <x:c r="A16" s="2" t="str">
        <x:v>battery_system</x:v>
      </x:c>
      <x:c r="B16" s="20" t="str">
        <x:v>Battery system</x:v>
      </x:c>
      <x:c r="C16" s="20" t="str">
        <x:v>energy_storage.battery</x:v>
      </x:c>
      <x:c r="D16" s="2" t="str">
        <x:v>kWh</x:v>
      </x:c>
      <x:c r="E16" s="20" t="str">
        <x:v>total usable electrical storage capacity at declared conditions</x:v>
      </x:c>
      <x:c r="F16" s="20" t="str"/>
      <x:c r="G16" s="2" t="str">
        <x:v>No</x:v>
      </x:c>
      <x:c r="H16" s="2" t="str">
        <x:v>physical</x:v>
      </x:c>
      <x:c r="I16" s="2"/>
    </x:row>
    <x:row r="17" ht="58" customHeight="1">
      <x:c r="A17" s="2" t="str">
        <x:v>pv_system</x:v>
      </x:c>
      <x:c r="B17" s="20" t="str">
        <x:v>PV system</x:v>
      </x:c>
      <x:c r="C17" s="20" t="str">
        <x:v>renewable.pv</x:v>
      </x:c>
      <x:c r="D17" s="2" t="str">
        <x:v>kW</x:v>
      </x:c>
      <x:c r="E17" s="20" t="str">
        <x:v>total installed module DC capacity at STC (kWp expressed as kW); not inverter AC capacity</x:v>
      </x:c>
      <x:c r="F17" s="20" t="str">
        <x:v>pv_roof_capacity</x:v>
      </x:c>
      <x:c r="G17" s="2" t="str">
        <x:v>No</x:v>
      </x:c>
      <x:c r="H17" s="2" t="str">
        <x:v>physical</x:v>
      </x:c>
      <x:c r="I17" s="2"/>
    </x:row>
    <x:row r="18" ht="58" customHeight="1">
      <x:c r="A18" s="2" t="str">
        <x:v>solar_thermal_system</x:v>
      </x:c>
      <x:c r="B18" s="20" t="str">
        <x:v>Solar thermal collectors</x:v>
      </x:c>
      <x:c r="C18" s="20" t="str">
        <x:v>renewable.solar_thermal</x:v>
      </x:c>
      <x:c r="D18" s="2" t="str">
        <x:v>m2</x:v>
      </x:c>
      <x:c r="E18" s="20" t="str">
        <x:v>collector area; specify gross or aperture area consistently with the external tool</x:v>
      </x:c>
      <x:c r="F18" s="20" t="str">
        <x:v>roof_fraction</x:v>
      </x:c>
      <x:c r="G18" s="2" t="str">
        <x:v>No</x:v>
      </x:c>
      <x:c r="H18" s="2" t="str">
        <x:v>physical</x:v>
      </x:c>
      <x:c r="I18" s="2"/>
    </x:row>
    <x:row r="19" ht="58" customHeight="1">
      <x:c r="A19" s="2" t="str">
        <x:v>cooling_system</x:v>
      </x:c>
      <x:c r="B19" s="20" t="str">
        <x:v>Cooling generator</x:v>
      </x:c>
      <x:c r="C19" s="20" t="str">
        <x:v>technical_system.cooling_generator</x:v>
      </x:c>
      <x:c r="D19" s="2" t="str">
        <x:v>kW</x:v>
      </x:c>
      <x:c r="E19" s="20" t="str">
        <x:v>total nominal cooling thermal capacity at declared rating conditions; do not duplicate a reversible heat pump</x:v>
      </x:c>
      <x:c r="F19" s="20" t="str">
        <x:v>cooling_design</x:v>
      </x:c>
      <x:c r="G19" s="2" t="str">
        <x:v>No</x:v>
      </x:c>
      <x:c r="H19" s="2" t="str">
        <x:v>physical</x:v>
      </x:c>
      <x:c r="I19" s="2"/>
    </x:row>
    <x:row r="20" ht="58" customHeight="1">
      <x:c r="A20" s="2" t="str">
        <x:v>heating_generator_other</x:v>
      </x:c>
      <x:c r="B20" s="20" t="str">
        <x:v>Other heating generator</x:v>
      </x:c>
      <x:c r="C20" s="20" t="str">
        <x:v>technical_system.heating_generator</x:v>
      </x:c>
      <x:c r="D20" s="2" t="str">
        <x:v>kW</x:v>
      </x:c>
      <x:c r="E20" s="20" t="str">
        <x:v>total nominal heating thermal output at declared rating conditions</x:v>
      </x:c>
      <x:c r="F20" s="20" t="str">
        <x:v>heating_design</x:v>
      </x:c>
      <x:c r="G20" s="2" t="str">
        <x:v>No</x:v>
      </x:c>
      <x:c r="H20" s="2" t="str">
        <x:v>physical</x:v>
      </x:c>
      <x:c r="I20" s="2"/>
    </x:row>
    <x:row r="21" ht="58" customHeight="1">
      <x:c r="A21" s="2" t="str">
        <x:v>renovation_area_allowance</x:v>
      </x:c>
      <x:c r="B21" s="20" t="str">
        <x:v>Renovation area-based allowance</x:v>
      </x:c>
      <x:c r="C21" s="20" t="str">
        <x:v>allowance.renovation_area</x:v>
      </x:c>
      <x:c r="D21" s="2" t="str">
        <x:v>m2</x:v>
      </x:c>
      <x:c r="E21" s="20" t="str">
        <x:v>selected renovated floor area; excludes costs and impacts already assessed in other assets</x:v>
      </x:c>
      <x:c r="F21" s="20" t="str">
        <x:v>floor_area</x:v>
      </x:c>
      <x:c r="G21" s="2" t="str">
        <x:v>No</x:v>
      </x:c>
      <x:c r="H21" s="2" t="str">
        <x:v>virtual</x:v>
      </x:c>
      <x:c r="I21" s="2"/>
    </x:row>
    <x:row r="22" ht="25" customHeight="1">
      <x:c r="A22" s="2"/>
      <x:c r="B22" s="2"/>
      <x:c r="C22" s="2"/>
      <x:c r="D22" s="2"/>
      <x:c r="E22" s="2"/>
      <x:c r="F22" s="2"/>
      <x:c r="G22" s="2"/>
      <x:c r="H22" s="2"/>
      <x:c r="I22" s="2"/>
    </x:row>
    <x:row r="23" ht="25" customHeight="1">
      <x:c r="A23" s="2"/>
      <x:c r="B23" s="2"/>
      <x:c r="C23" s="2"/>
      <x:c r="D23" s="2"/>
      <x:c r="E23" s="2"/>
      <x:c r="F23" s="2"/>
      <x:c r="G23" s="2"/>
      <x:c r="H23" s="2"/>
      <x:c r="I23" s="2"/>
    </x:row>
    <x:row r="24" ht="25" customHeight="1">
      <x:c r="A24" s="2" t="str">
        <x:v>Prepared building ID</x:v>
      </x:c>
      <x:c r="B24" s="5" t="str">
        <x:v>1</x:v>
      </x:c>
      <x:c r="C24" s="2"/>
      <x:c r="D24" s="2" t="str">
        <x:v>Source: shared project configs/example.json, asset_catalogue.json and asset_quantities_example.json. Estimates prepared in Python.</x:v>
      </x:c>
      <x:c r="E24" s="2"/>
      <x:c r="F24" s="2"/>
      <x:c r="G24" s="2"/>
      <x:c r="H24" s="2"/>
      <x:c r="I24" s="2"/>
    </x:row>
    <x:row r="25" ht="25" customHeight="1">
      <x:c r="A25" s="2" t="str">
        <x:v>Prepared assessment ID</x:v>
      </x:c>
      <x:c r="B25" s="5" t="str">
        <x:v>preliminary_example</x:v>
      </x:c>
      <x:c r="C25" s="2"/>
      <x:c r="D25" s="2" t="str">
        <x:v>Geometry or rule/parameter changes need a fresh preview. The Python reader ignores all formula and reference columns.</x:v>
      </x:c>
      <x:c r="E25" s="2"/>
      <x:c r="F25" s="2"/>
      <x:c r="G25" s="2"/>
      <x:c r="H25" s="2"/>
      <x:c r="I25" s="2"/>
    </x:row>
    <x:row r="26" ht="25" customHeight="1">
      <x:c r="A26" s="2"/>
      <x:c r="B26" s="2"/>
      <x:c r="C26" s="2"/>
      <x:c r="D26" s="2"/>
      <x:c r="E26" s="2"/>
      <x:c r="F26" s="2"/>
      <x:c r="G26" s="2"/>
      <x:c r="H26" s="2"/>
      <x:c r="I26" s="2"/>
    </x:row>
    <x:row r="27" ht="44" customHeight="1">
      <x:c r="A27" s="13" t="str">
        <x:v>asset_id</x:v>
      </x:c>
      <x:c r="B27" s="13" t="str">
        <x:v>catalogue_id</x:v>
      </x:c>
      <x:c r="C27" s="13" t="str">
        <x:v>Effective rule</x:v>
      </x:c>
      <x:c r="D27" s="13" t="str">
        <x:v>Parameters snapshot</x:v>
      </x:c>
      <x:c r="E27" s="13" t="str">
        <x:v>Prepared estimate</x:v>
      </x:c>
      <x:c r="F27" s="13" t="str">
        <x:v>Python resolved quantity</x:v>
      </x:c>
      <x:c r="G27" s="21" t="str">
        <x:v>Referenced asset</x:v>
      </x:c>
      <x:c r="H27" s="13" t="str">
        <x:v>Rate</x:v>
      </x:c>
      <x:c r="I27" s="21" t="str">
        <x:v>Estimate / assumption source</x:v>
      </x:c>
    </x:row>
    <x:row r="28" ht="70" customHeight="1">
      <x:c r="A28" s="14" t="str">
        <x:v>facade_insulation</x:v>
      </x:c>
      <x:c r="B28" s="14" t="str">
        <x:v>facade_insulation</x:v>
      </x:c>
      <x:c r="C28" s="19" t="str">
        <x:v>opaque_wall_area</x:v>
      </x:c>
      <x:c r="D28" s="19" t="str">
        <x:v>{}</x:v>
      </x:c>
      <x:c r="E28" s="17" t="n">
        <x:v>1402.022756467201</x:v>
      </x:c>
      <x:c r="F28" s="17" t="n">
        <x:v>1402.022756467201</x:v>
      </x:c>
      <x:c r="G28" s="24" t="str"/>
      <x:c r="H28" s="14"/>
      <x:c r="I28" s="23" t="str">
        <x:v>Illustrative: treat all opaque facades</x:v>
      </x:c>
    </x:row>
    <x:row r="29" ht="70" customHeight="1">
      <x:c r="A29" s="14" t="str">
        <x:v>roof_insulation</x:v>
      </x:c>
      <x:c r="B29" s="14" t="str">
        <x:v>roof_insulation</x:v>
      </x:c>
      <x:c r="C29" s="19" t="str">
        <x:v>roof_area</x:v>
      </x:c>
      <x:c r="D29" s="19" t="str">
        <x:v>{}</x:v>
      </x:c>
      <x:c r="E29" s="17" t="n">
        <x:v>745.081298828125</x:v>
      </x:c>
      <x:c r="F29" s="17" t="n">
        <x:v>745.081298828125</x:v>
      </x:c>
      <x:c r="G29" s="24" t="str"/>
      <x:c r="H29" s="14"/>
      <x:c r="I29" s="23" t="str">
        <x:v>Illustrative: treat all roof area</x:v>
      </x:c>
    </x:row>
    <x:row r="30" ht="70" customHeight="1">
      <x:c r="A30" s="14" t="str">
        <x:v>basement_insulation</x:v>
      </x:c>
      <x:c r="B30" s="14" t="str">
        <x:v>basement_insulation</x:v>
      </x:c>
      <x:c r="C30" s="19" t="str">
        <x:v>ground_area</x:v>
      </x:c>
      <x:c r="D30" s="19" t="str">
        <x:v>{}</x:v>
      </x:c>
      <x:c r="E30" s="17" t="n">
        <x:v>745.081298828125</x:v>
      </x:c>
      <x:c r="F30" s="17" t="n">
        <x:v>745.081298828125</x:v>
      </x:c>
      <x:c r="G30" s="24" t="str"/>
      <x:c r="H30" s="14"/>
      <x:c r="I30" s="23" t="str">
        <x:v>Illustrative: treat the model ground boundary</x:v>
      </x:c>
    </x:row>
    <x:row r="31" ht="70" customHeight="1">
      <x:c r="A31" s="14" t="str">
        <x:v>glazing_system</x:v>
      </x:c>
      <x:c r="B31" s="14" t="str">
        <x:v>glazing_system</x:v>
      </x:c>
      <x:c r="C31" s="19" t="str">
        <x:v>glazed_area</x:v>
      </x:c>
      <x:c r="D31" s="19" t="str">
        <x:v>{}</x:v>
      </x:c>
      <x:c r="E31" s="17" t="n">
        <x:v>200.2889652096001</x:v>
      </x:c>
      <x:c r="F31" s="17" t="n">
        <x:v>200.2889652096001</x:v>
      </x:c>
      <x:c r="G31" s="24" t="str"/>
      <x:c r="H31" s="14"/>
      <x:c r="I31" s="23" t="str">
        <x:v>Illustrative: replace all derived glazing</x:v>
      </x:c>
    </x:row>
    <x:row r="32" ht="70" customHeight="1">
      <x:c r="A32" s="14" t="str">
        <x:v>heat_pump_system</x:v>
      </x:c>
      <x:c r="B32" s="14" t="str">
        <x:v>heat_pump_system</x:v>
      </x:c>
      <x:c r="C32" s="19" t="str">
        <x:v>heating_design</x:v>
      </x:c>
      <x:c r="D32" s="19" t="str">
        <x:v>{}</x:v>
      </x:c>
      <x:c r="E32" s="17" t="n">
        <x:v>169.02947351217253</x:v>
      </x:c>
      <x:c r="F32" s="17" t="n">
        <x:v>202.83536821460703</x:v>
      </x:c>
      <x:c r="G32" s="24" t="str"/>
      <x:c r="H32" s="14"/>
      <x:c r="I32" s="23" t="str">
        <x:v>Illustrative: total thermal group capacity; separate DHW device, 20% explicit allowance</x:v>
      </x:c>
    </x:row>
    <x:row r="33" ht="70" customHeight="1">
      <x:c r="A33" s="14" t="str">
        <x:v>dhw_heat_pump</x:v>
      </x:c>
      <x:c r="B33" s="14" t="str">
        <x:v>dhw_heat_pump</x:v>
      </x:c>
      <x:c r="C33" s="19" t="str">
        <x:v>dhw_recovery</x:v>
      </x:c>
      <x:c r="D33" s="19" t="str">
        <x:v>{"recovery_hours":8}</x:v>
      </x:c>
      <x:c r="E33" s="17" t="n">
        <x:v>71.17840520890435</x:v>
      </x:c>
      <x:c r="F33" s="17" t="n">
        <x:v>78.29624572979479</x:v>
      </x:c>
      <x:c r="G33" s="24" t="str"/>
      <x:c r="H33" s="14"/>
      <x:c r="I33" s="23" t="str">
        <x:v>Illustrative: recover maximum daily DHW energy in eight hours, 10% allowance</x:v>
      </x:c>
    </x:row>
    <x:row r="34" ht="70" customHeight="1">
      <x:c r="A34" s="14" t="str">
        <x:v>water_tank</x:v>
      </x:c>
      <x:c r="B34" s="14" t="str">
        <x:v>water_tank</x:v>
      </x:c>
      <x:c r="C34" s="19" t="str">
        <x:v>dhw_daily_volume</x:v>
      </x:c>
      <x:c r="D34" s="19" t="str">
        <x:v>{}</x:v>
      </x:c>
      <x:c r="E34" s="17" t="n">
        <x:v>15372.520337747073</x:v>
      </x:c>
      <x:c r="F34" s="17" t="n">
        <x:v>7686.260168873537</x:v>
      </x:c>
      <x:c r="G34" s="24" t="str"/>
      <x:c r="H34" s="14"/>
      <x:c r="I34" s="23" t="str">
        <x:v>Illustrative: half of maximum daily water draw volume; verify storage-temperature and draw-off basis</x:v>
      </x:c>
    </x:row>
    <x:row r="35" ht="70" customHeight="1">
      <x:c r="A35" s="14" t="str">
        <x:v>thermal_storage</x:v>
      </x:c>
      <x:c r="B35" s="14" t="str">
        <x:v>thermal_storage</x:v>
      </x:c>
      <x:c r="C35" s="19" t="str">
        <x:v>asset_multiple</x:v>
      </x:c>
      <x:c r="D35" s="19" t="str">
        <x:v>{"asset_id":"heat_pump_system","rate":10,"rate_unit":"L/kW"}</x:v>
      </x:c>
      <x:c r="E35" s="17" t="n">
        <x:v>2028.3536821460702</x:v>
      </x:c>
      <x:c r="F35" s="17" t="n">
        <x:v>2028.3536821460702</x:v>
      </x:c>
      <x:c r="G35" s="24" t="str">
        <x:v>heat_pump_system</x:v>
      </x:c>
      <x:c r="H35" s="14" t="n">
        <x:v>10</x:v>
      </x:c>
      <x:c r="I35" s="23" t="str">
        <x:v>Illustrative distinct buffer: ten litres per resolved heating kW, not a normative rule</x:v>
      </x:c>
    </x:row>
    <x:row r="36" ht="70" customHeight="1">
      <x:c r="A36" s="14" t="str">
        <x:v>fan_coils_hvac</x:v>
      </x:c>
      <x:c r="B36" s="14" t="str">
        <x:v>fan_coils_hvac</x:v>
      </x:c>
      <x:c r="C36" s="19" t="str">
        <x:v>asset_multiple</x:v>
      </x:c>
      <x:c r="D36" s="19" t="str">
        <x:v>{"asset_id":"heat_pump_system","rate":0.8,"rate_unit":"kW/kW"}</x:v>
      </x:c>
      <x:c r="E36" s="17" t="n">
        <x:v>162.26829457168563</x:v>
      </x:c>
      <x:c r="F36" s="17" t="n">
        <x:v>162.26829457168563</x:v>
      </x:c>
      <x:c r="G36" s="24" t="str">
        <x:v>heat_pump_system</x:v>
      </x:c>
      <x:c r="H36" s="14" t="n">
        <x:v>0.8</x:v>
      </x:c>
      <x:c r="I36" s="23" t="str">
        <x:v>Illustrative heating-rated terminal capacity: 80% of group heating capacity; verify AHU share and terminal ratings</x:v>
      </x:c>
    </x:row>
    <x:row r="37" ht="70" customHeight="1">
      <x:c r="A37" s="14" t="str">
        <x:v>pv_system</x:v>
      </x:c>
      <x:c r="B37" s="14" t="str">
        <x:v>pv_system</x:v>
      </x:c>
      <x:c r="C37" s="19" t="str">
        <x:v>pv_roof_capacity</x:v>
      </x:c>
      <x:c r="D37" s="19" t="str">
        <x:v>{"coverage":0.45,"module_kW_m2":0.23529411764705882}</x:v>
      </x:c>
      <x:c r="E37" s="17" t="n">
        <x:v>78.89096105238971</x:v>
      </x:c>
      <x:c r="F37" s="17" t="n">
        <x:v>78.89096105238971</x:v>
      </x:c>
      <x:c r="G37" s="24" t="str"/>
      <x:c r="H37" s="14"/>
      <x:c r="I37" s="23" t="str">
        <x:v>Illustrative 45% physical roof coverage and 0.4 kW per 1.7 m2</x:v>
      </x:c>
    </x:row>
    <x:row r="38" ht="70" customHeight="1">
      <x:c r="A38" s="14" t="str">
        <x:v>battery_system</x:v>
      </x:c>
      <x:c r="B38" s="14" t="str">
        <x:v>battery_system</x:v>
      </x:c>
      <x:c r="C38" s="19" t="str">
        <x:v>asset_multiple</x:v>
      </x:c>
      <x:c r="D38" s="19" t="str">
        <x:v>{"asset_id":"pv_system","rate":1.5,"rate_unit":"kWh/kW"}</x:v>
      </x:c>
      <x:c r="E38" s="17" t="n">
        <x:v>118.33644157858457</x:v>
      </x:c>
      <x:c r="F38" s="17" t="n">
        <x:v>118.33644157858457</x:v>
      </x:c>
      <x:c r="G38" s="24" t="str">
        <x:v>pv_system</x:v>
      </x:c>
      <x:c r="H38" s="14" t="n">
        <x:v>1.5</x:v>
      </x:c>
      <x:c r="I38" s="23" t="str">
        <x:v>Illustrative usable storage ratio: 1.5 kWh per resolved PV kW</x:v>
      </x:c>
    </x:row>
    <x:row r="39" ht="70" customHeight="1">
      <x:c r="A39" s="14" t="str">
        <x:v>renovation_area_allowance</x:v>
      </x:c>
      <x:c r="B39" s="14" t="str">
        <x:v>renovation_area_allowance</x:v>
      </x:c>
      <x:c r="C39" s="19" t="str">
        <x:v>floor_area</x:v>
      </x:c>
      <x:c r="D39" s="19" t="str">
        <x:v>{}</x:v>
      </x:c>
      <x:c r="E39" s="17" t="n">
        <x:v>2980.3251953125</x:v>
      </x:c>
      <x:c r="F39" s="17" t="n">
        <x:v>2980.3251953125</x:v>
      </x:c>
      <x:c r="G39" s="24" t="str"/>
      <x:c r="H39" s="14"/>
      <x:c r="I39" s="23" t="str">
        <x:v>Illustrative renovated floor-area allowance; avoid assessment overlap</x:v>
      </x:c>
    </x:row>
    <x:row r="40" ht="25" customHeight="1">
      <x:c r="A40" s="2"/>
      <x:c r="B40" s="2"/>
      <x:c r="C40" s="2"/>
      <x:c r="D40" s="2"/>
      <x:c r="E40" s="2"/>
      <x:c r="F40" s="2"/>
      <x:c r="G40" s="2"/>
      <x:c r="H40" s="2"/>
      <x:c r="I40" s="2"/>
    </x:row>
    <x:row r="41" ht="25" customHeight="1">
      <x:c r="A41" s="2"/>
      <x:c r="B41" s="2"/>
      <x:c r="C41" s="2"/>
      <x:c r="D41" s="2"/>
      <x:c r="E41" s="2"/>
      <x:c r="F41" s="2"/>
      <x:c r="G41" s="2"/>
      <x:c r="H41" s="2"/>
      <x:c r="I41" s="2"/>
    </x:row>
    <x:row r="42" ht="25" customHeight="1">
      <x:c r="A42" s="2"/>
      <x:c r="B42" s="2"/>
      <x:c r="C42" s="2"/>
      <x:c r="D42" s="2"/>
      <x:c r="E42" s="2"/>
      <x:c r="F42" s="2"/>
      <x:c r="G42" s="2"/>
      <x:c r="H42" s="2"/>
      <x:c r="I42" s="2"/>
    </x:row>
  </x:sheetData>
  <x:pageMargins left="0.7" right="0.7" top="0.75" bottom="0.75" header="0.3" footer="0.3"/>
</x:worksheet>
</file>