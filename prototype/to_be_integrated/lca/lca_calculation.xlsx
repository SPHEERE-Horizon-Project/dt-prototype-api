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c957f5f84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5c312f4c6a4b18"/>
    <x:sheet xmlns:r="http://schemas.openxmlformats.org/officeDocument/2006/relationships" name="Inputs" sheetId="2" r:id="R7216d7b9b2a344ab"/>
    <x:sheet xmlns:r="http://schemas.openxmlformats.org/officeDocument/2006/relationships" name="Calculation" sheetId="3" r:id="R1e465238b2b5431f"/>
    <x:sheet xmlns:r="http://schemas.openxmlformats.org/officeDocument/2006/relationships" name="Legacy comparison" sheetId="4" r:id="Rbae22aa7f8704318"/>
    <x:sheet xmlns:r="http://schemas.openxmlformats.org/officeDocument/2006/relationships" name="Check" sheetId="5" r:id="Rf55d3c1c4c7646c9"/>
    <x:sheet xmlns:r="http://schemas.openxmlformats.org/officeDocument/2006/relationships" name="Guide" sheetId="6" r:id="Rb8c97704bbe6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00"/>
  </x:numFmts>
  <x:fonts count="7">
    <x:font>
      <x:sz val="11"/>
      <x:name val="Carlito"/>
    </x:font>
    <x:font>
      <x:sz val="10"/>
      <x:color rgb="FF222222"/>
      <x:name val="Arial"/>
    </x:font>
    <x:font>
      <x:b/>
      <x:sz val="15"/>
      <x:color rgb="FF1F4E78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sz val="10"/>
      <x:color rgb="FF0000FF"/>
      <x:name val="Arial"/>
    </x:font>
    <x:font>
      <x:sz val="10"/>
      <x:color rgb="FF008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1F4E78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200" fontId="6" fillId="4" borderId="0" xfId="0" applyNumberFormat="1" applyFont="1" applyFill="1" applyBorder="1"/>
    <x:xf numFmtId="0" fontId="2" fillId="6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7c54f32e24de9" /><Relationship Type="http://schemas.openxmlformats.org/officeDocument/2006/relationships/theme" Target="/xl/theme/theme1.xml" Id="Ra56b531399cf4db6" /><Relationship Type="http://schemas.openxmlformats.org/officeDocument/2006/relationships/sharedStrings" Target="/xl/sharedStrings.xml" Id="R5ae4e4fb8b5a479a" /><Relationship Type="http://schemas.openxmlformats.org/officeDocument/2006/relationships/worksheet" Target="/xl/worksheets/sheet1.xml" Id="Rda5c312f4c6a4b18" /><Relationship Type="http://schemas.openxmlformats.org/officeDocument/2006/relationships/worksheet" Target="/xl/worksheets/sheet2.xml" Id="R7216d7b9b2a344ab" /><Relationship Type="http://schemas.openxmlformats.org/officeDocument/2006/relationships/worksheet" Target="/xl/worksheets/sheet3.xml" Id="R1e465238b2b5431f" /><Relationship Type="http://schemas.openxmlformats.org/officeDocument/2006/relationships/worksheet" Target="/xl/worksheets/sheet4.xml" Id="Rbae22aa7f8704318" /><Relationship Type="http://schemas.openxmlformats.org/officeDocument/2006/relationships/worksheet" Target="/xl/worksheets/sheet5.xml" Id="Rf55d3c1c4c7646c9" /><Relationship Type="http://schemas.openxmlformats.org/officeDocument/2006/relationships/worksheet" Target="/xl/worksheets/sheet6.xml" Id="Rb8c97704bbe64e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54" hidden="0" customWidth="1"/>
    <x:col min="3" max="3" width="22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LCA indicator summary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Indicator ID</x:v>
      </x:c>
      <x:c r="B5" s="8" t="str">
        <x:v>Indicator</x:v>
      </x:c>
      <x:c r="C5" s="8" t="str">
        <x:v>Unit</x:v>
      </x:c>
      <x:c r="D5" s="8" t="str">
        <x:v>Coverage</x:v>
      </x:c>
      <x:c r="E5" s="8" t="str">
        <x:v>Annual impact</x:v>
      </x:c>
      <x:c r="F5" s="8" t="str">
        <x:v>Project impact</x:v>
      </x:c>
      <x:c r="G5" s="8" t="str">
        <x:v>Annual impact per m²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primary_energy</x:v>
      </x:c>
      <x:c r="B6" s="1" t="str">
        <x:v>Embodied primary energy</x:v>
      </x:c>
      <x:c r="C6" s="1" t="str">
        <x:v>kWh</x:v>
      </x:c>
      <x:c r="D6" s="1" t="str">
        <x:f>IF(COUNTIFS(Calculation!$F$5:$F$172,A6,Calculation!$K$5:$K$172,"Missing")&gt;0,"Missing factors","Complete")</x:f>
        <x:v>Complete</x:v>
      </x:c>
      <x:c r="E6" s="9" t="n">
        <x:f>IF(D6="Complete",SUMIF(Calculation!$F$5:$F$172,A6,Calculation!$I$5:$I$172),"")</x:f>
        <x:v>14608.557721471474</x:v>
      </x:c>
      <x:c r="F6" s="9" t="n">
        <x:f>IF(D6="Complete",SUMIF(Calculation!$F$5:$F$172,A6,Calculation!$J$5:$J$172),"")</x:f>
        <x:v>550695.5552552552</x:v>
      </x:c>
      <x:c r="G6" s="9" t="n">
        <x:f>IF(D6="Complete",E6/Inputs!$B$5,"")</x:f>
        <x:v>13.127747772709808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gwp_total</x:v>
      </x:c>
      <x:c r="B7" s="1" t="str">
        <x:v>Global warming potential - total</x:v>
      </x:c>
      <x:c r="C7" s="1" t="str">
        <x:v>kg CO2e</x:v>
      </x:c>
      <x:c r="D7" s="1" t="str">
        <x:f>IF(COUNTIFS(Calculation!$F$5:$F$172,A7,Calculation!$K$5:$K$172,"Missing")&gt;0,"Missing factors","Complete")</x:f>
        <x:v>Complete</x:v>
      </x:c>
      <x:c r="E7" s="9" t="n">
        <x:f>IF(D7="Complete",SUMIF(Calculation!$F$5:$F$172,A7,Calculation!$I$5:$I$172),"")</x:f>
        <x:v>4733.882373873874</x:v>
      </x:c>
      <x:c r="F7" s="9" t="n">
        <x:f>IF(D7="Complete",SUMIF(Calculation!$F$5:$F$172,A7,Calculation!$J$5:$J$172),"")</x:f>
        <x:v>178771.2962162162</x:v>
      </x:c>
      <x:c r="G7" s="9" t="n">
        <x:f>IF(D7="Complete",E7/Inputs!$B$5,"")</x:f>
        <x:v>4.254028013905351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gwp_fossil</x:v>
      </x:c>
      <x:c r="B8" s="1" t="str">
        <x:v>Global warming potential - fossil</x:v>
      </x:c>
      <x:c r="C8" s="1" t="str">
        <x:v>kg CO2e</x:v>
      </x:c>
      <x:c r="D8" s="1" t="str">
        <x:f>IF(COUNTIFS(Calculation!$F$5:$F$172,A8,Calculation!$K$5:$K$172,"Missing")&gt;0,"Missing factors","Complete")</x:f>
        <x:v>Missing factors</x:v>
      </x:c>
      <x:c r="E8" s="9" t="str">
        <x:f>IF(D8="Complete",SUMIF(Calculation!$F$5:$F$172,A8,Calculation!$I$5:$I$172),"")</x:f>
      </x:c>
      <x:c r="F8" s="9" t="str">
        <x:f>IF(D8="Complete",SUMIF(Calculation!$F$5:$F$172,A8,Calculation!$J$5:$J$172),"")</x:f>
      </x:c>
      <x:c r="G8" s="9" t="str">
        <x:f>IF(D8="Complete",E8/Inputs!$B$5,"")</x:f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gwp_biogenic</x:v>
      </x:c>
      <x:c r="B9" s="1" t="str">
        <x:v>Global warming potential - biogenic</x:v>
      </x:c>
      <x:c r="C9" s="1" t="str">
        <x:v>kg CO2e</x:v>
      </x:c>
      <x:c r="D9" s="1" t="str">
        <x:f>IF(COUNTIFS(Calculation!$F$5:$F$172,A9,Calculation!$K$5:$K$172,"Missing")&gt;0,"Missing factors","Complete")</x:f>
        <x:v>Missing factors</x:v>
      </x:c>
      <x:c r="E9" s="9" t="str">
        <x:f>IF(D9="Complete",SUMIF(Calculation!$F$5:$F$172,A9,Calculation!$I$5:$I$172),"")</x:f>
      </x:c>
      <x:c r="F9" s="9" t="str">
        <x:f>IF(D9="Complete",SUMIF(Calculation!$F$5:$F$172,A9,Calculation!$J$5:$J$172),"")</x:f>
      </x:c>
      <x:c r="G9" s="9" t="str">
        <x:f>IF(D9="Complete",E9/Inputs!$B$5,"")</x:f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gwp_luluc</x:v>
      </x:c>
      <x:c r="B10" s="1" t="str">
        <x:v>Global warming potential - land use and land-use change</x:v>
      </x:c>
      <x:c r="C10" s="1" t="str">
        <x:v>kg CO2e</x:v>
      </x:c>
      <x:c r="D10" s="1" t="str">
        <x:f>IF(COUNTIFS(Calculation!$F$5:$F$172,A10,Calculation!$K$5:$K$172,"Missing")&gt;0,"Missing factors","Complete")</x:f>
        <x:v>Missing factors</x:v>
      </x:c>
      <x:c r="E10" s="9" t="str">
        <x:f>IF(D10="Complete",SUMIF(Calculation!$F$5:$F$172,A10,Calculation!$I$5:$I$172),"")</x:f>
      </x:c>
      <x:c r="F10" s="9" t="str">
        <x:f>IF(D10="Complete",SUMIF(Calculation!$F$5:$F$172,A10,Calculation!$J$5:$J$172),"")</x:f>
      </x:c>
      <x:c r="G10" s="9" t="str">
        <x:f>IF(D10="Complete",E10/Inputs!$B$5,"")</x:f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odp</x:v>
      </x:c>
      <x:c r="B11" s="1" t="str">
        <x:v>Stratospheric ozone depletion potential</x:v>
      </x:c>
      <x:c r="C11" s="1" t="str">
        <x:v>kg CFC-11e</x:v>
      </x:c>
      <x:c r="D11" s="1" t="str">
        <x:f>IF(COUNTIFS(Calculation!$F$5:$F$172,A11,Calculation!$K$5:$K$172,"Missing")&gt;0,"Missing factors","Complete")</x:f>
        <x:v>Missing factors</x:v>
      </x:c>
      <x:c r="E11" s="9" t="str">
        <x:f>IF(D11="Complete",SUMIF(Calculation!$F$5:$F$172,A11,Calculation!$I$5:$I$172),"")</x:f>
      </x:c>
      <x:c r="F11" s="9" t="str">
        <x:f>IF(D11="Complete",SUMIF(Calculation!$F$5:$F$172,A11,Calculation!$J$5:$J$172),"")</x:f>
      </x:c>
      <x:c r="G11" s="9" t="str">
        <x:f>IF(D11="Complete",E11/Inputs!$B$5,"")</x:f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ap</x:v>
      </x:c>
      <x:c r="B12" s="1" t="str">
        <x:v>Acidification potential, accumulated exceedance</x:v>
      </x:c>
      <x:c r="C12" s="1" t="str">
        <x:v>mol H+e</x:v>
      </x:c>
      <x:c r="D12" s="1" t="str">
        <x:f>IF(COUNTIFS(Calculation!$F$5:$F$172,A12,Calculation!$K$5:$K$172,"Missing")&gt;0,"Missing factors","Complete")</x:f>
        <x:v>Missing factors</x:v>
      </x:c>
      <x:c r="E12" s="9" t="str">
        <x:f>IF(D12="Complete",SUMIF(Calculation!$F$5:$F$172,A12,Calculation!$I$5:$I$172),"")</x:f>
      </x:c>
      <x:c r="F12" s="9" t="str">
        <x:f>IF(D12="Complete",SUMIF(Calculation!$F$5:$F$172,A12,Calculation!$J$5:$J$172),"")</x:f>
      </x:c>
      <x:c r="G12" s="9" t="str">
        <x:f>IF(D12="Complete",E12/Inputs!$B$5,"")</x:f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ep_freshwater</x:v>
      </x:c>
      <x:c r="B13" s="1" t="str">
        <x:v>Eutrophication potential - freshwater</x:v>
      </x:c>
      <x:c r="C13" s="1" t="str">
        <x:v>kg PO4e</x:v>
      </x:c>
      <x:c r="D13" s="1" t="str">
        <x:f>IF(COUNTIFS(Calculation!$F$5:$F$172,A13,Calculation!$K$5:$K$172,"Missing")&gt;0,"Missing factors","Complete")</x:f>
        <x:v>Missing factors</x:v>
      </x:c>
      <x:c r="E13" s="9" t="str">
        <x:f>IF(D13="Complete",SUMIF(Calculation!$F$5:$F$172,A13,Calculation!$I$5:$I$172),"")</x:f>
      </x:c>
      <x:c r="F13" s="9" t="str">
        <x:f>IF(D13="Complete",SUMIF(Calculation!$F$5:$F$172,A13,Calculation!$J$5:$J$172),"")</x:f>
      </x:c>
      <x:c r="G13" s="9" t="str">
        <x:f>IF(D13="Complete",E13/Inputs!$B$5,"")</x:f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ep_marine</x:v>
      </x:c>
      <x:c r="B14" s="1" t="str">
        <x:v>Eutrophication potential - marine</x:v>
      </x:c>
      <x:c r="C14" s="1" t="str">
        <x:v>kg Ne</x:v>
      </x:c>
      <x:c r="D14" s="1" t="str">
        <x:f>IF(COUNTIFS(Calculation!$F$5:$F$172,A14,Calculation!$K$5:$K$172,"Missing")&gt;0,"Missing factors","Complete")</x:f>
        <x:v>Missing factors</x:v>
      </x:c>
      <x:c r="E14" s="9" t="str">
        <x:f>IF(D14="Complete",SUMIF(Calculation!$F$5:$F$172,A14,Calculation!$I$5:$I$172),"")</x:f>
      </x:c>
      <x:c r="F14" s="9" t="str">
        <x:f>IF(D14="Complete",SUMIF(Calculation!$F$5:$F$172,A14,Calculation!$J$5:$J$172),"")</x:f>
      </x:c>
      <x:c r="G14" s="9" t="str">
        <x:f>IF(D14="Complete",E14/Inputs!$B$5,"")</x:f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ep_terrestrial</x:v>
      </x:c>
      <x:c r="B15" s="1" t="str">
        <x:v>Eutrophication potential - terrestrial</x:v>
      </x:c>
      <x:c r="C15" s="1" t="str">
        <x:v>mol Ne</x:v>
      </x:c>
      <x:c r="D15" s="1" t="str">
        <x:f>IF(COUNTIFS(Calculation!$F$5:$F$172,A15,Calculation!$K$5:$K$172,"Missing")&gt;0,"Missing factors","Complete")</x:f>
        <x:v>Missing factors</x:v>
      </x:c>
      <x:c r="E15" s="9" t="str">
        <x:f>IF(D15="Complete",SUMIF(Calculation!$F$5:$F$172,A15,Calculation!$I$5:$I$172),"")</x:f>
      </x:c>
      <x:c r="F15" s="9" t="str">
        <x:f>IF(D15="Complete",SUMIF(Calculation!$F$5:$F$172,A15,Calculation!$J$5:$J$172),"")</x:f>
      </x:c>
      <x:c r="G15" s="9" t="str">
        <x:f>IF(D15="Complete",E15/Inputs!$B$5,"")</x:f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pocp</x:v>
      </x:c>
      <x:c r="B16" s="1" t="str">
        <x:v>Photochemical ozone formation potential</x:v>
      </x:c>
      <x:c r="C16" s="1" t="str">
        <x:v>kg NMVOCe</x:v>
      </x:c>
      <x:c r="D16" s="1" t="str">
        <x:f>IF(COUNTIFS(Calculation!$F$5:$F$172,A16,Calculation!$K$5:$K$172,"Missing")&gt;0,"Missing factors","Complete")</x:f>
        <x:v>Missing factors</x:v>
      </x:c>
      <x:c r="E16" s="9" t="str">
        <x:f>IF(D16="Complete",SUMIF(Calculation!$F$5:$F$172,A16,Calculation!$I$5:$I$172),"")</x:f>
      </x:c>
      <x:c r="F16" s="9" t="str">
        <x:f>IF(D16="Complete",SUMIF(Calculation!$F$5:$F$172,A16,Calculation!$J$5:$J$172),"")</x:f>
      </x:c>
      <x:c r="G16" s="9" t="str">
        <x:f>IF(D16="Complete",E16/Inputs!$B$5,"")</x:f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adp_minerals_metals</x:v>
      </x:c>
      <x:c r="B17" s="1" t="str">
        <x:v>Abiotic depletion potential - minerals and metals</x:v>
      </x:c>
      <x:c r="C17" s="1" t="str">
        <x:v>kg Sbe</x:v>
      </x:c>
      <x:c r="D17" s="1" t="str">
        <x:f>IF(COUNTIFS(Calculation!$F$5:$F$172,A17,Calculation!$K$5:$K$172,"Missing")&gt;0,"Missing factors","Complete")</x:f>
        <x:v>Missing factors</x:v>
      </x:c>
      <x:c r="E17" s="9" t="str">
        <x:f>IF(D17="Complete",SUMIF(Calculation!$F$5:$F$172,A17,Calculation!$I$5:$I$172),"")</x:f>
      </x:c>
      <x:c r="F17" s="9" t="str">
        <x:f>IF(D17="Complete",SUMIF(Calculation!$F$5:$F$172,A17,Calculation!$J$5:$J$172),"")</x:f>
      </x:c>
      <x:c r="G17" s="9" t="str">
        <x:f>IF(D17="Complete",E17/Inputs!$B$5,"")</x:f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adp_fossil</x:v>
      </x:c>
      <x:c r="B18" s="1" t="str">
        <x:v>Abiotic depletion potential - fossil resources</x:v>
      </x:c>
      <x:c r="C18" s="1" t="str">
        <x:v>MJ net calorific value</x:v>
      </x:c>
      <x:c r="D18" s="1" t="str">
        <x:f>IF(COUNTIFS(Calculation!$F$5:$F$172,A18,Calculation!$K$5:$K$172,"Missing")&gt;0,"Missing factors","Complete")</x:f>
        <x:v>Missing factors</x:v>
      </x:c>
      <x:c r="E18" s="9" t="str">
        <x:f>IF(D18="Complete",SUMIF(Calculation!$F$5:$F$172,A18,Calculation!$I$5:$I$172),"")</x:f>
      </x:c>
      <x:c r="F18" s="9" t="str">
        <x:f>IF(D18="Complete",SUMIF(Calculation!$F$5:$F$172,A18,Calculation!$J$5:$J$172),"")</x:f>
      </x:c>
      <x:c r="G18" s="9" t="str">
        <x:f>IF(D18="Complete",E18/Inputs!$B$5,"")</x:f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wdp</x:v>
      </x:c>
      <x:c r="B19" s="1" t="str">
        <x:v>Water deprivation potential</x:v>
      </x:c>
      <x:c r="C19" s="1" t="str">
        <x:v>m3 world-e deprived</x:v>
      </x:c>
      <x:c r="D19" s="1" t="str">
        <x:f>IF(COUNTIFS(Calculation!$F$5:$F$172,A19,Calculation!$K$5:$K$172,"Missing")&gt;0,"Missing factors","Complete")</x:f>
        <x:v>Missing factors</x:v>
      </x:c>
      <x:c r="E19" s="9" t="str">
        <x:f>IF(D19="Complete",SUMIF(Calculation!$F$5:$F$172,A19,Calculation!$I$5:$I$172),"")</x:f>
      </x:c>
      <x:c r="F19" s="9" t="str">
        <x:f>IF(D19="Complete",SUMIF(Calculation!$F$5:$F$172,A19,Calculation!$J$5:$J$172),"")</x:f>
      </x:c>
      <x:c r="G19" s="9" t="str">
        <x:f>IF(D19="Complete",E19/Inputs!$B$5,"")</x:f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1" t="str">
        <x:v>Coverage rule</x:v>
      </x:c>
      <x:c r="B22" s="11" t="str"/>
      <x:c r="C22" s="11" t="str"/>
      <x:c r="D22" s="11" t="str"/>
      <x:c r="E22" s="11" t="str"/>
      <x:c r="F22" s="11" t="str"/>
      <x:c r="G22" s="11" t="str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A result is shown only when all non-zero items and the renovation row have a factor for that indicator.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Blank Level(s) factors are inputs still required, not zero environmental impact.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mergeCells>
    <x:mergeCell ref="A23:G23"/>
    <x:mergeCell ref="A24:G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27" topLeftCell="C28" activePane="bottomRight" state="frozen"/>
    </x:sheetView>
  </x:sheetViews>
  <x:sheetFormatPr defaultRowHeight="15"/>
  <x:cols>
    <x:col min="1" max="1" width="20" hidden="0" customWidth="1"/>
    <x:col min="2" max="2" width="44" hidden="0" customWidth="1"/>
    <x:col min="3" max="3" width="18" hidden="0" customWidth="1"/>
    <x:col min="4" max="4" width="26" hidden="0" customWidth="1"/>
    <x:col min="5" max="5" width="2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15" hidden="0" customWidth="1"/>
    <x:col min="20" max="20" width="13" hidden="0" customWidth="1"/>
    <x:col min="21" max="21" width="14" hidden="0" customWidth="1"/>
    <x:col min="22" max="22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3" t="str">
        <x:v>LCA inputs and indicator factors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Project lifetime (years)</x:v>
      </x:c>
      <x:c r="B4" s="14" t="n">
        <x:v>30</x:v>
      </x:c>
      <x:c r="C4" s="1"/>
      <x:c r="D4" s="1"/>
      <x:c r="E4" s="8" t="str">
        <x:v>Legacy operational input</x:v>
      </x:c>
      <x:c r="F4" s="8" t="str">
        <x:v>Value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Net floor area (m²)</x:v>
      </x:c>
      <x:c r="B5" s="14" t="n">
        <x:v>1112.8</x:v>
      </x:c>
      <x:c r="C5" s="1"/>
      <x:c r="D5" s="1"/>
      <x:c r="E5" s="1" t="str">
        <x:v>Electricity primary-energy factor</x:v>
      </x:c>
      <x:c r="F5" s="13" t="n">
        <x:v>1.95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 t="str">
        <x:v>Electricity carbon factor (kg/kWh)</x:v>
      </x:c>
      <x:c r="F6" s="13" t="n">
        <x:v>0.43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 t="str">
        <x:v>Pre-retrofit electricity (kWh)</x:v>
      </x:c>
      <x:c r="F7" s="13" t="n">
        <x:v>133536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 t="str">
        <x:v>Heating fuel type</x:v>
      </x:c>
      <x:c r="F8" s="13" t="str">
        <x:v>electricity-no fuel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8" t="str">
        <x:v>Indicator ID</x:v>
      </x:c>
      <x:c r="B9" s="8" t="str">
        <x:v>Indicator</x:v>
      </x:c>
      <x:c r="C9" s="8" t="str">
        <x:v>Result unit</x:v>
      </x:c>
      <x:c r="D9" s="8" t="str">
        <x:v>Factor unit</x:v>
      </x:c>
      <x:c r="E9" s="1" t="str">
        <x:v>Heating fuel quantity</x:v>
      </x:c>
      <x:c r="F9" s="13" t="n">
        <x:v>0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primary_energy</x:v>
      </x:c>
      <x:c r="B10" s="1" t="str">
        <x:v>Embodied primary energy</x:v>
      </x:c>
      <x:c r="C10" s="1" t="str">
        <x:v>kWh</x:v>
      </x:c>
      <x:c r="D10" s="1" t="str">
        <x:v>kWh per declared quantity unit</x:v>
      </x:c>
      <x:c r="E10" s="1" t="str">
        <x:v>DHW fuel type</x:v>
      </x:c>
      <x:c r="F10" s="13" t="str">
        <x:v>electricity-no fuel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gwp_total</x:v>
      </x:c>
      <x:c r="B11" s="1" t="str">
        <x:v>Global warming potential - total</x:v>
      </x:c>
      <x:c r="C11" s="1" t="str">
        <x:v>kg CO2e</x:v>
      </x:c>
      <x:c r="D11" s="1" t="str">
        <x:v>kg CO2e per declared quantity unit</x:v>
      </x:c>
      <x:c r="E11" s="1" t="str">
        <x:v>DHW fuel quantity</x:v>
      </x:c>
      <x:c r="F11" s="13" t="n">
        <x:v>0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gwp_fossil</x:v>
      </x:c>
      <x:c r="B12" s="1" t="str">
        <x:v>Global warming potential - fossil</x:v>
      </x:c>
      <x:c r="C12" s="1" t="str">
        <x:v>kg CO2e</x:v>
      </x:c>
      <x:c r="D12" s="1" t="str">
        <x:v>kg CO2e per declared quantity unit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gwp_biogenic</x:v>
      </x:c>
      <x:c r="B13" s="1" t="str">
        <x:v>Global warming potential - biogenic</x:v>
      </x:c>
      <x:c r="C13" s="1" t="str">
        <x:v>kg CO2e</x:v>
      </x:c>
      <x:c r="D13" s="1" t="str">
        <x:v>kg CO2e per declared quantity unit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gwp_luluc</x:v>
      </x:c>
      <x:c r="B14" s="1" t="str">
        <x:v>Global warming potential - land use and land-use change</x:v>
      </x:c>
      <x:c r="C14" s="1" t="str">
        <x:v>kg CO2e</x:v>
      </x:c>
      <x:c r="D14" s="1" t="str">
        <x:v>kg CO2e per declared quantity unit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odp</x:v>
      </x:c>
      <x:c r="B15" s="1" t="str">
        <x:v>Stratospheric ozone depletion potential</x:v>
      </x:c>
      <x:c r="C15" s="1" t="str">
        <x:v>kg CFC-11e</x:v>
      </x:c>
      <x:c r="D15" s="1" t="str">
        <x:v>kg CFC-11e per declared quantity unit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ap</x:v>
      </x:c>
      <x:c r="B16" s="1" t="str">
        <x:v>Acidification potential, accumulated exceedance</x:v>
      </x:c>
      <x:c r="C16" s="1" t="str">
        <x:v>mol H+e</x:v>
      </x:c>
      <x:c r="D16" s="1" t="str">
        <x:v>mol H+e per declared quantity unit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ep_freshwater</x:v>
      </x:c>
      <x:c r="B17" s="1" t="str">
        <x:v>Eutrophication potential - freshwater</x:v>
      </x:c>
      <x:c r="C17" s="1" t="str">
        <x:v>kg PO4e</x:v>
      </x:c>
      <x:c r="D17" s="1" t="str">
        <x:v>kg PO4e per declared quantity unit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ep_marine</x:v>
      </x:c>
      <x:c r="B18" s="1" t="str">
        <x:v>Eutrophication potential - marine</x:v>
      </x:c>
      <x:c r="C18" s="1" t="str">
        <x:v>kg Ne</x:v>
      </x:c>
      <x:c r="D18" s="1" t="str">
        <x:v>kg Ne per declared quantity unit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ep_terrestrial</x:v>
      </x:c>
      <x:c r="B19" s="1" t="str">
        <x:v>Eutrophication potential - terrestrial</x:v>
      </x:c>
      <x:c r="C19" s="1" t="str">
        <x:v>mol Ne</x:v>
      </x:c>
      <x:c r="D19" s="1" t="str">
        <x:v>mol Ne per declared quantity unit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pocp</x:v>
      </x:c>
      <x:c r="B20" s="1" t="str">
        <x:v>Photochemical ozone formation potential</x:v>
      </x:c>
      <x:c r="C20" s="1" t="str">
        <x:v>kg NMVOCe</x:v>
      </x:c>
      <x:c r="D20" s="1" t="str">
        <x:v>kg NMVOCe per declared quantity unit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adp_minerals_metals</x:v>
      </x:c>
      <x:c r="B21" s="1" t="str">
        <x:v>Abiotic depletion potential - minerals and metals</x:v>
      </x:c>
      <x:c r="C21" s="1" t="str">
        <x:v>kg Sbe</x:v>
      </x:c>
      <x:c r="D21" s="1" t="str">
        <x:v>kg Sbe per declared quantity unit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adp_fossil</x:v>
      </x:c>
      <x:c r="B22" s="1" t="str">
        <x:v>Abiotic depletion potential - fossil resources</x:v>
      </x:c>
      <x:c r="C22" s="1" t="str">
        <x:v>MJ net calorific value</x:v>
      </x:c>
      <x:c r="D22" s="1" t="str">
        <x:v>MJ net calorific value per declared quantity unit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wdp</x:v>
      </x:c>
      <x:c r="B23" s="1" t="str">
        <x:v>Water deprivation potential</x:v>
      </x:c>
      <x:c r="C23" s="1" t="str">
        <x:v>m3 world-e deprived</x:v>
      </x:c>
      <x:c r="D23" s="1" t="str">
        <x:v>m3 world-e deprived per declared quantity unit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8" t="str">
        <x:v>Item type</x:v>
      </x:c>
      <x:c r="B27" s="8" t="str">
        <x:v>Item</x:v>
      </x:c>
      <x:c r="C27" s="8" t="str">
        <x:v>Assessed quantity</x:v>
      </x:c>
      <x:c r="D27" s="8" t="str">
        <x:v>Service life</x:v>
      </x:c>
      <x:c r="E27" s="8" t="str">
        <x:v>primary_energy</x:v>
      </x:c>
      <x:c r="F27" s="8" t="str">
        <x:v>gwp_total</x:v>
      </x:c>
      <x:c r="G27" s="8" t="str">
        <x:v>gwp_fossil</x:v>
      </x:c>
      <x:c r="H27" s="8" t="str">
        <x:v>gwp_biogenic</x:v>
      </x:c>
      <x:c r="I27" s="8" t="str">
        <x:v>gwp_luluc</x:v>
      </x:c>
      <x:c r="J27" s="8" t="str">
        <x:v>odp</x:v>
      </x:c>
      <x:c r="K27" s="8" t="str">
        <x:v>ap</x:v>
      </x:c>
      <x:c r="L27" s="8" t="str">
        <x:v>ep_freshwater</x:v>
      </x:c>
      <x:c r="M27" s="8" t="str">
        <x:v>ep_marine</x:v>
      </x:c>
      <x:c r="N27" s="8" t="str">
        <x:v>ep_terrestrial</x:v>
      </x:c>
      <x:c r="O27" s="8" t="str">
        <x:v>pocp</x:v>
      </x:c>
      <x:c r="P27" s="8" t="str">
        <x:v>adp_minerals_metals</x:v>
      </x:c>
      <x:c r="Q27" s="8" t="str">
        <x:v>adp_fossil</x:v>
      </x:c>
      <x:c r="R27" s="8" t="str">
        <x:v>wdp</x:v>
      </x:c>
      <x:c r="S27" s="8" t="str">
        <x:v>Base quantity</x:v>
      </x:c>
      <x:c r="T27" s="8" t="str">
        <x:v>Sizing factor</x:v>
      </x:c>
      <x:c r="U27" s="8" t="str">
        <x:v>Quantity unit</x:v>
      </x:c>
      <x:c r="V27" s="8" t="str">
        <x:v>Sizing basis</x:v>
      </x:c>
      <x:c r="W27" s="1"/>
      <x:c r="X27" s="1"/>
      <x:c r="Y27" s="1"/>
      <x:c r="Z27" s="1"/>
    </x:row>
    <x:row r="28">
      <x:c r="A28" s="1" t="str">
        <x:v>Technology</x:v>
      </x:c>
      <x:c r="B28" s="1" t="str">
        <x:v>Façade insulation</x:v>
      </x:c>
      <x:c r="C28" s="22" t="n">
        <x:f>S28*T28</x:f>
        <x:v>1027.42</x:v>
      </x:c>
      <x:c r="D28" s="14" t="n">
        <x:v>40</x:v>
      </x:c>
      <x:c r="E28" s="14" t="n">
        <x:v>192.5</x:v>
      </x:c>
      <x:c r="F28" s="14" t="n">
        <x:v>65</x:v>
      </x:c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9" t="n">
        <x:v>1027.42</x:v>
      </x:c>
      <x:c r="T28" s="19" t="n">
        <x:v>1</x:v>
      </x:c>
      <x:c r="U28" s="19" t="str">
        <x:v>m2</x:v>
      </x:c>
      <x:c r="V28" s="21" t="str">
        <x:v>retrofitted façade area</x:v>
      </x:c>
      <x:c r="W28" s="1"/>
      <x:c r="X28" s="1"/>
      <x:c r="Y28" s="1"/>
      <x:c r="Z28" s="1"/>
    </x:row>
    <x:row r="29">
      <x:c r="A29" s="1" t="str">
        <x:v>Technology</x:v>
      </x:c>
      <x:c r="B29" s="1" t="str">
        <x:v>Roof insulation</x:v>
      </x:c>
      <x:c r="C29" s="22" t="n">
        <x:f>S29*T29</x:f>
        <x:v>616</x:v>
      </x:c>
      <x:c r="D29" s="14" t="n">
        <x:v>40</x:v>
      </x:c>
      <x:c r="E29" s="14" t="n">
        <x:v>174.72222222222223</x:v>
      </x:c>
      <x:c r="F29" s="14" t="n">
        <x:v>52</x:v>
      </x:c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9" t="n">
        <x:v>616</x:v>
      </x:c>
      <x:c r="T29" s="19" t="n">
        <x:v>1</x:v>
      </x:c>
      <x:c r="U29" s="19" t="str">
        <x:v>m2</x:v>
      </x:c>
      <x:c r="V29" s="21" t="str">
        <x:v>retrofitted roof area</x:v>
      </x:c>
      <x:c r="W29" s="1"/>
      <x:c r="X29" s="1"/>
      <x:c r="Y29" s="1"/>
      <x:c r="Z29" s="1"/>
    </x:row>
    <x:row r="30">
      <x:c r="A30" s="1" t="str">
        <x:v>Technology</x:v>
      </x:c>
      <x:c r="B30" s="1" t="str">
        <x:v>Basement insulation</x:v>
      </x:c>
      <x:c r="C30" s="22" t="n">
        <x:f>S30*T30</x:f>
        <x:v>629</x:v>
      </x:c>
      <x:c r="D30" s="14" t="n">
        <x:v>40</x:v>
      </x:c>
      <x:c r="E30" s="14" t="n">
        <x:v>192.5</x:v>
      </x:c>
      <x:c r="F30" s="14" t="n">
        <x:v>65</x:v>
      </x:c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9" t="n">
        <x:v>629</x:v>
      </x:c>
      <x:c r="T30" s="19" t="n">
        <x:v>1</x:v>
      </x:c>
      <x:c r="U30" s="19" t="str">
        <x:v>m2</x:v>
      </x:c>
      <x:c r="V30" s="21" t="str">
        <x:v>retrofitted basement area</x:v>
      </x:c>
      <x:c r="W30" s="1"/>
      <x:c r="X30" s="1"/>
      <x:c r="Y30" s="1"/>
      <x:c r="Z30" s="1"/>
    </x:row>
    <x:row r="31">
      <x:c r="A31" s="1" t="str">
        <x:v>Technology</x:v>
      </x:c>
      <x:c r="B31" s="1" t="str">
        <x:v>Glazing system</x:v>
      </x:c>
      <x:c r="C31" s="22" t="n">
        <x:f>S31*T31</x:f>
        <x:v>182.57999999999998</x:v>
      </x:c>
      <x:c r="D31" s="14" t="n">
        <x:v>30</x:v>
      </x:c>
      <x:c r="E31" s="14" t="n">
        <x:v>143.61111111111111</x:v>
      </x:c>
      <x:c r="F31" s="14" t="n">
        <x:v>39</x:v>
      </x:c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9" t="n">
        <x:v>182.57999999999998</x:v>
      </x:c>
      <x:c r="T31" s="19" t="n">
        <x:v>1</x:v>
      </x:c>
      <x:c r="U31" s="19" t="str">
        <x:v>m2</x:v>
      </x:c>
      <x:c r="V31" s="21" t="str">
        <x:v>replaced glazed area</x:v>
      </x:c>
      <x:c r="W31" s="1"/>
      <x:c r="X31" s="1"/>
      <x:c r="Y31" s="1"/>
      <x:c r="Z31" s="1"/>
    </x:row>
    <x:row r="32">
      <x:c r="A32" s="1" t="str">
        <x:v>Technology</x:v>
      </x:c>
      <x:c r="B32" s="1" t="str">
        <x:v>Heat pump system</x:v>
      </x:c>
      <x:c r="C32" s="22" t="n">
        <x:f>S32*T32</x:f>
        <x:v>3</x:v>
      </x:c>
      <x:c r="D32" s="14" t="n">
        <x:v>15</x:v>
      </x:c>
      <x:c r="E32" s="14" t="n">
        <x:v>6206.388888888889</x:v>
      </x:c>
      <x:c r="F32" s="14" t="n">
        <x:v>2288</x:v>
      </x:c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9" t="n">
        <x:v>3</x:v>
      </x:c>
      <x:c r="T32" s="19" t="n">
        <x:v>1</x:v>
      </x:c>
      <x:c r="U32" s="19" t="str">
        <x:v>unit</x:v>
      </x:c>
      <x:c r="V32" s="21" t="str">
        <x:v>three heat pumps in the system</x:v>
      </x:c>
      <x:c r="W32" s="1"/>
      <x:c r="X32" s="1"/>
      <x:c r="Y32" s="1"/>
      <x:c r="Z32" s="1"/>
    </x:row>
    <x:row r="33">
      <x:c r="A33" s="1" t="str">
        <x:v>Technology</x:v>
      </x:c>
      <x:c r="B33" s="1" t="str">
        <x:v>Water tank</x:v>
      </x:c>
      <x:c r="C33" s="22" t="n">
        <x:f>S33*T33</x:f>
        <x:v>0</x:v>
      </x:c>
      <x:c r="D33" s="14" t="n">
        <x:v>30</x:v>
      </x:c>
      <x:c r="E33" s="14" t="n">
        <x:v>6689.722222222222</x:v>
      </x:c>
      <x:c r="F33" s="14" t="n">
        <x:v>2288</x:v>
      </x:c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9" t="n">
        <x:v>0</x:v>
      </x:c>
      <x:c r="T33" s="19" t="n">
        <x:v>1</x:v>
      </x:c>
      <x:c r="U33" s="19" t="str">
        <x:v>unit</x:v>
      </x:c>
      <x:c r="V33" s="21" t="str">
        <x:v>installed water tanks</x:v>
      </x:c>
      <x:c r="W33" s="1"/>
      <x:c r="X33" s="1"/>
      <x:c r="Y33" s="1"/>
      <x:c r="Z33" s="1"/>
    </x:row>
    <x:row r="34">
      <x:c r="A34" s="1" t="str">
        <x:v>Technology</x:v>
      </x:c>
      <x:c r="B34" s="1" t="str">
        <x:v>BACS (Building Automation and Control Systems)</x:v>
      </x:c>
      <x:c r="C34" s="22" t="n">
        <x:f>S34*T34</x:f>
        <x:v>3</x:v>
      </x:c>
      <x:c r="D34" s="14" t="n">
        <x:v>30</x:v>
      </x:c>
      <x:c r="E34" s="14" t="n">
        <x:v>4988.611111111111</x:v>
      </x:c>
      <x:c r="F34" s="14" t="n">
        <x:v>1636</x:v>
      </x:c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9" t="n">
        <x:v>3</x:v>
      </x:c>
      <x:c r="T34" s="19" t="n">
        <x:v>1</x:v>
      </x:c>
      <x:c r="U34" s="19" t="str">
        <x:v>unit</x:v>
      </x:c>
      <x:c r="V34" s="21" t="str">
        <x:v>BACS installation quantity</x:v>
      </x:c>
      <x:c r="W34" s="1"/>
      <x:c r="X34" s="1"/>
      <x:c r="Y34" s="1"/>
      <x:c r="Z34" s="1"/>
    </x:row>
    <x:row r="35">
      <x:c r="A35" s="1" t="str">
        <x:v>Technology</x:v>
      </x:c>
      <x:c r="B35" s="1" t="str">
        <x:v>Fan coils HVAC</x:v>
      </x:c>
      <x:c r="C35" s="22" t="n">
        <x:f>S35*T35</x:f>
        <x:v>20</x:v>
      </x:c>
      <x:c r="D35" s="14" t="n">
        <x:v>12</x:v>
      </x:c>
      <x:c r="E35" s="14" t="n">
        <x:v>212.22222222222223</x:v>
      </x:c>
      <x:c r="F35" s="14" t="n">
        <x:v>79</x:v>
      </x:c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9" t="n">
        <x:v>20</x:v>
      </x:c>
      <x:c r="T35" s="19" t="n">
        <x:v>1</x:v>
      </x:c>
      <x:c r="U35" s="19" t="str">
        <x:v>unit</x:v>
      </x:c>
      <x:c r="V35" s="21" t="str">
        <x:v>installed HVAC fan-coil terminals</x:v>
      </x:c>
      <x:c r="W35" s="1"/>
      <x:c r="X35" s="1"/>
      <x:c r="Y35" s="1"/>
      <x:c r="Z35" s="1"/>
    </x:row>
    <x:row r="36">
      <x:c r="A36" s="1" t="str">
        <x:v>Technology</x:v>
      </x:c>
      <x:c r="B36" s="1" t="str">
        <x:v>DHW heat pump</x:v>
      </x:c>
      <x:c r="C36" s="22" t="n">
        <x:f>S36*T36</x:f>
        <x:v>26</x:v>
      </x:c>
      <x:c r="D36" s="14" t="n">
        <x:v>12</x:v>
      </x:c>
      <x:c r="E36" s="14" t="n">
        <x:v>284.1666666666667</x:v>
      </x:c>
      <x:c r="F36" s="14" t="n">
        <x:v>80</x:v>
      </x:c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9" t="n">
        <x:v>26</x:v>
      </x:c>
      <x:c r="T36" s="19" t="n">
        <x:v>1</x:v>
      </x:c>
      <x:c r="U36" s="19" t="str">
        <x:v>unit</x:v>
      </x:c>
      <x:c r="V36" s="21" t="str">
        <x:v>dedicated DHW heat pumps; source quantity</x:v>
      </x:c>
      <x:c r="W36" s="1"/>
      <x:c r="X36" s="1"/>
      <x:c r="Y36" s="1"/>
      <x:c r="Z36" s="1"/>
    </x:row>
    <x:row r="37">
      <x:c r="A37" s="1" t="str">
        <x:v>Technology</x:v>
      </x:c>
      <x:c r="B37" s="1" t="str">
        <x:v>Batteries</x:v>
      </x:c>
      <x:c r="C37" s="22" t="n">
        <x:f>S37*T37</x:f>
        <x:v>0</x:v>
      </x:c>
      <x:c r="D37" s="14" t="n">
        <x:v>8</x:v>
      </x:c>
      <x:c r="E37" s="14" t="n">
        <x:v>275.8333333333333</x:v>
      </x:c>
      <x:c r="F37" s="14" t="n">
        <x:v>95</x:v>
      </x:c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9" t="n">
        <x:v>0</x:v>
      </x:c>
      <x:c r="T37" s="19" t="n">
        <x:v>1</x:v>
      </x:c>
      <x:c r="U37" s="19" t="str">
        <x:v>unit</x:v>
      </x:c>
      <x:c r="V37" s="21" t="str">
        <x:v>installed battery quantity</x:v>
      </x:c>
      <x:c r="W37" s="1"/>
      <x:c r="X37" s="1"/>
      <x:c r="Y37" s="1"/>
      <x:c r="Z37" s="1"/>
    </x:row>
    <x:row r="38">
      <x:c r="A38" s="1" t="str">
        <x:v>Technology</x:v>
      </x:c>
      <x:c r="B38" s="1" t="str">
        <x:v>PV system</x:v>
      </x:c>
      <x:c r="C38" s="22" t="n">
        <x:f>S38*T38</x:f>
        <x:v>0</x:v>
      </x:c>
      <x:c r="D38" s="14" t="n">
        <x:v>25</x:v>
      </x:c>
      <x:c r="E38" s="14" t="n">
        <x:v>6736.111111111111</x:v>
      </x:c>
      <x:c r="F38" s="14" t="n">
        <x:v>248</x:v>
      </x:c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9" t="n">
        <x:v>0</x:v>
      </x:c>
      <x:c r="T38" s="19" t="n">
        <x:v>1</x:v>
      </x:c>
      <x:c r="U38" s="19" t="str">
        <x:v>kW</x:v>
      </x:c>
      <x:c r="V38" s="21" t="str">
        <x:v>total installed PV capacity</x:v>
      </x:c>
      <x:c r="W38" s="1"/>
      <x:c r="X38" s="1"/>
      <x:c r="Y38" s="1"/>
      <x:c r="Z38" s="1"/>
    </x:row>
    <x:row r="39">
      <x:c r="A39" s="1" t="str">
        <x:v>Renovation</x:v>
      </x:c>
      <x:c r="B39" s="1" t="str">
        <x:v>Renovation area-based allowance</x:v>
      </x:c>
      <x:c r="C39" s="22" t="n">
        <x:f>S39*T39</x:f>
        <x:v>1112.8</x:v>
      </x:c>
      <x:c r="D39" s="14" t="n">
        <x:v>30</x:v>
      </x:c>
      <x:c r="E39" s="14" t="n">
        <x:v>9.779654654654667</x:v>
      </x:c>
      <x:c r="F39" s="14" t="n">
        <x:v>2.098648648648649</x:v>
      </x:c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9" t="n">
        <x:v>1112.8</x:v>
      </x:c>
      <x:c r="T39" s="19" t="n">
        <x:v>1</x:v>
      </x:c>
      <x:c r="U39" s="19" t="str">
        <x:v>m2</x:v>
      </x:c>
      <x:c r="V39" s="21" t="str">
        <x:v>renovated net floor area</x:v>
      </x:c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8" t="str">
        <x:v>Fuel type</x:v>
      </x:c>
      <x:c r="B42" s="8" t="str">
        <x:v>LHV (kWh/unit)</x:v>
      </x:c>
      <x:c r="C42" s="8" t="str">
        <x:v>Primary factor</x:v>
      </x:c>
      <x:c r="D42" s="8" t="str">
        <x:v>Carbon factor (kg/kWh)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 t="str">
        <x:v>natural gas L</x:v>
      </x:c>
      <x:c r="B43" s="13" t="n">
        <x:v>8.797297297297296</x:v>
      </x:c>
      <x:c r="C43" s="13" t="n">
        <x:v>1.1</x:v>
      </x:c>
      <x:c r="D43" s="13" t="n">
        <x:v>0.22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 t="str">
        <x:v>natural gas H</x:v>
      </x:c>
      <x:c r="B44" s="13" t="n">
        <x:v>10.306306306306306</x:v>
      </x:c>
      <x:c r="C44" s="13" t="n">
        <x:v>1.1</x:v>
      </x:c>
      <x:c r="D44" s="13" t="n">
        <x:v>0.22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 t="str">
        <x:v>methane</x:v>
      </x:c>
      <x:c r="B45" s="13" t="n">
        <x:v>9.972972972972972</x:v>
      </x:c>
      <x:c r="C45" s="13" t="n">
        <x:v>1.1</x:v>
      </x:c>
      <x:c r="D45" s="13" t="n">
        <x:v>0.22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 t="str">
        <x:v>biogas</x:v>
      </x:c>
      <x:c r="B46" s="13" t="n">
        <x:v>5.405405405405405</x:v>
      </x:c>
      <x:c r="C46" s="13" t="n">
        <x:v>0.4</x:v>
      </x:c>
      <x:c r="D46" s="13" t="n">
        <x:v>0.1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 t="str">
        <x:v>heating oil light</x:v>
      </x:c>
      <x:c r="B47" s="13" t="n">
        <x:v>11.735849056603772</x:v>
      </x:c>
      <x:c r="C47" s="13" t="n">
        <x:v>1.1</x:v>
      </x:c>
      <x:c r="D47" s="13" t="n">
        <x:v>0.29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 t="str">
        <x:v>heating oil heavy</x:v>
      </x:c>
      <x:c r="B48" s="13" t="n">
        <x:v>12.117924528301884</x:v>
      </x:c>
      <x:c r="C48" s="13" t="n">
        <x:v>1.1</x:v>
      </x:c>
      <x:c r="D48" s="13" t="n">
        <x:v>0.29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 t="str">
        <x:v>80 propane:20 butane</x:v>
      </x:c>
      <x:c r="B49" s="13" t="n">
        <x:v>12.688073394495412</x:v>
      </x:c>
      <x:c r="C49" s="13" t="n">
        <x:v>1.1</x:v>
      </x:c>
      <x:c r="D49" s="13" t="n">
        <x:v>0.29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 t="str">
        <x:v>70 propane:30 butane</x:v>
      </x:c>
      <x:c r="B50" s="13" t="n">
        <x:v>12.688073394495412</x:v>
      </x:c>
      <x:c r="C50" s="13" t="n">
        <x:v>1.1</x:v>
      </x:c>
      <x:c r="D50" s="13" t="n">
        <x:v>0.29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 t="str">
        <x:v>60 propane:40 butane</x:v>
      </x:c>
      <x:c r="B51" s="13" t="n">
        <x:v>12.669724770642201</x:v>
      </x:c>
      <x:c r="C51" s="13" t="n">
        <x:v>1.1</x:v>
      </x:c>
      <x:c r="D51" s="13" t="n">
        <x:v>0.29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 t="str">
        <x:v>50 propane:50 butane</x:v>
      </x:c>
      <x:c r="B52" s="13" t="n">
        <x:v>12.642201834862384</x:v>
      </x:c>
      <x:c r="C52" s="13" t="n">
        <x:v>1.1</x:v>
      </x:c>
      <x:c r="D52" s="13" t="n">
        <x:v>0.29</x:v>
      </x:c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 t="str">
        <x:v>commercial propane</x:v>
      </x:c>
      <x:c r="B53" s="13" t="n">
        <x:v>12.743119266055045</x:v>
      </x:c>
      <x:c r="C53" s="13" t="n">
        <x:v>1.1</x:v>
      </x:c>
      <x:c r="D53" s="13" t="n">
        <x:v>0.29</x:v>
      </x:c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 t="str">
        <x:v>anthracite</x:v>
      </x:c>
      <x:c r="B54" s="13" t="n">
        <x:v>8.942307692307693</x:v>
      </x:c>
      <x:c r="C54" s="13" t="n">
        <x:v>1.1</x:v>
      </x:c>
      <x:c r="D54" s="13" t="n">
        <x:v>0.36</x:v>
      </x:c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 t="str">
        <x:v>bituminous coal</x:v>
      </x:c>
      <x:c r="B55" s="13" t="n">
        <x:v>5.5769230769230775</x:v>
      </x:c>
      <x:c r="C55" s="13" t="n">
        <x:v>1.1</x:v>
      </x:c>
      <x:c r="D55" s="13" t="n">
        <x:v>0.36</x:v>
      </x:c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 t="str">
        <x:v>charcoal</x:v>
      </x:c>
      <x:c r="B56" s="13" t="n">
        <x:v>7.903846153846154</x:v>
      </x:c>
      <x:c r="C56" s="13" t="n">
        <x:v>1.1</x:v>
      </x:c>
      <x:c r="D56" s="13" t="n">
        <x:v>0.36</x:v>
      </x:c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 t="str">
        <x:v>coke</x:v>
      </x:c>
      <x:c r="B57" s="13" t="n">
        <x:v>7.884615384615383</x:v>
      </x:c>
      <x:c r="C57" s="13" t="n">
        <x:v>1.1</x:v>
      </x:c>
      <x:c r="D57" s="13" t="n">
        <x:v>0.36</x:v>
      </x:c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 t="str">
        <x:v>lignite</x:v>
      </x:c>
      <x:c r="B58" s="13" t="n">
        <x:v>5.787037037037036</x:v>
      </x:c>
      <x:c r="C58" s="13" t="n">
        <x:v>1.1</x:v>
      </x:c>
      <x:c r="D58" s="13" t="n">
        <x:v>0.36</x:v>
      </x:c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 t="str">
        <x:v>peat</x:v>
      </x:c>
      <x:c r="B59" s="13" t="n">
        <x:v>4.259259259259259</x:v>
      </x:c>
      <x:c r="C59" s="13" t="n">
        <x:v>1.1</x:v>
      </x:c>
      <x:c r="D59" s="13" t="n">
        <x:v>0.36</x:v>
      </x:c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 t="str">
        <x:v>wood (dry)</x:v>
      </x:c>
      <x:c r="B60" s="13" t="n">
        <x:v>3.981481481481481</x:v>
      </x:c>
      <x:c r="C60" s="13" t="n">
        <x:v>0.2</x:v>
      </x:c>
      <x:c r="D60" s="13" t="n">
        <x:v>0.04</x:v>
      </x:c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44" hidden="0" customWidth="1"/>
    <x:col min="3" max="3" width="16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18" hidden="0" customWidth="1"/>
    <x:col min="9" max="9" width="20" hidden="0" customWidth="1"/>
    <x:col min="10" max="10" width="20" hidden="0" customWidth="1"/>
    <x:col min="11" max="11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LCA item calculations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Item type</x:v>
      </x:c>
      <x:c r="B4" s="8" t="str">
        <x:v>Item</x:v>
      </x:c>
      <x:c r="C4" s="8" t="str">
        <x:v>Assessed quantity</x:v>
      </x:c>
      <x:c r="D4" s="8" t="str">
        <x:v>Service life</x:v>
      </x:c>
      <x:c r="E4" s="8" t="str">
        <x:v>Installations</x:v>
      </x:c>
      <x:c r="F4" s="8" t="str">
        <x:v>Indicator ID</x:v>
      </x:c>
      <x:c r="G4" s="8" t="str">
        <x:v>Unit</x:v>
      </x:c>
      <x:c r="H4" s="8" t="str">
        <x:v>Factor</x:v>
      </x:c>
      <x:c r="I4" s="8" t="str">
        <x:v>Annual impact</x:v>
      </x:c>
      <x:c r="J4" s="8" t="str">
        <x:v>Project impact</x:v>
      </x:c>
      <x:c r="K4" s="8" t="str">
        <x:v>Status</x:v>
      </x:c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5" t="str">
        <x:f>Inputs!A28</x:f>
        <x:v>Technology</x:v>
      </x:c>
      <x:c r="B5" s="15" t="str">
        <x:f>Inputs!B28</x:f>
        <x:v>Façade insulation</x:v>
      </x:c>
      <x:c r="C5" s="16" t="n">
        <x:f>Inputs!C28</x:f>
        <x:v>1027.42</x:v>
      </x:c>
      <x:c r="D5" s="16" t="n">
        <x:f>Inputs!D28</x:f>
        <x:v>40</x:v>
      </x:c>
      <x:c r="E5" s="16" t="n">
        <x:f>ROUNDUP(Inputs!$B$4/D5,0)</x:f>
        <x:v>1</x:v>
      </x:c>
      <x:c r="F5" s="16" t="str">
        <x:f>Inputs!A10</x:f>
        <x:v>primary_energy</x:v>
      </x:c>
      <x:c r="G5" s="16" t="str">
        <x:f>Inputs!C10</x:f>
        <x:v>kWh</x:v>
      </x:c>
      <x:c r="H5" s="9" t="n">
        <x:f>IF(Inputs!E28="","",Inputs!E28)</x:f>
        <x:v>192.5</x:v>
      </x:c>
      <x:c r="I5" s="9" t="n">
        <x:f>IF(H5="","",H5*C5/D5)</x:f>
        <x:v>4944.45875</x:v>
      </x:c>
      <x:c r="J5" s="9" t="n">
        <x:f>IF(H5="","",H5*C5*E5)</x:f>
        <x:v>197778.35</x:v>
      </x:c>
      <x:c r="K5" s="1" t="str">
        <x:f>IF(H5&lt;&gt;"","Complete",IF(C5=0,"Not required","Missing"))</x:f>
        <x:v>Complete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5" t="str">
        <x:f>Inputs!A28</x:f>
        <x:v>Technology</x:v>
      </x:c>
      <x:c r="B6" s="15" t="str">
        <x:f>Inputs!B28</x:f>
        <x:v>Façade insulation</x:v>
      </x:c>
      <x:c r="C6" s="16" t="n">
        <x:f>Inputs!C28</x:f>
        <x:v>1027.42</x:v>
      </x:c>
      <x:c r="D6" s="16" t="n">
        <x:f>Inputs!D28</x:f>
        <x:v>40</x:v>
      </x:c>
      <x:c r="E6" s="16" t="n">
        <x:f>ROUNDUP(Inputs!$B$4/D6,0)</x:f>
        <x:v>1</x:v>
      </x:c>
      <x:c r="F6" s="16" t="str">
        <x:f>Inputs!A11</x:f>
        <x:v>gwp_total</x:v>
      </x:c>
      <x:c r="G6" s="16" t="str">
        <x:f>Inputs!C11</x:f>
        <x:v>kg CO2e</x:v>
      </x:c>
      <x:c r="H6" s="9" t="n">
        <x:f>IF(Inputs!F28="","",Inputs!F28)</x:f>
        <x:v>65</x:v>
      </x:c>
      <x:c r="I6" s="9" t="n">
        <x:f>IF(H6="","",H6*C6/D6)</x:f>
        <x:v>1669.5575000000001</x:v>
      </x:c>
      <x:c r="J6" s="9" t="n">
        <x:f>IF(H6="","",H6*C6*E6)</x:f>
        <x:v>66782.3</x:v>
      </x:c>
      <x:c r="K6" s="1" t="str">
        <x:f>IF(H6&lt;&gt;"","Complete",IF(C6=0,"Not required","Missing"))</x:f>
        <x:v>Complete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5" t="str">
        <x:f>Inputs!A28</x:f>
        <x:v>Technology</x:v>
      </x:c>
      <x:c r="B7" s="15" t="str">
        <x:f>Inputs!B28</x:f>
        <x:v>Façade insulation</x:v>
      </x:c>
      <x:c r="C7" s="16" t="n">
        <x:f>Inputs!C28</x:f>
        <x:v>1027.42</x:v>
      </x:c>
      <x:c r="D7" s="16" t="n">
        <x:f>Inputs!D28</x:f>
        <x:v>40</x:v>
      </x:c>
      <x:c r="E7" s="16" t="n">
        <x:f>ROUNDUP(Inputs!$B$4/D7,0)</x:f>
        <x:v>1</x:v>
      </x:c>
      <x:c r="F7" s="16" t="str">
        <x:f>Inputs!A12</x:f>
        <x:v>gwp_fossil</x:v>
      </x:c>
      <x:c r="G7" s="16" t="str">
        <x:f>Inputs!C12</x:f>
        <x:v>kg CO2e</x:v>
      </x:c>
      <x:c r="H7" s="9" t="str">
        <x:f>IF(Inputs!G28="","",Inputs!G28)</x:f>
      </x:c>
      <x:c r="I7" s="9" t="str">
        <x:f>IF(H7="","",H7*C7/D7)</x:f>
      </x:c>
      <x:c r="J7" s="9" t="str">
        <x:f>IF(H7="","",H7*C7*E7)</x:f>
      </x:c>
      <x:c r="K7" s="1" t="str">
        <x:f>IF(H7&lt;&gt;"","Complete",IF(C7=0,"Not required","Missing"))</x:f>
        <x:v>Missing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" t="str">
        <x:f>Inputs!A28</x:f>
        <x:v>Technology</x:v>
      </x:c>
      <x:c r="B8" s="15" t="str">
        <x:f>Inputs!B28</x:f>
        <x:v>Façade insulation</x:v>
      </x:c>
      <x:c r="C8" s="16" t="n">
        <x:f>Inputs!C28</x:f>
        <x:v>1027.42</x:v>
      </x:c>
      <x:c r="D8" s="16" t="n">
        <x:f>Inputs!D28</x:f>
        <x:v>40</x:v>
      </x:c>
      <x:c r="E8" s="16" t="n">
        <x:f>ROUNDUP(Inputs!$B$4/D8,0)</x:f>
        <x:v>1</x:v>
      </x:c>
      <x:c r="F8" s="16" t="str">
        <x:f>Inputs!A13</x:f>
        <x:v>gwp_biogenic</x:v>
      </x:c>
      <x:c r="G8" s="16" t="str">
        <x:f>Inputs!C13</x:f>
        <x:v>kg CO2e</x:v>
      </x:c>
      <x:c r="H8" s="9" t="str">
        <x:f>IF(Inputs!H28="","",Inputs!H28)</x:f>
      </x:c>
      <x:c r="I8" s="9" t="str">
        <x:f>IF(H8="","",H8*C8/D8)</x:f>
      </x:c>
      <x:c r="J8" s="9" t="str">
        <x:f>IF(H8="","",H8*C8*E8)</x:f>
      </x:c>
      <x:c r="K8" s="1" t="str">
        <x:f>IF(H8&lt;&gt;"","Complete",IF(C8=0,"Not required","Missing"))</x:f>
        <x:v>Missing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" t="str">
        <x:f>Inputs!A28</x:f>
        <x:v>Technology</x:v>
      </x:c>
      <x:c r="B9" s="15" t="str">
        <x:f>Inputs!B28</x:f>
        <x:v>Façade insulation</x:v>
      </x:c>
      <x:c r="C9" s="16" t="n">
        <x:f>Inputs!C28</x:f>
        <x:v>1027.42</x:v>
      </x:c>
      <x:c r="D9" s="16" t="n">
        <x:f>Inputs!D28</x:f>
        <x:v>40</x:v>
      </x:c>
      <x:c r="E9" s="16" t="n">
        <x:f>ROUNDUP(Inputs!$B$4/D9,0)</x:f>
        <x:v>1</x:v>
      </x:c>
      <x:c r="F9" s="16" t="str">
        <x:f>Inputs!A14</x:f>
        <x:v>gwp_luluc</x:v>
      </x:c>
      <x:c r="G9" s="16" t="str">
        <x:f>Inputs!C14</x:f>
        <x:v>kg CO2e</x:v>
      </x:c>
      <x:c r="H9" s="9" t="str">
        <x:f>IF(Inputs!I28="","",Inputs!I28)</x:f>
      </x:c>
      <x:c r="I9" s="9" t="str">
        <x:f>IF(H9="","",H9*C9/D9)</x:f>
      </x:c>
      <x:c r="J9" s="9" t="str">
        <x:f>IF(H9="","",H9*C9*E9)</x:f>
      </x:c>
      <x:c r="K9" s="1" t="str">
        <x:f>IF(H9&lt;&gt;"","Complete",IF(C9=0,"Not required","Missing"))</x:f>
        <x:v>Missing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5" t="str">
        <x:f>Inputs!A28</x:f>
        <x:v>Technology</x:v>
      </x:c>
      <x:c r="B10" s="15" t="str">
        <x:f>Inputs!B28</x:f>
        <x:v>Façade insulation</x:v>
      </x:c>
      <x:c r="C10" s="16" t="n">
        <x:f>Inputs!C28</x:f>
        <x:v>1027.42</x:v>
      </x:c>
      <x:c r="D10" s="16" t="n">
        <x:f>Inputs!D28</x:f>
        <x:v>40</x:v>
      </x:c>
      <x:c r="E10" s="16" t="n">
        <x:f>ROUNDUP(Inputs!$B$4/D10,0)</x:f>
        <x:v>1</x:v>
      </x:c>
      <x:c r="F10" s="16" t="str">
        <x:f>Inputs!A15</x:f>
        <x:v>odp</x:v>
      </x:c>
      <x:c r="G10" s="16" t="str">
        <x:f>Inputs!C15</x:f>
        <x:v>kg CFC-11e</x:v>
      </x:c>
      <x:c r="H10" s="9" t="str">
        <x:f>IF(Inputs!J28="","",Inputs!J28)</x:f>
      </x:c>
      <x:c r="I10" s="9" t="str">
        <x:f>IF(H10="","",H10*C10/D10)</x:f>
      </x:c>
      <x:c r="J10" s="9" t="str">
        <x:f>IF(H10="","",H10*C10*E10)</x:f>
      </x:c>
      <x:c r="K10" s="1" t="str">
        <x:f>IF(H10&lt;&gt;"","Complete",IF(C10=0,"Not required","Missing"))</x:f>
        <x:v>Missing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5" t="str">
        <x:f>Inputs!A28</x:f>
        <x:v>Technology</x:v>
      </x:c>
      <x:c r="B11" s="15" t="str">
        <x:f>Inputs!B28</x:f>
        <x:v>Façade insulation</x:v>
      </x:c>
      <x:c r="C11" s="16" t="n">
        <x:f>Inputs!C28</x:f>
        <x:v>1027.42</x:v>
      </x:c>
      <x:c r="D11" s="16" t="n">
        <x:f>Inputs!D28</x:f>
        <x:v>40</x:v>
      </x:c>
      <x:c r="E11" s="16" t="n">
        <x:f>ROUNDUP(Inputs!$B$4/D11,0)</x:f>
        <x:v>1</x:v>
      </x:c>
      <x:c r="F11" s="16" t="str">
        <x:f>Inputs!A16</x:f>
        <x:v>ap</x:v>
      </x:c>
      <x:c r="G11" s="16" t="str">
        <x:f>Inputs!C16</x:f>
        <x:v>mol H+e</x:v>
      </x:c>
      <x:c r="H11" s="9" t="str">
        <x:f>IF(Inputs!K28="","",Inputs!K28)</x:f>
      </x:c>
      <x:c r="I11" s="9" t="str">
        <x:f>IF(H11="","",H11*C11/D11)</x:f>
      </x:c>
      <x:c r="J11" s="9" t="str">
        <x:f>IF(H11="","",H11*C11*E11)</x:f>
      </x:c>
      <x:c r="K11" s="1" t="str">
        <x:f>IF(H11&lt;&gt;"","Complete",IF(C11=0,"Not required","Missing"))</x:f>
        <x:v>Missing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5" t="str">
        <x:f>Inputs!A28</x:f>
        <x:v>Technology</x:v>
      </x:c>
      <x:c r="B12" s="15" t="str">
        <x:f>Inputs!B28</x:f>
        <x:v>Façade insulation</x:v>
      </x:c>
      <x:c r="C12" s="16" t="n">
        <x:f>Inputs!C28</x:f>
        <x:v>1027.42</x:v>
      </x:c>
      <x:c r="D12" s="16" t="n">
        <x:f>Inputs!D28</x:f>
        <x:v>40</x:v>
      </x:c>
      <x:c r="E12" s="16" t="n">
        <x:f>ROUNDUP(Inputs!$B$4/D12,0)</x:f>
        <x:v>1</x:v>
      </x:c>
      <x:c r="F12" s="16" t="str">
        <x:f>Inputs!A17</x:f>
        <x:v>ep_freshwater</x:v>
      </x:c>
      <x:c r="G12" s="16" t="str">
        <x:f>Inputs!C17</x:f>
        <x:v>kg PO4e</x:v>
      </x:c>
      <x:c r="H12" s="9" t="str">
        <x:f>IF(Inputs!L28="","",Inputs!L28)</x:f>
      </x:c>
      <x:c r="I12" s="9" t="str">
        <x:f>IF(H12="","",H12*C12/D12)</x:f>
      </x:c>
      <x:c r="J12" s="9" t="str">
        <x:f>IF(H12="","",H12*C12*E12)</x:f>
      </x:c>
      <x:c r="K12" s="1" t="str">
        <x:f>IF(H12&lt;&gt;"","Complete",IF(C12=0,"Not required","Missing"))</x:f>
        <x:v>Missing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5" t="str">
        <x:f>Inputs!A28</x:f>
        <x:v>Technology</x:v>
      </x:c>
      <x:c r="B13" s="15" t="str">
        <x:f>Inputs!B28</x:f>
        <x:v>Façade insulation</x:v>
      </x:c>
      <x:c r="C13" s="16" t="n">
        <x:f>Inputs!C28</x:f>
        <x:v>1027.42</x:v>
      </x:c>
      <x:c r="D13" s="16" t="n">
        <x:f>Inputs!D28</x:f>
        <x:v>40</x:v>
      </x:c>
      <x:c r="E13" s="16" t="n">
        <x:f>ROUNDUP(Inputs!$B$4/D13,0)</x:f>
        <x:v>1</x:v>
      </x:c>
      <x:c r="F13" s="16" t="str">
        <x:f>Inputs!A18</x:f>
        <x:v>ep_marine</x:v>
      </x:c>
      <x:c r="G13" s="16" t="str">
        <x:f>Inputs!C18</x:f>
        <x:v>kg Ne</x:v>
      </x:c>
      <x:c r="H13" s="9" t="str">
        <x:f>IF(Inputs!M28="","",Inputs!M28)</x:f>
      </x:c>
      <x:c r="I13" s="9" t="str">
        <x:f>IF(H13="","",H13*C13/D13)</x:f>
      </x:c>
      <x:c r="J13" s="9" t="str">
        <x:f>IF(H13="","",H13*C13*E13)</x:f>
      </x:c>
      <x:c r="K13" s="1" t="str">
        <x:f>IF(H13&lt;&gt;"","Complete",IF(C13=0,"Not required","Missing"))</x:f>
        <x:v>Missing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5" t="str">
        <x:f>Inputs!A28</x:f>
        <x:v>Technology</x:v>
      </x:c>
      <x:c r="B14" s="15" t="str">
        <x:f>Inputs!B28</x:f>
        <x:v>Façade insulation</x:v>
      </x:c>
      <x:c r="C14" s="16" t="n">
        <x:f>Inputs!C28</x:f>
        <x:v>1027.42</x:v>
      </x:c>
      <x:c r="D14" s="16" t="n">
        <x:f>Inputs!D28</x:f>
        <x:v>40</x:v>
      </x:c>
      <x:c r="E14" s="16" t="n">
        <x:f>ROUNDUP(Inputs!$B$4/D14,0)</x:f>
        <x:v>1</x:v>
      </x:c>
      <x:c r="F14" s="16" t="str">
        <x:f>Inputs!A19</x:f>
        <x:v>ep_terrestrial</x:v>
      </x:c>
      <x:c r="G14" s="16" t="str">
        <x:f>Inputs!C19</x:f>
        <x:v>mol Ne</x:v>
      </x:c>
      <x:c r="H14" s="9" t="str">
        <x:f>IF(Inputs!N28="","",Inputs!N28)</x:f>
      </x:c>
      <x:c r="I14" s="9" t="str">
        <x:f>IF(H14="","",H14*C14/D14)</x:f>
      </x:c>
      <x:c r="J14" s="9" t="str">
        <x:f>IF(H14="","",H14*C14*E14)</x:f>
      </x:c>
      <x:c r="K14" s="1" t="str">
        <x:f>IF(H14&lt;&gt;"","Complete",IF(C14=0,"Not required","Missing"))</x:f>
        <x:v>Missing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5" t="str">
        <x:f>Inputs!A28</x:f>
        <x:v>Technology</x:v>
      </x:c>
      <x:c r="B15" s="15" t="str">
        <x:f>Inputs!B28</x:f>
        <x:v>Façade insulation</x:v>
      </x:c>
      <x:c r="C15" s="16" t="n">
        <x:f>Inputs!C28</x:f>
        <x:v>1027.42</x:v>
      </x:c>
      <x:c r="D15" s="16" t="n">
        <x:f>Inputs!D28</x:f>
        <x:v>40</x:v>
      </x:c>
      <x:c r="E15" s="16" t="n">
        <x:f>ROUNDUP(Inputs!$B$4/D15,0)</x:f>
        <x:v>1</x:v>
      </x:c>
      <x:c r="F15" s="16" t="str">
        <x:f>Inputs!A20</x:f>
        <x:v>pocp</x:v>
      </x:c>
      <x:c r="G15" s="16" t="str">
        <x:f>Inputs!C20</x:f>
        <x:v>kg NMVOCe</x:v>
      </x:c>
      <x:c r="H15" s="9" t="str">
        <x:f>IF(Inputs!O28="","",Inputs!O28)</x:f>
      </x:c>
      <x:c r="I15" s="9" t="str">
        <x:f>IF(H15="","",H15*C15/D15)</x:f>
      </x:c>
      <x:c r="J15" s="9" t="str">
        <x:f>IF(H15="","",H15*C15*E15)</x:f>
      </x:c>
      <x:c r="K15" s="1" t="str">
        <x:f>IF(H15&lt;&gt;"","Complete",IF(C15=0,"Not required","Missing"))</x:f>
        <x:v>Missing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5" t="str">
        <x:f>Inputs!A28</x:f>
        <x:v>Technology</x:v>
      </x:c>
      <x:c r="B16" s="15" t="str">
        <x:f>Inputs!B28</x:f>
        <x:v>Façade insulation</x:v>
      </x:c>
      <x:c r="C16" s="16" t="n">
        <x:f>Inputs!C28</x:f>
        <x:v>1027.42</x:v>
      </x:c>
      <x:c r="D16" s="16" t="n">
        <x:f>Inputs!D28</x:f>
        <x:v>40</x:v>
      </x:c>
      <x:c r="E16" s="16" t="n">
        <x:f>ROUNDUP(Inputs!$B$4/D16,0)</x:f>
        <x:v>1</x:v>
      </x:c>
      <x:c r="F16" s="16" t="str">
        <x:f>Inputs!A21</x:f>
        <x:v>adp_minerals_metals</x:v>
      </x:c>
      <x:c r="G16" s="16" t="str">
        <x:f>Inputs!C21</x:f>
        <x:v>kg Sbe</x:v>
      </x:c>
      <x:c r="H16" s="9" t="str">
        <x:f>IF(Inputs!P28="","",Inputs!P28)</x:f>
      </x:c>
      <x:c r="I16" s="9" t="str">
        <x:f>IF(H16="","",H16*C16/D16)</x:f>
      </x:c>
      <x:c r="J16" s="9" t="str">
        <x:f>IF(H16="","",H16*C16*E16)</x:f>
      </x:c>
      <x:c r="K16" s="1" t="str">
        <x:f>IF(H16&lt;&gt;"","Complete",IF(C16=0,"Not required","Missing"))</x:f>
        <x:v>Missing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5" t="str">
        <x:f>Inputs!A28</x:f>
        <x:v>Technology</x:v>
      </x:c>
      <x:c r="B17" s="15" t="str">
        <x:f>Inputs!B28</x:f>
        <x:v>Façade insulation</x:v>
      </x:c>
      <x:c r="C17" s="16" t="n">
        <x:f>Inputs!C28</x:f>
        <x:v>1027.42</x:v>
      </x:c>
      <x:c r="D17" s="16" t="n">
        <x:f>Inputs!D28</x:f>
        <x:v>40</x:v>
      </x:c>
      <x:c r="E17" s="16" t="n">
        <x:f>ROUNDUP(Inputs!$B$4/D17,0)</x:f>
        <x:v>1</x:v>
      </x:c>
      <x:c r="F17" s="16" t="str">
        <x:f>Inputs!A22</x:f>
        <x:v>adp_fossil</x:v>
      </x:c>
      <x:c r="G17" s="16" t="str">
        <x:f>Inputs!C22</x:f>
        <x:v>MJ net calorific value</x:v>
      </x:c>
      <x:c r="H17" s="9" t="str">
        <x:f>IF(Inputs!Q28="","",Inputs!Q28)</x:f>
      </x:c>
      <x:c r="I17" s="9" t="str">
        <x:f>IF(H17="","",H17*C17/D17)</x:f>
      </x:c>
      <x:c r="J17" s="9" t="str">
        <x:f>IF(H17="","",H17*C17*E17)</x:f>
      </x:c>
      <x:c r="K17" s="1" t="str">
        <x:f>IF(H17&lt;&gt;"","Complete",IF(C17=0,"Not required","Missing"))</x:f>
        <x:v>Missing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5" t="str">
        <x:f>Inputs!A28</x:f>
        <x:v>Technology</x:v>
      </x:c>
      <x:c r="B18" s="15" t="str">
        <x:f>Inputs!B28</x:f>
        <x:v>Façade insulation</x:v>
      </x:c>
      <x:c r="C18" s="16" t="n">
        <x:f>Inputs!C28</x:f>
        <x:v>1027.42</x:v>
      </x:c>
      <x:c r="D18" s="16" t="n">
        <x:f>Inputs!D28</x:f>
        <x:v>40</x:v>
      </x:c>
      <x:c r="E18" s="16" t="n">
        <x:f>ROUNDUP(Inputs!$B$4/D18,0)</x:f>
        <x:v>1</x:v>
      </x:c>
      <x:c r="F18" s="16" t="str">
        <x:f>Inputs!A23</x:f>
        <x:v>wdp</x:v>
      </x:c>
      <x:c r="G18" s="16" t="str">
        <x:f>Inputs!C23</x:f>
        <x:v>m3 world-e deprived</x:v>
      </x:c>
      <x:c r="H18" s="9" t="str">
        <x:f>IF(Inputs!R28="","",Inputs!R28)</x:f>
      </x:c>
      <x:c r="I18" s="9" t="str">
        <x:f>IF(H18="","",H18*C18/D18)</x:f>
      </x:c>
      <x:c r="J18" s="9" t="str">
        <x:f>IF(H18="","",H18*C18*E18)</x:f>
      </x:c>
      <x:c r="K18" s="1" t="str">
        <x:f>IF(H18&lt;&gt;"","Complete",IF(C18=0,"Not required","Missing"))</x:f>
        <x:v>Missing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5" t="str">
        <x:f>Inputs!A29</x:f>
        <x:v>Technology</x:v>
      </x:c>
      <x:c r="B19" s="15" t="str">
        <x:f>Inputs!B29</x:f>
        <x:v>Roof insulation</x:v>
      </x:c>
      <x:c r="C19" s="16" t="n">
        <x:f>Inputs!C29</x:f>
        <x:v>616</x:v>
      </x:c>
      <x:c r="D19" s="16" t="n">
        <x:f>Inputs!D29</x:f>
        <x:v>40</x:v>
      </x:c>
      <x:c r="E19" s="16" t="n">
        <x:f>ROUNDUP(Inputs!$B$4/D19,0)</x:f>
        <x:v>1</x:v>
      </x:c>
      <x:c r="F19" s="16" t="str">
        <x:f>Inputs!A10</x:f>
        <x:v>primary_energy</x:v>
      </x:c>
      <x:c r="G19" s="16" t="str">
        <x:f>Inputs!C10</x:f>
        <x:v>kWh</x:v>
      </x:c>
      <x:c r="H19" s="9" t="n">
        <x:f>IF(Inputs!E29="","",Inputs!E29)</x:f>
        <x:v>174.72222222222223</x:v>
      </x:c>
      <x:c r="I19" s="9" t="n">
        <x:f>IF(H19="","",H19*C19/D19)</x:f>
        <x:v>2690.722222222222</x:v>
      </x:c>
      <x:c r="J19" s="9" t="n">
        <x:f>IF(H19="","",H19*C19*E19)</x:f>
        <x:v>107628.88888888889</x:v>
      </x:c>
      <x:c r="K19" s="1" t="str">
        <x:f>IF(H19&lt;&gt;"","Complete",IF(C19=0,"Not required","Missing"))</x:f>
        <x:v>Complete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5" t="str">
        <x:f>Inputs!A29</x:f>
        <x:v>Technology</x:v>
      </x:c>
      <x:c r="B20" s="15" t="str">
        <x:f>Inputs!B29</x:f>
        <x:v>Roof insulation</x:v>
      </x:c>
      <x:c r="C20" s="16" t="n">
        <x:f>Inputs!C29</x:f>
        <x:v>616</x:v>
      </x:c>
      <x:c r="D20" s="16" t="n">
        <x:f>Inputs!D29</x:f>
        <x:v>40</x:v>
      </x:c>
      <x:c r="E20" s="16" t="n">
        <x:f>ROUNDUP(Inputs!$B$4/D20,0)</x:f>
        <x:v>1</x:v>
      </x:c>
      <x:c r="F20" s="16" t="str">
        <x:f>Inputs!A11</x:f>
        <x:v>gwp_total</x:v>
      </x:c>
      <x:c r="G20" s="16" t="str">
        <x:f>Inputs!C11</x:f>
        <x:v>kg CO2e</x:v>
      </x:c>
      <x:c r="H20" s="9" t="n">
        <x:f>IF(Inputs!F29="","",Inputs!F29)</x:f>
        <x:v>52</x:v>
      </x:c>
      <x:c r="I20" s="9" t="n">
        <x:f>IF(H20="","",H20*C20/D20)</x:f>
        <x:v>800.8</x:v>
      </x:c>
      <x:c r="J20" s="9" t="n">
        <x:f>IF(H20="","",H20*C20*E20)</x:f>
        <x:v>32032</x:v>
      </x:c>
      <x:c r="K20" s="1" t="str">
        <x:f>IF(H20&lt;&gt;"","Complete",IF(C20=0,"Not required","Missing"))</x:f>
        <x:v>Complete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5" t="str">
        <x:f>Inputs!A29</x:f>
        <x:v>Technology</x:v>
      </x:c>
      <x:c r="B21" s="15" t="str">
        <x:f>Inputs!B29</x:f>
        <x:v>Roof insulation</x:v>
      </x:c>
      <x:c r="C21" s="16" t="n">
        <x:f>Inputs!C29</x:f>
        <x:v>616</x:v>
      </x:c>
      <x:c r="D21" s="16" t="n">
        <x:f>Inputs!D29</x:f>
        <x:v>40</x:v>
      </x:c>
      <x:c r="E21" s="16" t="n">
        <x:f>ROUNDUP(Inputs!$B$4/D21,0)</x:f>
        <x:v>1</x:v>
      </x:c>
      <x:c r="F21" s="16" t="str">
        <x:f>Inputs!A12</x:f>
        <x:v>gwp_fossil</x:v>
      </x:c>
      <x:c r="G21" s="16" t="str">
        <x:f>Inputs!C12</x:f>
        <x:v>kg CO2e</x:v>
      </x:c>
      <x:c r="H21" s="9" t="str">
        <x:f>IF(Inputs!G29="","",Inputs!G29)</x:f>
      </x:c>
      <x:c r="I21" s="9" t="str">
        <x:f>IF(H21="","",H21*C21/D21)</x:f>
      </x:c>
      <x:c r="J21" s="9" t="str">
        <x:f>IF(H21="","",H21*C21*E21)</x:f>
      </x:c>
      <x:c r="K21" s="1" t="str">
        <x:f>IF(H21&lt;&gt;"","Complete",IF(C21=0,"Not required","Missing"))</x:f>
        <x:v>Missing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5" t="str">
        <x:f>Inputs!A29</x:f>
        <x:v>Technology</x:v>
      </x:c>
      <x:c r="B22" s="15" t="str">
        <x:f>Inputs!B29</x:f>
        <x:v>Roof insulation</x:v>
      </x:c>
      <x:c r="C22" s="16" t="n">
        <x:f>Inputs!C29</x:f>
        <x:v>616</x:v>
      </x:c>
      <x:c r="D22" s="16" t="n">
        <x:f>Inputs!D29</x:f>
        <x:v>40</x:v>
      </x:c>
      <x:c r="E22" s="16" t="n">
        <x:f>ROUNDUP(Inputs!$B$4/D22,0)</x:f>
        <x:v>1</x:v>
      </x:c>
      <x:c r="F22" s="16" t="str">
        <x:f>Inputs!A13</x:f>
        <x:v>gwp_biogenic</x:v>
      </x:c>
      <x:c r="G22" s="16" t="str">
        <x:f>Inputs!C13</x:f>
        <x:v>kg CO2e</x:v>
      </x:c>
      <x:c r="H22" s="9" t="str">
        <x:f>IF(Inputs!H29="","",Inputs!H29)</x:f>
      </x:c>
      <x:c r="I22" s="9" t="str">
        <x:f>IF(H22="","",H22*C22/D22)</x:f>
      </x:c>
      <x:c r="J22" s="9" t="str">
        <x:f>IF(H22="","",H22*C22*E22)</x:f>
      </x:c>
      <x:c r="K22" s="1" t="str">
        <x:f>IF(H22&lt;&gt;"","Complete",IF(C22=0,"Not required","Missing"))</x:f>
        <x:v>Missing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5" t="str">
        <x:f>Inputs!A29</x:f>
        <x:v>Technology</x:v>
      </x:c>
      <x:c r="B23" s="15" t="str">
        <x:f>Inputs!B29</x:f>
        <x:v>Roof insulation</x:v>
      </x:c>
      <x:c r="C23" s="16" t="n">
        <x:f>Inputs!C29</x:f>
        <x:v>616</x:v>
      </x:c>
      <x:c r="D23" s="16" t="n">
        <x:f>Inputs!D29</x:f>
        <x:v>40</x:v>
      </x:c>
      <x:c r="E23" s="16" t="n">
        <x:f>ROUNDUP(Inputs!$B$4/D23,0)</x:f>
        <x:v>1</x:v>
      </x:c>
      <x:c r="F23" s="16" t="str">
        <x:f>Inputs!A14</x:f>
        <x:v>gwp_luluc</x:v>
      </x:c>
      <x:c r="G23" s="16" t="str">
        <x:f>Inputs!C14</x:f>
        <x:v>kg CO2e</x:v>
      </x:c>
      <x:c r="H23" s="9" t="str">
        <x:f>IF(Inputs!I29="","",Inputs!I29)</x:f>
      </x:c>
      <x:c r="I23" s="9" t="str">
        <x:f>IF(H23="","",H23*C23/D23)</x:f>
      </x:c>
      <x:c r="J23" s="9" t="str">
        <x:f>IF(H23="","",H23*C23*E23)</x:f>
      </x:c>
      <x:c r="K23" s="1" t="str">
        <x:f>IF(H23&lt;&gt;"","Complete",IF(C23=0,"Not required","Missing"))</x:f>
        <x:v>Missing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5" t="str">
        <x:f>Inputs!A29</x:f>
        <x:v>Technology</x:v>
      </x:c>
      <x:c r="B24" s="15" t="str">
        <x:f>Inputs!B29</x:f>
        <x:v>Roof insulation</x:v>
      </x:c>
      <x:c r="C24" s="16" t="n">
        <x:f>Inputs!C29</x:f>
        <x:v>616</x:v>
      </x:c>
      <x:c r="D24" s="16" t="n">
        <x:f>Inputs!D29</x:f>
        <x:v>40</x:v>
      </x:c>
      <x:c r="E24" s="16" t="n">
        <x:f>ROUNDUP(Inputs!$B$4/D24,0)</x:f>
        <x:v>1</x:v>
      </x:c>
      <x:c r="F24" s="16" t="str">
        <x:f>Inputs!A15</x:f>
        <x:v>odp</x:v>
      </x:c>
      <x:c r="G24" s="16" t="str">
        <x:f>Inputs!C15</x:f>
        <x:v>kg CFC-11e</x:v>
      </x:c>
      <x:c r="H24" s="9" t="str">
        <x:f>IF(Inputs!J29="","",Inputs!J29)</x:f>
      </x:c>
      <x:c r="I24" s="9" t="str">
        <x:f>IF(H24="","",H24*C24/D24)</x:f>
      </x:c>
      <x:c r="J24" s="9" t="str">
        <x:f>IF(H24="","",H24*C24*E24)</x:f>
      </x:c>
      <x:c r="K24" s="1" t="str">
        <x:f>IF(H24&lt;&gt;"","Complete",IF(C24=0,"Not required","Missing"))</x:f>
        <x:v>Missing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5" t="str">
        <x:f>Inputs!A29</x:f>
        <x:v>Technology</x:v>
      </x:c>
      <x:c r="B25" s="15" t="str">
        <x:f>Inputs!B29</x:f>
        <x:v>Roof insulation</x:v>
      </x:c>
      <x:c r="C25" s="16" t="n">
        <x:f>Inputs!C29</x:f>
        <x:v>616</x:v>
      </x:c>
      <x:c r="D25" s="16" t="n">
        <x:f>Inputs!D29</x:f>
        <x:v>40</x:v>
      </x:c>
      <x:c r="E25" s="16" t="n">
        <x:f>ROUNDUP(Inputs!$B$4/D25,0)</x:f>
        <x:v>1</x:v>
      </x:c>
      <x:c r="F25" s="16" t="str">
        <x:f>Inputs!A16</x:f>
        <x:v>ap</x:v>
      </x:c>
      <x:c r="G25" s="16" t="str">
        <x:f>Inputs!C16</x:f>
        <x:v>mol H+e</x:v>
      </x:c>
      <x:c r="H25" s="9" t="str">
        <x:f>IF(Inputs!K29="","",Inputs!K29)</x:f>
      </x:c>
      <x:c r="I25" s="9" t="str">
        <x:f>IF(H25="","",H25*C25/D25)</x:f>
      </x:c>
      <x:c r="J25" s="9" t="str">
        <x:f>IF(H25="","",H25*C25*E25)</x:f>
      </x:c>
      <x:c r="K25" s="1" t="str">
        <x:f>IF(H25&lt;&gt;"","Complete",IF(C25=0,"Not required","Missing"))</x:f>
        <x:v>Missing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5" t="str">
        <x:f>Inputs!A29</x:f>
        <x:v>Technology</x:v>
      </x:c>
      <x:c r="B26" s="15" t="str">
        <x:f>Inputs!B29</x:f>
        <x:v>Roof insulation</x:v>
      </x:c>
      <x:c r="C26" s="16" t="n">
        <x:f>Inputs!C29</x:f>
        <x:v>616</x:v>
      </x:c>
      <x:c r="D26" s="16" t="n">
        <x:f>Inputs!D29</x:f>
        <x:v>40</x:v>
      </x:c>
      <x:c r="E26" s="16" t="n">
        <x:f>ROUNDUP(Inputs!$B$4/D26,0)</x:f>
        <x:v>1</x:v>
      </x:c>
      <x:c r="F26" s="16" t="str">
        <x:f>Inputs!A17</x:f>
        <x:v>ep_freshwater</x:v>
      </x:c>
      <x:c r="G26" s="16" t="str">
        <x:f>Inputs!C17</x:f>
        <x:v>kg PO4e</x:v>
      </x:c>
      <x:c r="H26" s="9" t="str">
        <x:f>IF(Inputs!L29="","",Inputs!L29)</x:f>
      </x:c>
      <x:c r="I26" s="9" t="str">
        <x:f>IF(H26="","",H26*C26/D26)</x:f>
      </x:c>
      <x:c r="J26" s="9" t="str">
        <x:f>IF(H26="","",H26*C26*E26)</x:f>
      </x:c>
      <x:c r="K26" s="1" t="str">
        <x:f>IF(H26&lt;&gt;"","Complete",IF(C26=0,"Not required","Missing"))</x:f>
        <x:v>Missing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5" t="str">
        <x:f>Inputs!A29</x:f>
        <x:v>Technology</x:v>
      </x:c>
      <x:c r="B27" s="15" t="str">
        <x:f>Inputs!B29</x:f>
        <x:v>Roof insulation</x:v>
      </x:c>
      <x:c r="C27" s="16" t="n">
        <x:f>Inputs!C29</x:f>
        <x:v>616</x:v>
      </x:c>
      <x:c r="D27" s="16" t="n">
        <x:f>Inputs!D29</x:f>
        <x:v>40</x:v>
      </x:c>
      <x:c r="E27" s="16" t="n">
        <x:f>ROUNDUP(Inputs!$B$4/D27,0)</x:f>
        <x:v>1</x:v>
      </x:c>
      <x:c r="F27" s="16" t="str">
        <x:f>Inputs!A18</x:f>
        <x:v>ep_marine</x:v>
      </x:c>
      <x:c r="G27" s="16" t="str">
        <x:f>Inputs!C18</x:f>
        <x:v>kg Ne</x:v>
      </x:c>
      <x:c r="H27" s="9" t="str">
        <x:f>IF(Inputs!M29="","",Inputs!M29)</x:f>
      </x:c>
      <x:c r="I27" s="9" t="str">
        <x:f>IF(H27="","",H27*C27/D27)</x:f>
      </x:c>
      <x:c r="J27" s="9" t="str">
        <x:f>IF(H27="","",H27*C27*E27)</x:f>
      </x:c>
      <x:c r="K27" s="1" t="str">
        <x:f>IF(H27&lt;&gt;"","Complete",IF(C27=0,"Not required","Missing"))</x:f>
        <x:v>Missing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5" t="str">
        <x:f>Inputs!A29</x:f>
        <x:v>Technology</x:v>
      </x:c>
      <x:c r="B28" s="15" t="str">
        <x:f>Inputs!B29</x:f>
        <x:v>Roof insulation</x:v>
      </x:c>
      <x:c r="C28" s="16" t="n">
        <x:f>Inputs!C29</x:f>
        <x:v>616</x:v>
      </x:c>
      <x:c r="D28" s="16" t="n">
        <x:f>Inputs!D29</x:f>
        <x:v>40</x:v>
      </x:c>
      <x:c r="E28" s="16" t="n">
        <x:f>ROUNDUP(Inputs!$B$4/D28,0)</x:f>
        <x:v>1</x:v>
      </x:c>
      <x:c r="F28" s="16" t="str">
        <x:f>Inputs!A19</x:f>
        <x:v>ep_terrestrial</x:v>
      </x:c>
      <x:c r="G28" s="16" t="str">
        <x:f>Inputs!C19</x:f>
        <x:v>mol Ne</x:v>
      </x:c>
      <x:c r="H28" s="9" t="str">
        <x:f>IF(Inputs!N29="","",Inputs!N29)</x:f>
      </x:c>
      <x:c r="I28" s="9" t="str">
        <x:f>IF(H28="","",H28*C28/D28)</x:f>
      </x:c>
      <x:c r="J28" s="9" t="str">
        <x:f>IF(H28="","",H28*C28*E28)</x:f>
      </x:c>
      <x:c r="K28" s="1" t="str">
        <x:f>IF(H28&lt;&gt;"","Complete",IF(C28=0,"Not required","Missing"))</x:f>
        <x:v>Missing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5" t="str">
        <x:f>Inputs!A29</x:f>
        <x:v>Technology</x:v>
      </x:c>
      <x:c r="B29" s="15" t="str">
        <x:f>Inputs!B29</x:f>
        <x:v>Roof insulation</x:v>
      </x:c>
      <x:c r="C29" s="16" t="n">
        <x:f>Inputs!C29</x:f>
        <x:v>616</x:v>
      </x:c>
      <x:c r="D29" s="16" t="n">
        <x:f>Inputs!D29</x:f>
        <x:v>40</x:v>
      </x:c>
      <x:c r="E29" s="16" t="n">
        <x:f>ROUNDUP(Inputs!$B$4/D29,0)</x:f>
        <x:v>1</x:v>
      </x:c>
      <x:c r="F29" s="16" t="str">
        <x:f>Inputs!A20</x:f>
        <x:v>pocp</x:v>
      </x:c>
      <x:c r="G29" s="16" t="str">
        <x:f>Inputs!C20</x:f>
        <x:v>kg NMVOCe</x:v>
      </x:c>
      <x:c r="H29" s="9" t="str">
        <x:f>IF(Inputs!O29="","",Inputs!O29)</x:f>
      </x:c>
      <x:c r="I29" s="9" t="str">
        <x:f>IF(H29="","",H29*C29/D29)</x:f>
      </x:c>
      <x:c r="J29" s="9" t="str">
        <x:f>IF(H29="","",H29*C29*E29)</x:f>
      </x:c>
      <x:c r="K29" s="1" t="str">
        <x:f>IF(H29&lt;&gt;"","Complete",IF(C29=0,"Not required","Missing"))</x:f>
        <x:v>Missing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5" t="str">
        <x:f>Inputs!A29</x:f>
        <x:v>Technology</x:v>
      </x:c>
      <x:c r="B30" s="15" t="str">
        <x:f>Inputs!B29</x:f>
        <x:v>Roof insulation</x:v>
      </x:c>
      <x:c r="C30" s="16" t="n">
        <x:f>Inputs!C29</x:f>
        <x:v>616</x:v>
      </x:c>
      <x:c r="D30" s="16" t="n">
        <x:f>Inputs!D29</x:f>
        <x:v>40</x:v>
      </x:c>
      <x:c r="E30" s="16" t="n">
        <x:f>ROUNDUP(Inputs!$B$4/D30,0)</x:f>
        <x:v>1</x:v>
      </x:c>
      <x:c r="F30" s="16" t="str">
        <x:f>Inputs!A21</x:f>
        <x:v>adp_minerals_metals</x:v>
      </x:c>
      <x:c r="G30" s="16" t="str">
        <x:f>Inputs!C21</x:f>
        <x:v>kg Sbe</x:v>
      </x:c>
      <x:c r="H30" s="9" t="str">
        <x:f>IF(Inputs!P29="","",Inputs!P29)</x:f>
      </x:c>
      <x:c r="I30" s="9" t="str">
        <x:f>IF(H30="","",H30*C30/D30)</x:f>
      </x:c>
      <x:c r="J30" s="9" t="str">
        <x:f>IF(H30="","",H30*C30*E30)</x:f>
      </x:c>
      <x:c r="K30" s="1" t="str">
        <x:f>IF(H30&lt;&gt;"","Complete",IF(C30=0,"Not required","Missing"))</x:f>
        <x:v>Missing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5" t="str">
        <x:f>Inputs!A29</x:f>
        <x:v>Technology</x:v>
      </x:c>
      <x:c r="B31" s="15" t="str">
        <x:f>Inputs!B29</x:f>
        <x:v>Roof insulation</x:v>
      </x:c>
      <x:c r="C31" s="16" t="n">
        <x:f>Inputs!C29</x:f>
        <x:v>616</x:v>
      </x:c>
      <x:c r="D31" s="16" t="n">
        <x:f>Inputs!D29</x:f>
        <x:v>40</x:v>
      </x:c>
      <x:c r="E31" s="16" t="n">
        <x:f>ROUNDUP(Inputs!$B$4/D31,0)</x:f>
        <x:v>1</x:v>
      </x:c>
      <x:c r="F31" s="16" t="str">
        <x:f>Inputs!A22</x:f>
        <x:v>adp_fossil</x:v>
      </x:c>
      <x:c r="G31" s="16" t="str">
        <x:f>Inputs!C22</x:f>
        <x:v>MJ net calorific value</x:v>
      </x:c>
      <x:c r="H31" s="9" t="str">
        <x:f>IF(Inputs!Q29="","",Inputs!Q29)</x:f>
      </x:c>
      <x:c r="I31" s="9" t="str">
        <x:f>IF(H31="","",H31*C31/D31)</x:f>
      </x:c>
      <x:c r="J31" s="9" t="str">
        <x:f>IF(H31="","",H31*C31*E31)</x:f>
      </x:c>
      <x:c r="K31" s="1" t="str">
        <x:f>IF(H31&lt;&gt;"","Complete",IF(C31=0,"Not required","Missing"))</x:f>
        <x:v>Missing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5" t="str">
        <x:f>Inputs!A29</x:f>
        <x:v>Technology</x:v>
      </x:c>
      <x:c r="B32" s="15" t="str">
        <x:f>Inputs!B29</x:f>
        <x:v>Roof insulation</x:v>
      </x:c>
      <x:c r="C32" s="16" t="n">
        <x:f>Inputs!C29</x:f>
        <x:v>616</x:v>
      </x:c>
      <x:c r="D32" s="16" t="n">
        <x:f>Inputs!D29</x:f>
        <x:v>40</x:v>
      </x:c>
      <x:c r="E32" s="16" t="n">
        <x:f>ROUNDUP(Inputs!$B$4/D32,0)</x:f>
        <x:v>1</x:v>
      </x:c>
      <x:c r="F32" s="16" t="str">
        <x:f>Inputs!A23</x:f>
        <x:v>wdp</x:v>
      </x:c>
      <x:c r="G32" s="16" t="str">
        <x:f>Inputs!C23</x:f>
        <x:v>m3 world-e deprived</x:v>
      </x:c>
      <x:c r="H32" s="9" t="str">
        <x:f>IF(Inputs!R29="","",Inputs!R29)</x:f>
      </x:c>
      <x:c r="I32" s="9" t="str">
        <x:f>IF(H32="","",H32*C32/D32)</x:f>
      </x:c>
      <x:c r="J32" s="9" t="str">
        <x:f>IF(H32="","",H32*C32*E32)</x:f>
      </x:c>
      <x:c r="K32" s="1" t="str">
        <x:f>IF(H32&lt;&gt;"","Complete",IF(C32=0,"Not required","Missing"))</x:f>
        <x:v>Missing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5" t="str">
        <x:f>Inputs!A30</x:f>
        <x:v>Technology</x:v>
      </x:c>
      <x:c r="B33" s="15" t="str">
        <x:f>Inputs!B30</x:f>
        <x:v>Basement insulation</x:v>
      </x:c>
      <x:c r="C33" s="16" t="n">
        <x:f>Inputs!C30</x:f>
        <x:v>629</x:v>
      </x:c>
      <x:c r="D33" s="16" t="n">
        <x:f>Inputs!D30</x:f>
        <x:v>40</x:v>
      </x:c>
      <x:c r="E33" s="16" t="n">
        <x:f>ROUNDUP(Inputs!$B$4/D33,0)</x:f>
        <x:v>1</x:v>
      </x:c>
      <x:c r="F33" s="16" t="str">
        <x:f>Inputs!A10</x:f>
        <x:v>primary_energy</x:v>
      </x:c>
      <x:c r="G33" s="16" t="str">
        <x:f>Inputs!C10</x:f>
        <x:v>kWh</x:v>
      </x:c>
      <x:c r="H33" s="9" t="n">
        <x:f>IF(Inputs!E30="","",Inputs!E30)</x:f>
        <x:v>192.5</x:v>
      </x:c>
      <x:c r="I33" s="9" t="n">
        <x:f>IF(H33="","",H33*C33/D33)</x:f>
        <x:v>3027.0625</x:v>
      </x:c>
      <x:c r="J33" s="9" t="n">
        <x:f>IF(H33="","",H33*C33*E33)</x:f>
        <x:v>121082.5</x:v>
      </x:c>
      <x:c r="K33" s="1" t="str">
        <x:f>IF(H33&lt;&gt;"","Complete",IF(C33=0,"Not required","Missing"))</x:f>
        <x:v>Complete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5" t="str">
        <x:f>Inputs!A30</x:f>
        <x:v>Technology</x:v>
      </x:c>
      <x:c r="B34" s="15" t="str">
        <x:f>Inputs!B30</x:f>
        <x:v>Basement insulation</x:v>
      </x:c>
      <x:c r="C34" s="16" t="n">
        <x:f>Inputs!C30</x:f>
        <x:v>629</x:v>
      </x:c>
      <x:c r="D34" s="16" t="n">
        <x:f>Inputs!D30</x:f>
        <x:v>40</x:v>
      </x:c>
      <x:c r="E34" s="16" t="n">
        <x:f>ROUNDUP(Inputs!$B$4/D34,0)</x:f>
        <x:v>1</x:v>
      </x:c>
      <x:c r="F34" s="16" t="str">
        <x:f>Inputs!A11</x:f>
        <x:v>gwp_total</x:v>
      </x:c>
      <x:c r="G34" s="16" t="str">
        <x:f>Inputs!C11</x:f>
        <x:v>kg CO2e</x:v>
      </x:c>
      <x:c r="H34" s="9" t="n">
        <x:f>IF(Inputs!F30="","",Inputs!F30)</x:f>
        <x:v>65</x:v>
      </x:c>
      <x:c r="I34" s="9" t="n">
        <x:f>IF(H34="","",H34*C34/D34)</x:f>
        <x:v>1022.125</x:v>
      </x:c>
      <x:c r="J34" s="9" t="n">
        <x:f>IF(H34="","",H34*C34*E34)</x:f>
        <x:v>40885</x:v>
      </x:c>
      <x:c r="K34" s="1" t="str">
        <x:f>IF(H34&lt;&gt;"","Complete",IF(C34=0,"Not required","Missing"))</x:f>
        <x:v>Complete</x:v>
      </x:c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5" t="str">
        <x:f>Inputs!A30</x:f>
        <x:v>Technology</x:v>
      </x:c>
      <x:c r="B35" s="15" t="str">
        <x:f>Inputs!B30</x:f>
        <x:v>Basement insulation</x:v>
      </x:c>
      <x:c r="C35" s="16" t="n">
        <x:f>Inputs!C30</x:f>
        <x:v>629</x:v>
      </x:c>
      <x:c r="D35" s="16" t="n">
        <x:f>Inputs!D30</x:f>
        <x:v>40</x:v>
      </x:c>
      <x:c r="E35" s="16" t="n">
        <x:f>ROUNDUP(Inputs!$B$4/D35,0)</x:f>
        <x:v>1</x:v>
      </x:c>
      <x:c r="F35" s="16" t="str">
        <x:f>Inputs!A12</x:f>
        <x:v>gwp_fossil</x:v>
      </x:c>
      <x:c r="G35" s="16" t="str">
        <x:f>Inputs!C12</x:f>
        <x:v>kg CO2e</x:v>
      </x:c>
      <x:c r="H35" s="9" t="str">
        <x:f>IF(Inputs!G30="","",Inputs!G30)</x:f>
      </x:c>
      <x:c r="I35" s="9" t="str">
        <x:f>IF(H35="","",H35*C35/D35)</x:f>
      </x:c>
      <x:c r="J35" s="9" t="str">
        <x:f>IF(H35="","",H35*C35*E35)</x:f>
      </x:c>
      <x:c r="K35" s="1" t="str">
        <x:f>IF(H35&lt;&gt;"","Complete",IF(C35=0,"Not required","Missing"))</x:f>
        <x:v>Missing</x:v>
      </x:c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5" t="str">
        <x:f>Inputs!A30</x:f>
        <x:v>Technology</x:v>
      </x:c>
      <x:c r="B36" s="15" t="str">
        <x:f>Inputs!B30</x:f>
        <x:v>Basement insulation</x:v>
      </x:c>
      <x:c r="C36" s="16" t="n">
        <x:f>Inputs!C30</x:f>
        <x:v>629</x:v>
      </x:c>
      <x:c r="D36" s="16" t="n">
        <x:f>Inputs!D30</x:f>
        <x:v>40</x:v>
      </x:c>
      <x:c r="E36" s="16" t="n">
        <x:f>ROUNDUP(Inputs!$B$4/D36,0)</x:f>
        <x:v>1</x:v>
      </x:c>
      <x:c r="F36" s="16" t="str">
        <x:f>Inputs!A13</x:f>
        <x:v>gwp_biogenic</x:v>
      </x:c>
      <x:c r="G36" s="16" t="str">
        <x:f>Inputs!C13</x:f>
        <x:v>kg CO2e</x:v>
      </x:c>
      <x:c r="H36" s="9" t="str">
        <x:f>IF(Inputs!H30="","",Inputs!H30)</x:f>
      </x:c>
      <x:c r="I36" s="9" t="str">
        <x:f>IF(H36="","",H36*C36/D36)</x:f>
      </x:c>
      <x:c r="J36" s="9" t="str">
        <x:f>IF(H36="","",H36*C36*E36)</x:f>
      </x:c>
      <x:c r="K36" s="1" t="str">
        <x:f>IF(H36&lt;&gt;"","Complete",IF(C36=0,"Not required","Missing"))</x:f>
        <x:v>Missing</x:v>
      </x:c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5" t="str">
        <x:f>Inputs!A30</x:f>
        <x:v>Technology</x:v>
      </x:c>
      <x:c r="B37" s="15" t="str">
        <x:f>Inputs!B30</x:f>
        <x:v>Basement insulation</x:v>
      </x:c>
      <x:c r="C37" s="16" t="n">
        <x:f>Inputs!C30</x:f>
        <x:v>629</x:v>
      </x:c>
      <x:c r="D37" s="16" t="n">
        <x:f>Inputs!D30</x:f>
        <x:v>40</x:v>
      </x:c>
      <x:c r="E37" s="16" t="n">
        <x:f>ROUNDUP(Inputs!$B$4/D37,0)</x:f>
        <x:v>1</x:v>
      </x:c>
      <x:c r="F37" s="16" t="str">
        <x:f>Inputs!A14</x:f>
        <x:v>gwp_luluc</x:v>
      </x:c>
      <x:c r="G37" s="16" t="str">
        <x:f>Inputs!C14</x:f>
        <x:v>kg CO2e</x:v>
      </x:c>
      <x:c r="H37" s="9" t="str">
        <x:f>IF(Inputs!I30="","",Inputs!I30)</x:f>
      </x:c>
      <x:c r="I37" s="9" t="str">
        <x:f>IF(H37="","",H37*C37/D37)</x:f>
      </x:c>
      <x:c r="J37" s="9" t="str">
        <x:f>IF(H37="","",H37*C37*E37)</x:f>
      </x:c>
      <x:c r="K37" s="1" t="str">
        <x:f>IF(H37&lt;&gt;"","Complete",IF(C37=0,"Not required","Missing"))</x:f>
        <x:v>Missing</x:v>
      </x:c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5" t="str">
        <x:f>Inputs!A30</x:f>
        <x:v>Technology</x:v>
      </x:c>
      <x:c r="B38" s="15" t="str">
        <x:f>Inputs!B30</x:f>
        <x:v>Basement insulation</x:v>
      </x:c>
      <x:c r="C38" s="16" t="n">
        <x:f>Inputs!C30</x:f>
        <x:v>629</x:v>
      </x:c>
      <x:c r="D38" s="16" t="n">
        <x:f>Inputs!D30</x:f>
        <x:v>40</x:v>
      </x:c>
      <x:c r="E38" s="16" t="n">
        <x:f>ROUNDUP(Inputs!$B$4/D38,0)</x:f>
        <x:v>1</x:v>
      </x:c>
      <x:c r="F38" s="16" t="str">
        <x:f>Inputs!A15</x:f>
        <x:v>odp</x:v>
      </x:c>
      <x:c r="G38" s="16" t="str">
        <x:f>Inputs!C15</x:f>
        <x:v>kg CFC-11e</x:v>
      </x:c>
      <x:c r="H38" s="9" t="str">
        <x:f>IF(Inputs!J30="","",Inputs!J30)</x:f>
      </x:c>
      <x:c r="I38" s="9" t="str">
        <x:f>IF(H38="","",H38*C38/D38)</x:f>
      </x:c>
      <x:c r="J38" s="9" t="str">
        <x:f>IF(H38="","",H38*C38*E38)</x:f>
      </x:c>
      <x:c r="K38" s="1" t="str">
        <x:f>IF(H38&lt;&gt;"","Complete",IF(C38=0,"Not required","Missing"))</x:f>
        <x:v>Missing</x:v>
      </x:c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5" t="str">
        <x:f>Inputs!A30</x:f>
        <x:v>Technology</x:v>
      </x:c>
      <x:c r="B39" s="15" t="str">
        <x:f>Inputs!B30</x:f>
        <x:v>Basement insulation</x:v>
      </x:c>
      <x:c r="C39" s="16" t="n">
        <x:f>Inputs!C30</x:f>
        <x:v>629</x:v>
      </x:c>
      <x:c r="D39" s="16" t="n">
        <x:f>Inputs!D30</x:f>
        <x:v>40</x:v>
      </x:c>
      <x:c r="E39" s="16" t="n">
        <x:f>ROUNDUP(Inputs!$B$4/D39,0)</x:f>
        <x:v>1</x:v>
      </x:c>
      <x:c r="F39" s="16" t="str">
        <x:f>Inputs!A16</x:f>
        <x:v>ap</x:v>
      </x:c>
      <x:c r="G39" s="16" t="str">
        <x:f>Inputs!C16</x:f>
        <x:v>mol H+e</x:v>
      </x:c>
      <x:c r="H39" s="9" t="str">
        <x:f>IF(Inputs!K30="","",Inputs!K30)</x:f>
      </x:c>
      <x:c r="I39" s="9" t="str">
        <x:f>IF(H39="","",H39*C39/D39)</x:f>
      </x:c>
      <x:c r="J39" s="9" t="str">
        <x:f>IF(H39="","",H39*C39*E39)</x:f>
      </x:c>
      <x:c r="K39" s="1" t="str">
        <x:f>IF(H39&lt;&gt;"","Complete",IF(C39=0,"Not required","Missing"))</x:f>
        <x:v>Missing</x:v>
      </x:c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5" t="str">
        <x:f>Inputs!A30</x:f>
        <x:v>Technology</x:v>
      </x:c>
      <x:c r="B40" s="15" t="str">
        <x:f>Inputs!B30</x:f>
        <x:v>Basement insulation</x:v>
      </x:c>
      <x:c r="C40" s="16" t="n">
        <x:f>Inputs!C30</x:f>
        <x:v>629</x:v>
      </x:c>
      <x:c r="D40" s="16" t="n">
        <x:f>Inputs!D30</x:f>
        <x:v>40</x:v>
      </x:c>
      <x:c r="E40" s="16" t="n">
        <x:f>ROUNDUP(Inputs!$B$4/D40,0)</x:f>
        <x:v>1</x:v>
      </x:c>
      <x:c r="F40" s="16" t="str">
        <x:f>Inputs!A17</x:f>
        <x:v>ep_freshwater</x:v>
      </x:c>
      <x:c r="G40" s="16" t="str">
        <x:f>Inputs!C17</x:f>
        <x:v>kg PO4e</x:v>
      </x:c>
      <x:c r="H40" s="9" t="str">
        <x:f>IF(Inputs!L30="","",Inputs!L30)</x:f>
      </x:c>
      <x:c r="I40" s="9" t="str">
        <x:f>IF(H40="","",H40*C40/D40)</x:f>
      </x:c>
      <x:c r="J40" s="9" t="str">
        <x:f>IF(H40="","",H40*C40*E40)</x:f>
      </x:c>
      <x:c r="K40" s="1" t="str">
        <x:f>IF(H40&lt;&gt;"","Complete",IF(C40=0,"Not required","Missing"))</x:f>
        <x:v>Missing</x:v>
      </x:c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5" t="str">
        <x:f>Inputs!A30</x:f>
        <x:v>Technology</x:v>
      </x:c>
      <x:c r="B41" s="15" t="str">
        <x:f>Inputs!B30</x:f>
        <x:v>Basement insulation</x:v>
      </x:c>
      <x:c r="C41" s="16" t="n">
        <x:f>Inputs!C30</x:f>
        <x:v>629</x:v>
      </x:c>
      <x:c r="D41" s="16" t="n">
        <x:f>Inputs!D30</x:f>
        <x:v>40</x:v>
      </x:c>
      <x:c r="E41" s="16" t="n">
        <x:f>ROUNDUP(Inputs!$B$4/D41,0)</x:f>
        <x:v>1</x:v>
      </x:c>
      <x:c r="F41" s="16" t="str">
        <x:f>Inputs!A18</x:f>
        <x:v>ep_marine</x:v>
      </x:c>
      <x:c r="G41" s="16" t="str">
        <x:f>Inputs!C18</x:f>
        <x:v>kg Ne</x:v>
      </x:c>
      <x:c r="H41" s="9" t="str">
        <x:f>IF(Inputs!M30="","",Inputs!M30)</x:f>
      </x:c>
      <x:c r="I41" s="9" t="str">
        <x:f>IF(H41="","",H41*C41/D41)</x:f>
      </x:c>
      <x:c r="J41" s="9" t="str">
        <x:f>IF(H41="","",H41*C41*E41)</x:f>
      </x:c>
      <x:c r="K41" s="1" t="str">
        <x:f>IF(H41&lt;&gt;"","Complete",IF(C41=0,"Not required","Missing"))</x:f>
        <x:v>Missing</x:v>
      </x:c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5" t="str">
        <x:f>Inputs!A30</x:f>
        <x:v>Technology</x:v>
      </x:c>
      <x:c r="B42" s="15" t="str">
        <x:f>Inputs!B30</x:f>
        <x:v>Basement insulation</x:v>
      </x:c>
      <x:c r="C42" s="16" t="n">
        <x:f>Inputs!C30</x:f>
        <x:v>629</x:v>
      </x:c>
      <x:c r="D42" s="16" t="n">
        <x:f>Inputs!D30</x:f>
        <x:v>40</x:v>
      </x:c>
      <x:c r="E42" s="16" t="n">
        <x:f>ROUNDUP(Inputs!$B$4/D42,0)</x:f>
        <x:v>1</x:v>
      </x:c>
      <x:c r="F42" s="16" t="str">
        <x:f>Inputs!A19</x:f>
        <x:v>ep_terrestrial</x:v>
      </x:c>
      <x:c r="G42" s="16" t="str">
        <x:f>Inputs!C19</x:f>
        <x:v>mol Ne</x:v>
      </x:c>
      <x:c r="H42" s="9" t="str">
        <x:f>IF(Inputs!N30="","",Inputs!N30)</x:f>
      </x:c>
      <x:c r="I42" s="9" t="str">
        <x:f>IF(H42="","",H42*C42/D42)</x:f>
      </x:c>
      <x:c r="J42" s="9" t="str">
        <x:f>IF(H42="","",H42*C42*E42)</x:f>
      </x:c>
      <x:c r="K42" s="1" t="str">
        <x:f>IF(H42&lt;&gt;"","Complete",IF(C42=0,"Not required","Missing"))</x:f>
        <x:v>Missing</x:v>
      </x:c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5" t="str">
        <x:f>Inputs!A30</x:f>
        <x:v>Technology</x:v>
      </x:c>
      <x:c r="B43" s="15" t="str">
        <x:f>Inputs!B30</x:f>
        <x:v>Basement insulation</x:v>
      </x:c>
      <x:c r="C43" s="16" t="n">
        <x:f>Inputs!C30</x:f>
        <x:v>629</x:v>
      </x:c>
      <x:c r="D43" s="16" t="n">
        <x:f>Inputs!D30</x:f>
        <x:v>40</x:v>
      </x:c>
      <x:c r="E43" s="16" t="n">
        <x:f>ROUNDUP(Inputs!$B$4/D43,0)</x:f>
        <x:v>1</x:v>
      </x:c>
      <x:c r="F43" s="16" t="str">
        <x:f>Inputs!A20</x:f>
        <x:v>pocp</x:v>
      </x:c>
      <x:c r="G43" s="16" t="str">
        <x:f>Inputs!C20</x:f>
        <x:v>kg NMVOCe</x:v>
      </x:c>
      <x:c r="H43" s="9" t="str">
        <x:f>IF(Inputs!O30="","",Inputs!O30)</x:f>
      </x:c>
      <x:c r="I43" s="9" t="str">
        <x:f>IF(H43="","",H43*C43/D43)</x:f>
      </x:c>
      <x:c r="J43" s="9" t="str">
        <x:f>IF(H43="","",H43*C43*E43)</x:f>
      </x:c>
      <x:c r="K43" s="1" t="str">
        <x:f>IF(H43&lt;&gt;"","Complete",IF(C43=0,"Not required","Missing"))</x:f>
        <x:v>Missing</x:v>
      </x:c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5" t="str">
        <x:f>Inputs!A30</x:f>
        <x:v>Technology</x:v>
      </x:c>
      <x:c r="B44" s="15" t="str">
        <x:f>Inputs!B30</x:f>
        <x:v>Basement insulation</x:v>
      </x:c>
      <x:c r="C44" s="16" t="n">
        <x:f>Inputs!C30</x:f>
        <x:v>629</x:v>
      </x:c>
      <x:c r="D44" s="16" t="n">
        <x:f>Inputs!D30</x:f>
        <x:v>40</x:v>
      </x:c>
      <x:c r="E44" s="16" t="n">
        <x:f>ROUNDUP(Inputs!$B$4/D44,0)</x:f>
        <x:v>1</x:v>
      </x:c>
      <x:c r="F44" s="16" t="str">
        <x:f>Inputs!A21</x:f>
        <x:v>adp_minerals_metals</x:v>
      </x:c>
      <x:c r="G44" s="16" t="str">
        <x:f>Inputs!C21</x:f>
        <x:v>kg Sbe</x:v>
      </x:c>
      <x:c r="H44" s="9" t="str">
        <x:f>IF(Inputs!P30="","",Inputs!P30)</x:f>
      </x:c>
      <x:c r="I44" s="9" t="str">
        <x:f>IF(H44="","",H44*C44/D44)</x:f>
      </x:c>
      <x:c r="J44" s="9" t="str">
        <x:f>IF(H44="","",H44*C44*E44)</x:f>
      </x:c>
      <x:c r="K44" s="1" t="str">
        <x:f>IF(H44&lt;&gt;"","Complete",IF(C44=0,"Not required","Missing"))</x:f>
        <x:v>Missing</x:v>
      </x:c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5" t="str">
        <x:f>Inputs!A30</x:f>
        <x:v>Technology</x:v>
      </x:c>
      <x:c r="B45" s="15" t="str">
        <x:f>Inputs!B30</x:f>
        <x:v>Basement insulation</x:v>
      </x:c>
      <x:c r="C45" s="16" t="n">
        <x:f>Inputs!C30</x:f>
        <x:v>629</x:v>
      </x:c>
      <x:c r="D45" s="16" t="n">
        <x:f>Inputs!D30</x:f>
        <x:v>40</x:v>
      </x:c>
      <x:c r="E45" s="16" t="n">
        <x:f>ROUNDUP(Inputs!$B$4/D45,0)</x:f>
        <x:v>1</x:v>
      </x:c>
      <x:c r="F45" s="16" t="str">
        <x:f>Inputs!A22</x:f>
        <x:v>adp_fossil</x:v>
      </x:c>
      <x:c r="G45" s="16" t="str">
        <x:f>Inputs!C22</x:f>
        <x:v>MJ net calorific value</x:v>
      </x:c>
      <x:c r="H45" s="9" t="str">
        <x:f>IF(Inputs!Q30="","",Inputs!Q30)</x:f>
      </x:c>
      <x:c r="I45" s="9" t="str">
        <x:f>IF(H45="","",H45*C45/D45)</x:f>
      </x:c>
      <x:c r="J45" s="9" t="str">
        <x:f>IF(H45="","",H45*C45*E45)</x:f>
      </x:c>
      <x:c r="K45" s="1" t="str">
        <x:f>IF(H45&lt;&gt;"","Complete",IF(C45=0,"Not required","Missing"))</x:f>
        <x:v>Missing</x:v>
      </x:c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5" t="str">
        <x:f>Inputs!A30</x:f>
        <x:v>Technology</x:v>
      </x:c>
      <x:c r="B46" s="15" t="str">
        <x:f>Inputs!B30</x:f>
        <x:v>Basement insulation</x:v>
      </x:c>
      <x:c r="C46" s="16" t="n">
        <x:f>Inputs!C30</x:f>
        <x:v>629</x:v>
      </x:c>
      <x:c r="D46" s="16" t="n">
        <x:f>Inputs!D30</x:f>
        <x:v>40</x:v>
      </x:c>
      <x:c r="E46" s="16" t="n">
        <x:f>ROUNDUP(Inputs!$B$4/D46,0)</x:f>
        <x:v>1</x:v>
      </x:c>
      <x:c r="F46" s="16" t="str">
        <x:f>Inputs!A23</x:f>
        <x:v>wdp</x:v>
      </x:c>
      <x:c r="G46" s="16" t="str">
        <x:f>Inputs!C23</x:f>
        <x:v>m3 world-e deprived</x:v>
      </x:c>
      <x:c r="H46" s="9" t="str">
        <x:f>IF(Inputs!R30="","",Inputs!R30)</x:f>
      </x:c>
      <x:c r="I46" s="9" t="str">
        <x:f>IF(H46="","",H46*C46/D46)</x:f>
      </x:c>
      <x:c r="J46" s="9" t="str">
        <x:f>IF(H46="","",H46*C46*E46)</x:f>
      </x:c>
      <x:c r="K46" s="1" t="str">
        <x:f>IF(H46&lt;&gt;"","Complete",IF(C46=0,"Not required","Missing"))</x:f>
        <x:v>Missing</x:v>
      </x:c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5" t="str">
        <x:f>Inputs!A31</x:f>
        <x:v>Technology</x:v>
      </x:c>
      <x:c r="B47" s="15" t="str">
        <x:f>Inputs!B31</x:f>
        <x:v>Glazing system</x:v>
      </x:c>
      <x:c r="C47" s="16" t="n">
        <x:f>Inputs!C31</x:f>
        <x:v>182.57999999999998</x:v>
      </x:c>
      <x:c r="D47" s="16" t="n">
        <x:f>Inputs!D31</x:f>
        <x:v>30</x:v>
      </x:c>
      <x:c r="E47" s="16" t="n">
        <x:f>ROUNDUP(Inputs!$B$4/D47,0)</x:f>
        <x:v>1</x:v>
      </x:c>
      <x:c r="F47" s="16" t="str">
        <x:f>Inputs!A10</x:f>
        <x:v>primary_energy</x:v>
      </x:c>
      <x:c r="G47" s="16" t="str">
        <x:f>Inputs!C10</x:f>
        <x:v>kWh</x:v>
      </x:c>
      <x:c r="H47" s="9" t="n">
        <x:f>IF(Inputs!E31="","",Inputs!E31)</x:f>
        <x:v>143.61111111111111</x:v>
      </x:c>
      <x:c r="I47" s="9" t="n">
        <x:f>IF(H47="","",H47*C47/D47)</x:f>
        <x:v>874.0172222222222</x:v>
      </x:c>
      <x:c r="J47" s="9" t="n">
        <x:f>IF(H47="","",H47*C47*E47)</x:f>
        <x:v>26220.516666666666</x:v>
      </x:c>
      <x:c r="K47" s="1" t="str">
        <x:f>IF(H47&lt;&gt;"","Complete",IF(C47=0,"Not required","Missing"))</x:f>
        <x:v>Complete</x:v>
      </x:c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5" t="str">
        <x:f>Inputs!A31</x:f>
        <x:v>Technology</x:v>
      </x:c>
      <x:c r="B48" s="15" t="str">
        <x:f>Inputs!B31</x:f>
        <x:v>Glazing system</x:v>
      </x:c>
      <x:c r="C48" s="16" t="n">
        <x:f>Inputs!C31</x:f>
        <x:v>182.57999999999998</x:v>
      </x:c>
      <x:c r="D48" s="16" t="n">
        <x:f>Inputs!D31</x:f>
        <x:v>30</x:v>
      </x:c>
      <x:c r="E48" s="16" t="n">
        <x:f>ROUNDUP(Inputs!$B$4/D48,0)</x:f>
        <x:v>1</x:v>
      </x:c>
      <x:c r="F48" s="16" t="str">
        <x:f>Inputs!A11</x:f>
        <x:v>gwp_total</x:v>
      </x:c>
      <x:c r="G48" s="16" t="str">
        <x:f>Inputs!C11</x:f>
        <x:v>kg CO2e</x:v>
      </x:c>
      <x:c r="H48" s="9" t="n">
        <x:f>IF(Inputs!F31="","",Inputs!F31)</x:f>
        <x:v>39</x:v>
      </x:c>
      <x:c r="I48" s="9" t="n">
        <x:f>IF(H48="","",H48*C48/D48)</x:f>
        <x:v>237.35399999999996</x:v>
      </x:c>
      <x:c r="J48" s="9" t="n">
        <x:f>IF(H48="","",H48*C48*E48)</x:f>
        <x:v>7120.619999999999</x:v>
      </x:c>
      <x:c r="K48" s="1" t="str">
        <x:f>IF(H48&lt;&gt;"","Complete",IF(C48=0,"Not required","Missing"))</x:f>
        <x:v>Complete</x:v>
      </x:c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5" t="str">
        <x:f>Inputs!A31</x:f>
        <x:v>Technology</x:v>
      </x:c>
      <x:c r="B49" s="15" t="str">
        <x:f>Inputs!B31</x:f>
        <x:v>Glazing system</x:v>
      </x:c>
      <x:c r="C49" s="16" t="n">
        <x:f>Inputs!C31</x:f>
        <x:v>182.57999999999998</x:v>
      </x:c>
      <x:c r="D49" s="16" t="n">
        <x:f>Inputs!D31</x:f>
        <x:v>30</x:v>
      </x:c>
      <x:c r="E49" s="16" t="n">
        <x:f>ROUNDUP(Inputs!$B$4/D49,0)</x:f>
        <x:v>1</x:v>
      </x:c>
      <x:c r="F49" s="16" t="str">
        <x:f>Inputs!A12</x:f>
        <x:v>gwp_fossil</x:v>
      </x:c>
      <x:c r="G49" s="16" t="str">
        <x:f>Inputs!C12</x:f>
        <x:v>kg CO2e</x:v>
      </x:c>
      <x:c r="H49" s="9" t="str">
        <x:f>IF(Inputs!G31="","",Inputs!G31)</x:f>
      </x:c>
      <x:c r="I49" s="9" t="str">
        <x:f>IF(H49="","",H49*C49/D49)</x:f>
      </x:c>
      <x:c r="J49" s="9" t="str">
        <x:f>IF(H49="","",H49*C49*E49)</x:f>
      </x:c>
      <x:c r="K49" s="1" t="str">
        <x:f>IF(H49&lt;&gt;"","Complete",IF(C49=0,"Not required","Missing"))</x:f>
        <x:v>Missing</x:v>
      </x:c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5" t="str">
        <x:f>Inputs!A31</x:f>
        <x:v>Technology</x:v>
      </x:c>
      <x:c r="B50" s="15" t="str">
        <x:f>Inputs!B31</x:f>
        <x:v>Glazing system</x:v>
      </x:c>
      <x:c r="C50" s="16" t="n">
        <x:f>Inputs!C31</x:f>
        <x:v>182.57999999999998</x:v>
      </x:c>
      <x:c r="D50" s="16" t="n">
        <x:f>Inputs!D31</x:f>
        <x:v>30</x:v>
      </x:c>
      <x:c r="E50" s="16" t="n">
        <x:f>ROUNDUP(Inputs!$B$4/D50,0)</x:f>
        <x:v>1</x:v>
      </x:c>
      <x:c r="F50" s="16" t="str">
        <x:f>Inputs!A13</x:f>
        <x:v>gwp_biogenic</x:v>
      </x:c>
      <x:c r="G50" s="16" t="str">
        <x:f>Inputs!C13</x:f>
        <x:v>kg CO2e</x:v>
      </x:c>
      <x:c r="H50" s="9" t="str">
        <x:f>IF(Inputs!H31="","",Inputs!H31)</x:f>
      </x:c>
      <x:c r="I50" s="9" t="str">
        <x:f>IF(H50="","",H50*C50/D50)</x:f>
      </x:c>
      <x:c r="J50" s="9" t="str">
        <x:f>IF(H50="","",H50*C50*E50)</x:f>
      </x:c>
      <x:c r="K50" s="1" t="str">
        <x:f>IF(H50&lt;&gt;"","Complete",IF(C50=0,"Not required","Missing"))</x:f>
        <x:v>Missing</x:v>
      </x:c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5" t="str">
        <x:f>Inputs!A31</x:f>
        <x:v>Technology</x:v>
      </x:c>
      <x:c r="B51" s="15" t="str">
        <x:f>Inputs!B31</x:f>
        <x:v>Glazing system</x:v>
      </x:c>
      <x:c r="C51" s="16" t="n">
        <x:f>Inputs!C31</x:f>
        <x:v>182.57999999999998</x:v>
      </x:c>
      <x:c r="D51" s="16" t="n">
        <x:f>Inputs!D31</x:f>
        <x:v>30</x:v>
      </x:c>
      <x:c r="E51" s="16" t="n">
        <x:f>ROUNDUP(Inputs!$B$4/D51,0)</x:f>
        <x:v>1</x:v>
      </x:c>
      <x:c r="F51" s="16" t="str">
        <x:f>Inputs!A14</x:f>
        <x:v>gwp_luluc</x:v>
      </x:c>
      <x:c r="G51" s="16" t="str">
        <x:f>Inputs!C14</x:f>
        <x:v>kg CO2e</x:v>
      </x:c>
      <x:c r="H51" s="9" t="str">
        <x:f>IF(Inputs!I31="","",Inputs!I31)</x:f>
      </x:c>
      <x:c r="I51" s="9" t="str">
        <x:f>IF(H51="","",H51*C51/D51)</x:f>
      </x:c>
      <x:c r="J51" s="9" t="str">
        <x:f>IF(H51="","",H51*C51*E51)</x:f>
      </x:c>
      <x:c r="K51" s="1" t="str">
        <x:f>IF(H51&lt;&gt;"","Complete",IF(C51=0,"Not required","Missing"))</x:f>
        <x:v>Missing</x:v>
      </x:c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5" t="str">
        <x:f>Inputs!A31</x:f>
        <x:v>Technology</x:v>
      </x:c>
      <x:c r="B52" s="15" t="str">
        <x:f>Inputs!B31</x:f>
        <x:v>Glazing system</x:v>
      </x:c>
      <x:c r="C52" s="16" t="n">
        <x:f>Inputs!C31</x:f>
        <x:v>182.57999999999998</x:v>
      </x:c>
      <x:c r="D52" s="16" t="n">
        <x:f>Inputs!D31</x:f>
        <x:v>30</x:v>
      </x:c>
      <x:c r="E52" s="16" t="n">
        <x:f>ROUNDUP(Inputs!$B$4/D52,0)</x:f>
        <x:v>1</x:v>
      </x:c>
      <x:c r="F52" s="16" t="str">
        <x:f>Inputs!A15</x:f>
        <x:v>odp</x:v>
      </x:c>
      <x:c r="G52" s="16" t="str">
        <x:f>Inputs!C15</x:f>
        <x:v>kg CFC-11e</x:v>
      </x:c>
      <x:c r="H52" s="9" t="str">
        <x:f>IF(Inputs!J31="","",Inputs!J31)</x:f>
      </x:c>
      <x:c r="I52" s="9" t="str">
        <x:f>IF(H52="","",H52*C52/D52)</x:f>
      </x:c>
      <x:c r="J52" s="9" t="str">
        <x:f>IF(H52="","",H52*C52*E52)</x:f>
      </x:c>
      <x:c r="K52" s="1" t="str">
        <x:f>IF(H52&lt;&gt;"","Complete",IF(C52=0,"Not required","Missing"))</x:f>
        <x:v>Missing</x:v>
      </x:c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5" t="str">
        <x:f>Inputs!A31</x:f>
        <x:v>Technology</x:v>
      </x:c>
      <x:c r="B53" s="15" t="str">
        <x:f>Inputs!B31</x:f>
        <x:v>Glazing system</x:v>
      </x:c>
      <x:c r="C53" s="16" t="n">
        <x:f>Inputs!C31</x:f>
        <x:v>182.57999999999998</x:v>
      </x:c>
      <x:c r="D53" s="16" t="n">
        <x:f>Inputs!D31</x:f>
        <x:v>30</x:v>
      </x:c>
      <x:c r="E53" s="16" t="n">
        <x:f>ROUNDUP(Inputs!$B$4/D53,0)</x:f>
        <x:v>1</x:v>
      </x:c>
      <x:c r="F53" s="16" t="str">
        <x:f>Inputs!A16</x:f>
        <x:v>ap</x:v>
      </x:c>
      <x:c r="G53" s="16" t="str">
        <x:f>Inputs!C16</x:f>
        <x:v>mol H+e</x:v>
      </x:c>
      <x:c r="H53" s="9" t="str">
        <x:f>IF(Inputs!K31="","",Inputs!K31)</x:f>
      </x:c>
      <x:c r="I53" s="9" t="str">
        <x:f>IF(H53="","",H53*C53/D53)</x:f>
      </x:c>
      <x:c r="J53" s="9" t="str">
        <x:f>IF(H53="","",H53*C53*E53)</x:f>
      </x:c>
      <x:c r="K53" s="1" t="str">
        <x:f>IF(H53&lt;&gt;"","Complete",IF(C53=0,"Not required","Missing"))</x:f>
        <x:v>Missing</x:v>
      </x:c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5" t="str">
        <x:f>Inputs!A31</x:f>
        <x:v>Technology</x:v>
      </x:c>
      <x:c r="B54" s="15" t="str">
        <x:f>Inputs!B31</x:f>
        <x:v>Glazing system</x:v>
      </x:c>
      <x:c r="C54" s="16" t="n">
        <x:f>Inputs!C31</x:f>
        <x:v>182.57999999999998</x:v>
      </x:c>
      <x:c r="D54" s="16" t="n">
        <x:f>Inputs!D31</x:f>
        <x:v>30</x:v>
      </x:c>
      <x:c r="E54" s="16" t="n">
        <x:f>ROUNDUP(Inputs!$B$4/D54,0)</x:f>
        <x:v>1</x:v>
      </x:c>
      <x:c r="F54" s="16" t="str">
        <x:f>Inputs!A17</x:f>
        <x:v>ep_freshwater</x:v>
      </x:c>
      <x:c r="G54" s="16" t="str">
        <x:f>Inputs!C17</x:f>
        <x:v>kg PO4e</x:v>
      </x:c>
      <x:c r="H54" s="9" t="str">
        <x:f>IF(Inputs!L31="","",Inputs!L31)</x:f>
      </x:c>
      <x:c r="I54" s="9" t="str">
        <x:f>IF(H54="","",H54*C54/D54)</x:f>
      </x:c>
      <x:c r="J54" s="9" t="str">
        <x:f>IF(H54="","",H54*C54*E54)</x:f>
      </x:c>
      <x:c r="K54" s="1" t="str">
        <x:f>IF(H54&lt;&gt;"","Complete",IF(C54=0,"Not required","Missing"))</x:f>
        <x:v>Missing</x:v>
      </x:c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5" t="str">
        <x:f>Inputs!A31</x:f>
        <x:v>Technology</x:v>
      </x:c>
      <x:c r="B55" s="15" t="str">
        <x:f>Inputs!B31</x:f>
        <x:v>Glazing system</x:v>
      </x:c>
      <x:c r="C55" s="16" t="n">
        <x:f>Inputs!C31</x:f>
        <x:v>182.57999999999998</x:v>
      </x:c>
      <x:c r="D55" s="16" t="n">
        <x:f>Inputs!D31</x:f>
        <x:v>30</x:v>
      </x:c>
      <x:c r="E55" s="16" t="n">
        <x:f>ROUNDUP(Inputs!$B$4/D55,0)</x:f>
        <x:v>1</x:v>
      </x:c>
      <x:c r="F55" s="16" t="str">
        <x:f>Inputs!A18</x:f>
        <x:v>ep_marine</x:v>
      </x:c>
      <x:c r="G55" s="16" t="str">
        <x:f>Inputs!C18</x:f>
        <x:v>kg Ne</x:v>
      </x:c>
      <x:c r="H55" s="9" t="str">
        <x:f>IF(Inputs!M31="","",Inputs!M31)</x:f>
      </x:c>
      <x:c r="I55" s="9" t="str">
        <x:f>IF(H55="","",H55*C55/D55)</x:f>
      </x:c>
      <x:c r="J55" s="9" t="str">
        <x:f>IF(H55="","",H55*C55*E55)</x:f>
      </x:c>
      <x:c r="K55" s="1" t="str">
        <x:f>IF(H55&lt;&gt;"","Complete",IF(C55=0,"Not required","Missing"))</x:f>
        <x:v>Missing</x:v>
      </x:c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5" t="str">
        <x:f>Inputs!A31</x:f>
        <x:v>Technology</x:v>
      </x:c>
      <x:c r="B56" s="15" t="str">
        <x:f>Inputs!B31</x:f>
        <x:v>Glazing system</x:v>
      </x:c>
      <x:c r="C56" s="16" t="n">
        <x:f>Inputs!C31</x:f>
        <x:v>182.57999999999998</x:v>
      </x:c>
      <x:c r="D56" s="16" t="n">
        <x:f>Inputs!D31</x:f>
        <x:v>30</x:v>
      </x:c>
      <x:c r="E56" s="16" t="n">
        <x:f>ROUNDUP(Inputs!$B$4/D56,0)</x:f>
        <x:v>1</x:v>
      </x:c>
      <x:c r="F56" s="16" t="str">
        <x:f>Inputs!A19</x:f>
        <x:v>ep_terrestrial</x:v>
      </x:c>
      <x:c r="G56" s="16" t="str">
        <x:f>Inputs!C19</x:f>
        <x:v>mol Ne</x:v>
      </x:c>
      <x:c r="H56" s="9" t="str">
        <x:f>IF(Inputs!N31="","",Inputs!N31)</x:f>
      </x:c>
      <x:c r="I56" s="9" t="str">
        <x:f>IF(H56="","",H56*C56/D56)</x:f>
      </x:c>
      <x:c r="J56" s="9" t="str">
        <x:f>IF(H56="","",H56*C56*E56)</x:f>
      </x:c>
      <x:c r="K56" s="1" t="str">
        <x:f>IF(H56&lt;&gt;"","Complete",IF(C56=0,"Not required","Missing"))</x:f>
        <x:v>Missing</x:v>
      </x:c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5" t="str">
        <x:f>Inputs!A31</x:f>
        <x:v>Technology</x:v>
      </x:c>
      <x:c r="B57" s="15" t="str">
        <x:f>Inputs!B31</x:f>
        <x:v>Glazing system</x:v>
      </x:c>
      <x:c r="C57" s="16" t="n">
        <x:f>Inputs!C31</x:f>
        <x:v>182.57999999999998</x:v>
      </x:c>
      <x:c r="D57" s="16" t="n">
        <x:f>Inputs!D31</x:f>
        <x:v>30</x:v>
      </x:c>
      <x:c r="E57" s="16" t="n">
        <x:f>ROUNDUP(Inputs!$B$4/D57,0)</x:f>
        <x:v>1</x:v>
      </x:c>
      <x:c r="F57" s="16" t="str">
        <x:f>Inputs!A20</x:f>
        <x:v>pocp</x:v>
      </x:c>
      <x:c r="G57" s="16" t="str">
        <x:f>Inputs!C20</x:f>
        <x:v>kg NMVOCe</x:v>
      </x:c>
      <x:c r="H57" s="9" t="str">
        <x:f>IF(Inputs!O31="","",Inputs!O31)</x:f>
      </x:c>
      <x:c r="I57" s="9" t="str">
        <x:f>IF(H57="","",H57*C57/D57)</x:f>
      </x:c>
      <x:c r="J57" s="9" t="str">
        <x:f>IF(H57="","",H57*C57*E57)</x:f>
      </x:c>
      <x:c r="K57" s="1" t="str">
        <x:f>IF(H57&lt;&gt;"","Complete",IF(C57=0,"Not required","Missing"))</x:f>
        <x:v>Missing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5" t="str">
        <x:f>Inputs!A31</x:f>
        <x:v>Technology</x:v>
      </x:c>
      <x:c r="B58" s="15" t="str">
        <x:f>Inputs!B31</x:f>
        <x:v>Glazing system</x:v>
      </x:c>
      <x:c r="C58" s="16" t="n">
        <x:f>Inputs!C31</x:f>
        <x:v>182.57999999999998</x:v>
      </x:c>
      <x:c r="D58" s="16" t="n">
        <x:f>Inputs!D31</x:f>
        <x:v>30</x:v>
      </x:c>
      <x:c r="E58" s="16" t="n">
        <x:f>ROUNDUP(Inputs!$B$4/D58,0)</x:f>
        <x:v>1</x:v>
      </x:c>
      <x:c r="F58" s="16" t="str">
        <x:f>Inputs!A21</x:f>
        <x:v>adp_minerals_metals</x:v>
      </x:c>
      <x:c r="G58" s="16" t="str">
        <x:f>Inputs!C21</x:f>
        <x:v>kg Sbe</x:v>
      </x:c>
      <x:c r="H58" s="9" t="str">
        <x:f>IF(Inputs!P31="","",Inputs!P31)</x:f>
      </x:c>
      <x:c r="I58" s="9" t="str">
        <x:f>IF(H58="","",H58*C58/D58)</x:f>
      </x:c>
      <x:c r="J58" s="9" t="str">
        <x:f>IF(H58="","",H58*C58*E58)</x:f>
      </x:c>
      <x:c r="K58" s="1" t="str">
        <x:f>IF(H58&lt;&gt;"","Complete",IF(C58=0,"Not required","Missing"))</x:f>
        <x:v>Missing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5" t="str">
        <x:f>Inputs!A31</x:f>
        <x:v>Technology</x:v>
      </x:c>
      <x:c r="B59" s="15" t="str">
        <x:f>Inputs!B31</x:f>
        <x:v>Glazing system</x:v>
      </x:c>
      <x:c r="C59" s="16" t="n">
        <x:f>Inputs!C31</x:f>
        <x:v>182.57999999999998</x:v>
      </x:c>
      <x:c r="D59" s="16" t="n">
        <x:f>Inputs!D31</x:f>
        <x:v>30</x:v>
      </x:c>
      <x:c r="E59" s="16" t="n">
        <x:f>ROUNDUP(Inputs!$B$4/D59,0)</x:f>
        <x:v>1</x:v>
      </x:c>
      <x:c r="F59" s="16" t="str">
        <x:f>Inputs!A22</x:f>
        <x:v>adp_fossil</x:v>
      </x:c>
      <x:c r="G59" s="16" t="str">
        <x:f>Inputs!C22</x:f>
        <x:v>MJ net calorific value</x:v>
      </x:c>
      <x:c r="H59" s="9" t="str">
        <x:f>IF(Inputs!Q31="","",Inputs!Q31)</x:f>
      </x:c>
      <x:c r="I59" s="9" t="str">
        <x:f>IF(H59="","",H59*C59/D59)</x:f>
      </x:c>
      <x:c r="J59" s="9" t="str">
        <x:f>IF(H59="","",H59*C59*E59)</x:f>
      </x:c>
      <x:c r="K59" s="1" t="str">
        <x:f>IF(H59&lt;&gt;"","Complete",IF(C59=0,"Not required","Missing"))</x:f>
        <x:v>Missing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5" t="str">
        <x:f>Inputs!A31</x:f>
        <x:v>Technology</x:v>
      </x:c>
      <x:c r="B60" s="15" t="str">
        <x:f>Inputs!B31</x:f>
        <x:v>Glazing system</x:v>
      </x:c>
      <x:c r="C60" s="16" t="n">
        <x:f>Inputs!C31</x:f>
        <x:v>182.57999999999998</x:v>
      </x:c>
      <x:c r="D60" s="16" t="n">
        <x:f>Inputs!D31</x:f>
        <x:v>30</x:v>
      </x:c>
      <x:c r="E60" s="16" t="n">
        <x:f>ROUNDUP(Inputs!$B$4/D60,0)</x:f>
        <x:v>1</x:v>
      </x:c>
      <x:c r="F60" s="16" t="str">
        <x:f>Inputs!A23</x:f>
        <x:v>wdp</x:v>
      </x:c>
      <x:c r="G60" s="16" t="str">
        <x:f>Inputs!C23</x:f>
        <x:v>m3 world-e deprived</x:v>
      </x:c>
      <x:c r="H60" s="9" t="str">
        <x:f>IF(Inputs!R31="","",Inputs!R31)</x:f>
      </x:c>
      <x:c r="I60" s="9" t="str">
        <x:f>IF(H60="","",H60*C60/D60)</x:f>
      </x:c>
      <x:c r="J60" s="9" t="str">
        <x:f>IF(H60="","",H60*C60*E60)</x:f>
      </x:c>
      <x:c r="K60" s="1" t="str">
        <x:f>IF(H60&lt;&gt;"","Complete",IF(C60=0,"Not required","Missing"))</x:f>
        <x:v>Missing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5" t="str">
        <x:f>Inputs!A32</x:f>
        <x:v>Technology</x:v>
      </x:c>
      <x:c r="B61" s="15" t="str">
        <x:f>Inputs!B32</x:f>
        <x:v>Heat pump system</x:v>
      </x:c>
      <x:c r="C61" s="16" t="n">
        <x:f>Inputs!C32</x:f>
        <x:v>3</x:v>
      </x:c>
      <x:c r="D61" s="16" t="n">
        <x:f>Inputs!D32</x:f>
        <x:v>15</x:v>
      </x:c>
      <x:c r="E61" s="16" t="n">
        <x:f>ROUNDUP(Inputs!$B$4/D61,0)</x:f>
        <x:v>2</x:v>
      </x:c>
      <x:c r="F61" s="16" t="str">
        <x:f>Inputs!A10</x:f>
        <x:v>primary_energy</x:v>
      </x:c>
      <x:c r="G61" s="16" t="str">
        <x:f>Inputs!C10</x:f>
        <x:v>kWh</x:v>
      </x:c>
      <x:c r="H61" s="9" t="n">
        <x:f>IF(Inputs!E32="","",Inputs!E32)</x:f>
        <x:v>6206.388888888889</x:v>
      </x:c>
      <x:c r="I61" s="9" t="n">
        <x:f>IF(H61="","",H61*C61/D61)</x:f>
        <x:v>1241.2777777777776</x:v>
      </x:c>
      <x:c r="J61" s="9" t="n">
        <x:f>IF(H61="","",H61*C61*E61)</x:f>
        <x:v>37238.33333333333</x:v>
      </x:c>
      <x:c r="K61" s="1" t="str">
        <x:f>IF(H61&lt;&gt;"","Complete",IF(C61=0,"Not required","Missing"))</x:f>
        <x:v>Complete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5" t="str">
        <x:f>Inputs!A32</x:f>
        <x:v>Technology</x:v>
      </x:c>
      <x:c r="B62" s="15" t="str">
        <x:f>Inputs!B32</x:f>
        <x:v>Heat pump system</x:v>
      </x:c>
      <x:c r="C62" s="16" t="n">
        <x:f>Inputs!C32</x:f>
        <x:v>3</x:v>
      </x:c>
      <x:c r="D62" s="16" t="n">
        <x:f>Inputs!D32</x:f>
        <x:v>15</x:v>
      </x:c>
      <x:c r="E62" s="16" t="n">
        <x:f>ROUNDUP(Inputs!$B$4/D62,0)</x:f>
        <x:v>2</x:v>
      </x:c>
      <x:c r="F62" s="16" t="str">
        <x:f>Inputs!A11</x:f>
        <x:v>gwp_total</x:v>
      </x:c>
      <x:c r="G62" s="16" t="str">
        <x:f>Inputs!C11</x:f>
        <x:v>kg CO2e</x:v>
      </x:c>
      <x:c r="H62" s="9" t="n">
        <x:f>IF(Inputs!F32="","",Inputs!F32)</x:f>
        <x:v>2288</x:v>
      </x:c>
      <x:c r="I62" s="9" t="n">
        <x:f>IF(H62="","",H62*C62/D62)</x:f>
        <x:v>457.6</x:v>
      </x:c>
      <x:c r="J62" s="9" t="n">
        <x:f>IF(H62="","",H62*C62*E62)</x:f>
        <x:v>13728</x:v>
      </x:c>
      <x:c r="K62" s="1" t="str">
        <x:f>IF(H62&lt;&gt;"","Complete",IF(C62=0,"Not required","Missing"))</x:f>
        <x:v>Complete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5" t="str">
        <x:f>Inputs!A32</x:f>
        <x:v>Technology</x:v>
      </x:c>
      <x:c r="B63" s="15" t="str">
        <x:f>Inputs!B32</x:f>
        <x:v>Heat pump system</x:v>
      </x:c>
      <x:c r="C63" s="16" t="n">
        <x:f>Inputs!C32</x:f>
        <x:v>3</x:v>
      </x:c>
      <x:c r="D63" s="16" t="n">
        <x:f>Inputs!D32</x:f>
        <x:v>15</x:v>
      </x:c>
      <x:c r="E63" s="16" t="n">
        <x:f>ROUNDUP(Inputs!$B$4/D63,0)</x:f>
        <x:v>2</x:v>
      </x:c>
      <x:c r="F63" s="16" t="str">
        <x:f>Inputs!A12</x:f>
        <x:v>gwp_fossil</x:v>
      </x:c>
      <x:c r="G63" s="16" t="str">
        <x:f>Inputs!C12</x:f>
        <x:v>kg CO2e</x:v>
      </x:c>
      <x:c r="H63" s="9" t="str">
        <x:f>IF(Inputs!G32="","",Inputs!G32)</x:f>
      </x:c>
      <x:c r="I63" s="9" t="str">
        <x:f>IF(H63="","",H63*C63/D63)</x:f>
      </x:c>
      <x:c r="J63" s="9" t="str">
        <x:f>IF(H63="","",H63*C63*E63)</x:f>
      </x:c>
      <x:c r="K63" s="1" t="str">
        <x:f>IF(H63&lt;&gt;"","Complete",IF(C63=0,"Not required","Missing"))</x:f>
        <x:v>Missing</x:v>
      </x:c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5" t="str">
        <x:f>Inputs!A32</x:f>
        <x:v>Technology</x:v>
      </x:c>
      <x:c r="B64" s="15" t="str">
        <x:f>Inputs!B32</x:f>
        <x:v>Heat pump system</x:v>
      </x:c>
      <x:c r="C64" s="16" t="n">
        <x:f>Inputs!C32</x:f>
        <x:v>3</x:v>
      </x:c>
      <x:c r="D64" s="16" t="n">
        <x:f>Inputs!D32</x:f>
        <x:v>15</x:v>
      </x:c>
      <x:c r="E64" s="16" t="n">
        <x:f>ROUNDUP(Inputs!$B$4/D64,0)</x:f>
        <x:v>2</x:v>
      </x:c>
      <x:c r="F64" s="16" t="str">
        <x:f>Inputs!A13</x:f>
        <x:v>gwp_biogenic</x:v>
      </x:c>
      <x:c r="G64" s="16" t="str">
        <x:f>Inputs!C13</x:f>
        <x:v>kg CO2e</x:v>
      </x:c>
      <x:c r="H64" s="9" t="str">
        <x:f>IF(Inputs!H32="","",Inputs!H32)</x:f>
      </x:c>
      <x:c r="I64" s="9" t="str">
        <x:f>IF(H64="","",H64*C64/D64)</x:f>
      </x:c>
      <x:c r="J64" s="9" t="str">
        <x:f>IF(H64="","",H64*C64*E64)</x:f>
      </x:c>
      <x:c r="K64" s="1" t="str">
        <x:f>IF(H64&lt;&gt;"","Complete",IF(C64=0,"Not required","Missing"))</x:f>
        <x:v>Missing</x:v>
      </x:c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5" t="str">
        <x:f>Inputs!A32</x:f>
        <x:v>Technology</x:v>
      </x:c>
      <x:c r="B65" s="15" t="str">
        <x:f>Inputs!B32</x:f>
        <x:v>Heat pump system</x:v>
      </x:c>
      <x:c r="C65" s="16" t="n">
        <x:f>Inputs!C32</x:f>
        <x:v>3</x:v>
      </x:c>
      <x:c r="D65" s="16" t="n">
        <x:f>Inputs!D32</x:f>
        <x:v>15</x:v>
      </x:c>
      <x:c r="E65" s="16" t="n">
        <x:f>ROUNDUP(Inputs!$B$4/D65,0)</x:f>
        <x:v>2</x:v>
      </x:c>
      <x:c r="F65" s="16" t="str">
        <x:f>Inputs!A14</x:f>
        <x:v>gwp_luluc</x:v>
      </x:c>
      <x:c r="G65" s="16" t="str">
        <x:f>Inputs!C14</x:f>
        <x:v>kg CO2e</x:v>
      </x:c>
      <x:c r="H65" s="9" t="str">
        <x:f>IF(Inputs!I32="","",Inputs!I32)</x:f>
      </x:c>
      <x:c r="I65" s="9" t="str">
        <x:f>IF(H65="","",H65*C65/D65)</x:f>
      </x:c>
      <x:c r="J65" s="9" t="str">
        <x:f>IF(H65="","",H65*C65*E65)</x:f>
      </x:c>
      <x:c r="K65" s="1" t="str">
        <x:f>IF(H65&lt;&gt;"","Complete",IF(C65=0,"Not required","Missing"))</x:f>
        <x:v>Missing</x:v>
      </x:c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5" t="str">
        <x:f>Inputs!A32</x:f>
        <x:v>Technology</x:v>
      </x:c>
      <x:c r="B66" s="15" t="str">
        <x:f>Inputs!B32</x:f>
        <x:v>Heat pump system</x:v>
      </x:c>
      <x:c r="C66" s="16" t="n">
        <x:f>Inputs!C32</x:f>
        <x:v>3</x:v>
      </x:c>
      <x:c r="D66" s="16" t="n">
        <x:f>Inputs!D32</x:f>
        <x:v>15</x:v>
      </x:c>
      <x:c r="E66" s="16" t="n">
        <x:f>ROUNDUP(Inputs!$B$4/D66,0)</x:f>
        <x:v>2</x:v>
      </x:c>
      <x:c r="F66" s="16" t="str">
        <x:f>Inputs!A15</x:f>
        <x:v>odp</x:v>
      </x:c>
      <x:c r="G66" s="16" t="str">
        <x:f>Inputs!C15</x:f>
        <x:v>kg CFC-11e</x:v>
      </x:c>
      <x:c r="H66" s="9" t="str">
        <x:f>IF(Inputs!J32="","",Inputs!J32)</x:f>
      </x:c>
      <x:c r="I66" s="9" t="str">
        <x:f>IF(H66="","",H66*C66/D66)</x:f>
      </x:c>
      <x:c r="J66" s="9" t="str">
        <x:f>IF(H66="","",H66*C66*E66)</x:f>
      </x:c>
      <x:c r="K66" s="1" t="str">
        <x:f>IF(H66&lt;&gt;"","Complete",IF(C66=0,"Not required","Missing"))</x:f>
        <x:v>Missing</x:v>
      </x:c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5" t="str">
        <x:f>Inputs!A32</x:f>
        <x:v>Technology</x:v>
      </x:c>
      <x:c r="B67" s="15" t="str">
        <x:f>Inputs!B32</x:f>
        <x:v>Heat pump system</x:v>
      </x:c>
      <x:c r="C67" s="16" t="n">
        <x:f>Inputs!C32</x:f>
        <x:v>3</x:v>
      </x:c>
      <x:c r="D67" s="16" t="n">
        <x:f>Inputs!D32</x:f>
        <x:v>15</x:v>
      </x:c>
      <x:c r="E67" s="16" t="n">
        <x:f>ROUNDUP(Inputs!$B$4/D67,0)</x:f>
        <x:v>2</x:v>
      </x:c>
      <x:c r="F67" s="16" t="str">
        <x:f>Inputs!A16</x:f>
        <x:v>ap</x:v>
      </x:c>
      <x:c r="G67" s="16" t="str">
        <x:f>Inputs!C16</x:f>
        <x:v>mol H+e</x:v>
      </x:c>
      <x:c r="H67" s="9" t="str">
        <x:f>IF(Inputs!K32="","",Inputs!K32)</x:f>
      </x:c>
      <x:c r="I67" s="9" t="str">
        <x:f>IF(H67="","",H67*C67/D67)</x:f>
      </x:c>
      <x:c r="J67" s="9" t="str">
        <x:f>IF(H67="","",H67*C67*E67)</x:f>
      </x:c>
      <x:c r="K67" s="1" t="str">
        <x:f>IF(H67&lt;&gt;"","Complete",IF(C67=0,"Not required","Missing"))</x:f>
        <x:v>Missing</x:v>
      </x:c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5" t="str">
        <x:f>Inputs!A32</x:f>
        <x:v>Technology</x:v>
      </x:c>
      <x:c r="B68" s="15" t="str">
        <x:f>Inputs!B32</x:f>
        <x:v>Heat pump system</x:v>
      </x:c>
      <x:c r="C68" s="16" t="n">
        <x:f>Inputs!C32</x:f>
        <x:v>3</x:v>
      </x:c>
      <x:c r="D68" s="16" t="n">
        <x:f>Inputs!D32</x:f>
        <x:v>15</x:v>
      </x:c>
      <x:c r="E68" s="16" t="n">
        <x:f>ROUNDUP(Inputs!$B$4/D68,0)</x:f>
        <x:v>2</x:v>
      </x:c>
      <x:c r="F68" s="16" t="str">
        <x:f>Inputs!A17</x:f>
        <x:v>ep_freshwater</x:v>
      </x:c>
      <x:c r="G68" s="16" t="str">
        <x:f>Inputs!C17</x:f>
        <x:v>kg PO4e</x:v>
      </x:c>
      <x:c r="H68" s="9" t="str">
        <x:f>IF(Inputs!L32="","",Inputs!L32)</x:f>
      </x:c>
      <x:c r="I68" s="9" t="str">
        <x:f>IF(H68="","",H68*C68/D68)</x:f>
      </x:c>
      <x:c r="J68" s="9" t="str">
        <x:f>IF(H68="","",H68*C68*E68)</x:f>
      </x:c>
      <x:c r="K68" s="1" t="str">
        <x:f>IF(H68&lt;&gt;"","Complete",IF(C68=0,"Not required","Missing"))</x:f>
        <x:v>Missing</x:v>
      </x:c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5" t="str">
        <x:f>Inputs!A32</x:f>
        <x:v>Technology</x:v>
      </x:c>
      <x:c r="B69" s="15" t="str">
        <x:f>Inputs!B32</x:f>
        <x:v>Heat pump system</x:v>
      </x:c>
      <x:c r="C69" s="16" t="n">
        <x:f>Inputs!C32</x:f>
        <x:v>3</x:v>
      </x:c>
      <x:c r="D69" s="16" t="n">
        <x:f>Inputs!D32</x:f>
        <x:v>15</x:v>
      </x:c>
      <x:c r="E69" s="16" t="n">
        <x:f>ROUNDUP(Inputs!$B$4/D69,0)</x:f>
        <x:v>2</x:v>
      </x:c>
      <x:c r="F69" s="16" t="str">
        <x:f>Inputs!A18</x:f>
        <x:v>ep_marine</x:v>
      </x:c>
      <x:c r="G69" s="16" t="str">
        <x:f>Inputs!C18</x:f>
        <x:v>kg Ne</x:v>
      </x:c>
      <x:c r="H69" s="9" t="str">
        <x:f>IF(Inputs!M32="","",Inputs!M32)</x:f>
      </x:c>
      <x:c r="I69" s="9" t="str">
        <x:f>IF(H69="","",H69*C69/D69)</x:f>
      </x:c>
      <x:c r="J69" s="9" t="str">
        <x:f>IF(H69="","",H69*C69*E69)</x:f>
      </x:c>
      <x:c r="K69" s="1" t="str">
        <x:f>IF(H69&lt;&gt;"","Complete",IF(C69=0,"Not required","Missing"))</x:f>
        <x:v>Missing</x:v>
      </x:c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5" t="str">
        <x:f>Inputs!A32</x:f>
        <x:v>Technology</x:v>
      </x:c>
      <x:c r="B70" s="15" t="str">
        <x:f>Inputs!B32</x:f>
        <x:v>Heat pump system</x:v>
      </x:c>
      <x:c r="C70" s="16" t="n">
        <x:f>Inputs!C32</x:f>
        <x:v>3</x:v>
      </x:c>
      <x:c r="D70" s="16" t="n">
        <x:f>Inputs!D32</x:f>
        <x:v>15</x:v>
      </x:c>
      <x:c r="E70" s="16" t="n">
        <x:f>ROUNDUP(Inputs!$B$4/D70,0)</x:f>
        <x:v>2</x:v>
      </x:c>
      <x:c r="F70" s="16" t="str">
        <x:f>Inputs!A19</x:f>
        <x:v>ep_terrestrial</x:v>
      </x:c>
      <x:c r="G70" s="16" t="str">
        <x:f>Inputs!C19</x:f>
        <x:v>mol Ne</x:v>
      </x:c>
      <x:c r="H70" s="9" t="str">
        <x:f>IF(Inputs!N32="","",Inputs!N32)</x:f>
      </x:c>
      <x:c r="I70" s="9" t="str">
        <x:f>IF(H70="","",H70*C70/D70)</x:f>
      </x:c>
      <x:c r="J70" s="9" t="str">
        <x:f>IF(H70="","",H70*C70*E70)</x:f>
      </x:c>
      <x:c r="K70" s="1" t="str">
        <x:f>IF(H70&lt;&gt;"","Complete",IF(C70=0,"Not required","Missing"))</x:f>
        <x:v>Missing</x:v>
      </x:c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5" t="str">
        <x:f>Inputs!A32</x:f>
        <x:v>Technology</x:v>
      </x:c>
      <x:c r="B71" s="15" t="str">
        <x:f>Inputs!B32</x:f>
        <x:v>Heat pump system</x:v>
      </x:c>
      <x:c r="C71" s="16" t="n">
        <x:f>Inputs!C32</x:f>
        <x:v>3</x:v>
      </x:c>
      <x:c r="D71" s="16" t="n">
        <x:f>Inputs!D32</x:f>
        <x:v>15</x:v>
      </x:c>
      <x:c r="E71" s="16" t="n">
        <x:f>ROUNDUP(Inputs!$B$4/D71,0)</x:f>
        <x:v>2</x:v>
      </x:c>
      <x:c r="F71" s="16" t="str">
        <x:f>Inputs!A20</x:f>
        <x:v>pocp</x:v>
      </x:c>
      <x:c r="G71" s="16" t="str">
        <x:f>Inputs!C20</x:f>
        <x:v>kg NMVOCe</x:v>
      </x:c>
      <x:c r="H71" s="9" t="str">
        <x:f>IF(Inputs!O32="","",Inputs!O32)</x:f>
      </x:c>
      <x:c r="I71" s="9" t="str">
        <x:f>IF(H71="","",H71*C71/D71)</x:f>
      </x:c>
      <x:c r="J71" s="9" t="str">
        <x:f>IF(H71="","",H71*C71*E71)</x:f>
      </x:c>
      <x:c r="K71" s="1" t="str">
        <x:f>IF(H71&lt;&gt;"","Complete",IF(C71=0,"Not required","Missing"))</x:f>
        <x:v>Missing</x:v>
      </x:c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5" t="str">
        <x:f>Inputs!A32</x:f>
        <x:v>Technology</x:v>
      </x:c>
      <x:c r="B72" s="15" t="str">
        <x:f>Inputs!B32</x:f>
        <x:v>Heat pump system</x:v>
      </x:c>
      <x:c r="C72" s="16" t="n">
        <x:f>Inputs!C32</x:f>
        <x:v>3</x:v>
      </x:c>
      <x:c r="D72" s="16" t="n">
        <x:f>Inputs!D32</x:f>
        <x:v>15</x:v>
      </x:c>
      <x:c r="E72" s="16" t="n">
        <x:f>ROUNDUP(Inputs!$B$4/D72,0)</x:f>
        <x:v>2</x:v>
      </x:c>
      <x:c r="F72" s="16" t="str">
        <x:f>Inputs!A21</x:f>
        <x:v>adp_minerals_metals</x:v>
      </x:c>
      <x:c r="G72" s="16" t="str">
        <x:f>Inputs!C21</x:f>
        <x:v>kg Sbe</x:v>
      </x:c>
      <x:c r="H72" s="9" t="str">
        <x:f>IF(Inputs!P32="","",Inputs!P32)</x:f>
      </x:c>
      <x:c r="I72" s="9" t="str">
        <x:f>IF(H72="","",H72*C72/D72)</x:f>
      </x:c>
      <x:c r="J72" s="9" t="str">
        <x:f>IF(H72="","",H72*C72*E72)</x:f>
      </x:c>
      <x:c r="K72" s="1" t="str">
        <x:f>IF(H72&lt;&gt;"","Complete",IF(C72=0,"Not required","Missing"))</x:f>
        <x:v>Missing</x:v>
      </x:c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5" t="str">
        <x:f>Inputs!A32</x:f>
        <x:v>Technology</x:v>
      </x:c>
      <x:c r="B73" s="15" t="str">
        <x:f>Inputs!B32</x:f>
        <x:v>Heat pump system</x:v>
      </x:c>
      <x:c r="C73" s="16" t="n">
        <x:f>Inputs!C32</x:f>
        <x:v>3</x:v>
      </x:c>
      <x:c r="D73" s="16" t="n">
        <x:f>Inputs!D32</x:f>
        <x:v>15</x:v>
      </x:c>
      <x:c r="E73" s="16" t="n">
        <x:f>ROUNDUP(Inputs!$B$4/D73,0)</x:f>
        <x:v>2</x:v>
      </x:c>
      <x:c r="F73" s="16" t="str">
        <x:f>Inputs!A22</x:f>
        <x:v>adp_fossil</x:v>
      </x:c>
      <x:c r="G73" s="16" t="str">
        <x:f>Inputs!C22</x:f>
        <x:v>MJ net calorific value</x:v>
      </x:c>
      <x:c r="H73" s="9" t="str">
        <x:f>IF(Inputs!Q32="","",Inputs!Q32)</x:f>
      </x:c>
      <x:c r="I73" s="9" t="str">
        <x:f>IF(H73="","",H73*C73/D73)</x:f>
      </x:c>
      <x:c r="J73" s="9" t="str">
        <x:f>IF(H73="","",H73*C73*E73)</x:f>
      </x:c>
      <x:c r="K73" s="1" t="str">
        <x:f>IF(H73&lt;&gt;"","Complete",IF(C73=0,"Not required","Missing"))</x:f>
        <x:v>Missing</x:v>
      </x:c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5" t="str">
        <x:f>Inputs!A32</x:f>
        <x:v>Technology</x:v>
      </x:c>
      <x:c r="B74" s="15" t="str">
        <x:f>Inputs!B32</x:f>
        <x:v>Heat pump system</x:v>
      </x:c>
      <x:c r="C74" s="16" t="n">
        <x:f>Inputs!C32</x:f>
        <x:v>3</x:v>
      </x:c>
      <x:c r="D74" s="16" t="n">
        <x:f>Inputs!D32</x:f>
        <x:v>15</x:v>
      </x:c>
      <x:c r="E74" s="16" t="n">
        <x:f>ROUNDUP(Inputs!$B$4/D74,0)</x:f>
        <x:v>2</x:v>
      </x:c>
      <x:c r="F74" s="16" t="str">
        <x:f>Inputs!A23</x:f>
        <x:v>wdp</x:v>
      </x:c>
      <x:c r="G74" s="16" t="str">
        <x:f>Inputs!C23</x:f>
        <x:v>m3 world-e deprived</x:v>
      </x:c>
      <x:c r="H74" s="9" t="str">
        <x:f>IF(Inputs!R32="","",Inputs!R32)</x:f>
      </x:c>
      <x:c r="I74" s="9" t="str">
        <x:f>IF(H74="","",H74*C74/D74)</x:f>
      </x:c>
      <x:c r="J74" s="9" t="str">
        <x:f>IF(H74="","",H74*C74*E74)</x:f>
      </x:c>
      <x:c r="K74" s="1" t="str">
        <x:f>IF(H74&lt;&gt;"","Complete",IF(C74=0,"Not required","Missing"))</x:f>
        <x:v>Missing</x:v>
      </x:c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5" t="str">
        <x:f>Inputs!A33</x:f>
        <x:v>Technology</x:v>
      </x:c>
      <x:c r="B75" s="15" t="str">
        <x:f>Inputs!B33</x:f>
        <x:v>Water tank</x:v>
      </x:c>
      <x:c r="C75" s="16" t="n">
        <x:f>Inputs!C33</x:f>
        <x:v>0</x:v>
      </x:c>
      <x:c r="D75" s="16" t="n">
        <x:f>Inputs!D33</x:f>
        <x:v>30</x:v>
      </x:c>
      <x:c r="E75" s="16" t="n">
        <x:f>ROUNDUP(Inputs!$B$4/D75,0)</x:f>
        <x:v>1</x:v>
      </x:c>
      <x:c r="F75" s="16" t="str">
        <x:f>Inputs!A10</x:f>
        <x:v>primary_energy</x:v>
      </x:c>
      <x:c r="G75" s="16" t="str">
        <x:f>Inputs!C10</x:f>
        <x:v>kWh</x:v>
      </x:c>
      <x:c r="H75" s="9" t="n">
        <x:f>IF(Inputs!E33="","",Inputs!E33)</x:f>
        <x:v>6689.722222222222</x:v>
      </x:c>
      <x:c r="I75" s="9" t="n">
        <x:f>IF(H75="","",H75*C75/D75)</x:f>
        <x:v>0</x:v>
      </x:c>
      <x:c r="J75" s="9" t="n">
        <x:f>IF(H75="","",H75*C75*E75)</x:f>
        <x:v>0</x:v>
      </x:c>
      <x:c r="K75" s="1" t="str">
        <x:f>IF(H75&lt;&gt;"","Complete",IF(C75=0,"Not required","Missing"))</x:f>
        <x:v>Complete</x:v>
      </x:c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5" t="str">
        <x:f>Inputs!A33</x:f>
        <x:v>Technology</x:v>
      </x:c>
      <x:c r="B76" s="15" t="str">
        <x:f>Inputs!B33</x:f>
        <x:v>Water tank</x:v>
      </x:c>
      <x:c r="C76" s="16" t="n">
        <x:f>Inputs!C33</x:f>
        <x:v>0</x:v>
      </x:c>
      <x:c r="D76" s="16" t="n">
        <x:f>Inputs!D33</x:f>
        <x:v>30</x:v>
      </x:c>
      <x:c r="E76" s="16" t="n">
        <x:f>ROUNDUP(Inputs!$B$4/D76,0)</x:f>
        <x:v>1</x:v>
      </x:c>
      <x:c r="F76" s="16" t="str">
        <x:f>Inputs!A11</x:f>
        <x:v>gwp_total</x:v>
      </x:c>
      <x:c r="G76" s="16" t="str">
        <x:f>Inputs!C11</x:f>
        <x:v>kg CO2e</x:v>
      </x:c>
      <x:c r="H76" s="9" t="n">
        <x:f>IF(Inputs!F33="","",Inputs!F33)</x:f>
        <x:v>2288</x:v>
      </x:c>
      <x:c r="I76" s="9" t="n">
        <x:f>IF(H76="","",H76*C76/D76)</x:f>
        <x:v>0</x:v>
      </x:c>
      <x:c r="J76" s="9" t="n">
        <x:f>IF(H76="","",H76*C76*E76)</x:f>
        <x:v>0</x:v>
      </x:c>
      <x:c r="K76" s="1" t="str">
        <x:f>IF(H76&lt;&gt;"","Complete",IF(C76=0,"Not required","Missing"))</x:f>
        <x:v>Complete</x:v>
      </x:c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5" t="str">
        <x:f>Inputs!A33</x:f>
        <x:v>Technology</x:v>
      </x:c>
      <x:c r="B77" s="15" t="str">
        <x:f>Inputs!B33</x:f>
        <x:v>Water tank</x:v>
      </x:c>
      <x:c r="C77" s="16" t="n">
        <x:f>Inputs!C33</x:f>
        <x:v>0</x:v>
      </x:c>
      <x:c r="D77" s="16" t="n">
        <x:f>Inputs!D33</x:f>
        <x:v>30</x:v>
      </x:c>
      <x:c r="E77" s="16" t="n">
        <x:f>ROUNDUP(Inputs!$B$4/D77,0)</x:f>
        <x:v>1</x:v>
      </x:c>
      <x:c r="F77" s="16" t="str">
        <x:f>Inputs!A12</x:f>
        <x:v>gwp_fossil</x:v>
      </x:c>
      <x:c r="G77" s="16" t="str">
        <x:f>Inputs!C12</x:f>
        <x:v>kg CO2e</x:v>
      </x:c>
      <x:c r="H77" s="9" t="str">
        <x:f>IF(Inputs!G33="","",Inputs!G33)</x:f>
      </x:c>
      <x:c r="I77" s="9" t="str">
        <x:f>IF(H77="","",H77*C77/D77)</x:f>
      </x:c>
      <x:c r="J77" s="9" t="str">
        <x:f>IF(H77="","",H77*C77*E77)</x:f>
      </x:c>
      <x:c r="K77" s="1" t="str">
        <x:f>IF(H77&lt;&gt;"","Complete",IF(C77=0,"Not required","Missing"))</x:f>
        <x:v>Not required</x:v>
      </x:c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5" t="str">
        <x:f>Inputs!A33</x:f>
        <x:v>Technology</x:v>
      </x:c>
      <x:c r="B78" s="15" t="str">
        <x:f>Inputs!B33</x:f>
        <x:v>Water tank</x:v>
      </x:c>
      <x:c r="C78" s="16" t="n">
        <x:f>Inputs!C33</x:f>
        <x:v>0</x:v>
      </x:c>
      <x:c r="D78" s="16" t="n">
        <x:f>Inputs!D33</x:f>
        <x:v>30</x:v>
      </x:c>
      <x:c r="E78" s="16" t="n">
        <x:f>ROUNDUP(Inputs!$B$4/D78,0)</x:f>
        <x:v>1</x:v>
      </x:c>
      <x:c r="F78" s="16" t="str">
        <x:f>Inputs!A13</x:f>
        <x:v>gwp_biogenic</x:v>
      </x:c>
      <x:c r="G78" s="16" t="str">
        <x:f>Inputs!C13</x:f>
        <x:v>kg CO2e</x:v>
      </x:c>
      <x:c r="H78" s="9" t="str">
        <x:f>IF(Inputs!H33="","",Inputs!H33)</x:f>
      </x:c>
      <x:c r="I78" s="9" t="str">
        <x:f>IF(H78="","",H78*C78/D78)</x:f>
      </x:c>
      <x:c r="J78" s="9" t="str">
        <x:f>IF(H78="","",H78*C78*E78)</x:f>
      </x:c>
      <x:c r="K78" s="1" t="str">
        <x:f>IF(H78&lt;&gt;"","Complete",IF(C78=0,"Not required","Missing"))</x:f>
        <x:v>Not required</x:v>
      </x:c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5" t="str">
        <x:f>Inputs!A33</x:f>
        <x:v>Technology</x:v>
      </x:c>
      <x:c r="B79" s="15" t="str">
        <x:f>Inputs!B33</x:f>
        <x:v>Water tank</x:v>
      </x:c>
      <x:c r="C79" s="16" t="n">
        <x:f>Inputs!C33</x:f>
        <x:v>0</x:v>
      </x:c>
      <x:c r="D79" s="16" t="n">
        <x:f>Inputs!D33</x:f>
        <x:v>30</x:v>
      </x:c>
      <x:c r="E79" s="16" t="n">
        <x:f>ROUNDUP(Inputs!$B$4/D79,0)</x:f>
        <x:v>1</x:v>
      </x:c>
      <x:c r="F79" s="16" t="str">
        <x:f>Inputs!A14</x:f>
        <x:v>gwp_luluc</x:v>
      </x:c>
      <x:c r="G79" s="16" t="str">
        <x:f>Inputs!C14</x:f>
        <x:v>kg CO2e</x:v>
      </x:c>
      <x:c r="H79" s="9" t="str">
        <x:f>IF(Inputs!I33="","",Inputs!I33)</x:f>
      </x:c>
      <x:c r="I79" s="9" t="str">
        <x:f>IF(H79="","",H79*C79/D79)</x:f>
      </x:c>
      <x:c r="J79" s="9" t="str">
        <x:f>IF(H79="","",H79*C79*E79)</x:f>
      </x:c>
      <x:c r="K79" s="1" t="str">
        <x:f>IF(H79&lt;&gt;"","Complete",IF(C79=0,"Not required","Missing"))</x:f>
        <x:v>Not required</x:v>
      </x:c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5" t="str">
        <x:f>Inputs!A33</x:f>
        <x:v>Technology</x:v>
      </x:c>
      <x:c r="B80" s="15" t="str">
        <x:f>Inputs!B33</x:f>
        <x:v>Water tank</x:v>
      </x:c>
      <x:c r="C80" s="16" t="n">
        <x:f>Inputs!C33</x:f>
        <x:v>0</x:v>
      </x:c>
      <x:c r="D80" s="16" t="n">
        <x:f>Inputs!D33</x:f>
        <x:v>30</x:v>
      </x:c>
      <x:c r="E80" s="16" t="n">
        <x:f>ROUNDUP(Inputs!$B$4/D80,0)</x:f>
        <x:v>1</x:v>
      </x:c>
      <x:c r="F80" s="16" t="str">
        <x:f>Inputs!A15</x:f>
        <x:v>odp</x:v>
      </x:c>
      <x:c r="G80" s="16" t="str">
        <x:f>Inputs!C15</x:f>
        <x:v>kg CFC-11e</x:v>
      </x:c>
      <x:c r="H80" s="9" t="str">
        <x:f>IF(Inputs!J33="","",Inputs!J33)</x:f>
      </x:c>
      <x:c r="I80" s="9" t="str">
        <x:f>IF(H80="","",H80*C80/D80)</x:f>
      </x:c>
      <x:c r="J80" s="9" t="str">
        <x:f>IF(H80="","",H80*C80*E80)</x:f>
      </x:c>
      <x:c r="K80" s="1" t="str">
        <x:f>IF(H80&lt;&gt;"","Complete",IF(C80=0,"Not required","Missing"))</x:f>
        <x:v>Not required</x:v>
      </x:c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5" t="str">
        <x:f>Inputs!A33</x:f>
        <x:v>Technology</x:v>
      </x:c>
      <x:c r="B81" s="15" t="str">
        <x:f>Inputs!B33</x:f>
        <x:v>Water tank</x:v>
      </x:c>
      <x:c r="C81" s="16" t="n">
        <x:f>Inputs!C33</x:f>
        <x:v>0</x:v>
      </x:c>
      <x:c r="D81" s="16" t="n">
        <x:f>Inputs!D33</x:f>
        <x:v>30</x:v>
      </x:c>
      <x:c r="E81" s="16" t="n">
        <x:f>ROUNDUP(Inputs!$B$4/D81,0)</x:f>
        <x:v>1</x:v>
      </x:c>
      <x:c r="F81" s="16" t="str">
        <x:f>Inputs!A16</x:f>
        <x:v>ap</x:v>
      </x:c>
      <x:c r="G81" s="16" t="str">
        <x:f>Inputs!C16</x:f>
        <x:v>mol H+e</x:v>
      </x:c>
      <x:c r="H81" s="9" t="str">
        <x:f>IF(Inputs!K33="","",Inputs!K33)</x:f>
      </x:c>
      <x:c r="I81" s="9" t="str">
        <x:f>IF(H81="","",H81*C81/D81)</x:f>
      </x:c>
      <x:c r="J81" s="9" t="str">
        <x:f>IF(H81="","",H81*C81*E81)</x:f>
      </x:c>
      <x:c r="K81" s="1" t="str">
        <x:f>IF(H81&lt;&gt;"","Complete",IF(C81=0,"Not required","Missing"))</x:f>
        <x:v>Not required</x:v>
      </x:c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5" t="str">
        <x:f>Inputs!A33</x:f>
        <x:v>Technology</x:v>
      </x:c>
      <x:c r="B82" s="15" t="str">
        <x:f>Inputs!B33</x:f>
        <x:v>Water tank</x:v>
      </x:c>
      <x:c r="C82" s="16" t="n">
        <x:f>Inputs!C33</x:f>
        <x:v>0</x:v>
      </x:c>
      <x:c r="D82" s="16" t="n">
        <x:f>Inputs!D33</x:f>
        <x:v>30</x:v>
      </x:c>
      <x:c r="E82" s="16" t="n">
        <x:f>ROUNDUP(Inputs!$B$4/D82,0)</x:f>
        <x:v>1</x:v>
      </x:c>
      <x:c r="F82" s="16" t="str">
        <x:f>Inputs!A17</x:f>
        <x:v>ep_freshwater</x:v>
      </x:c>
      <x:c r="G82" s="16" t="str">
        <x:f>Inputs!C17</x:f>
        <x:v>kg PO4e</x:v>
      </x:c>
      <x:c r="H82" s="9" t="str">
        <x:f>IF(Inputs!L33="","",Inputs!L33)</x:f>
      </x:c>
      <x:c r="I82" s="9" t="str">
        <x:f>IF(H82="","",H82*C82/D82)</x:f>
      </x:c>
      <x:c r="J82" s="9" t="str">
        <x:f>IF(H82="","",H82*C82*E82)</x:f>
      </x:c>
      <x:c r="K82" s="1" t="str">
        <x:f>IF(H82&lt;&gt;"","Complete",IF(C82=0,"Not required","Missing"))</x:f>
        <x:v>Not required</x:v>
      </x:c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5" t="str">
        <x:f>Inputs!A33</x:f>
        <x:v>Technology</x:v>
      </x:c>
      <x:c r="B83" s="15" t="str">
        <x:f>Inputs!B33</x:f>
        <x:v>Water tank</x:v>
      </x:c>
      <x:c r="C83" s="16" t="n">
        <x:f>Inputs!C33</x:f>
        <x:v>0</x:v>
      </x:c>
      <x:c r="D83" s="16" t="n">
        <x:f>Inputs!D33</x:f>
        <x:v>30</x:v>
      </x:c>
      <x:c r="E83" s="16" t="n">
        <x:f>ROUNDUP(Inputs!$B$4/D83,0)</x:f>
        <x:v>1</x:v>
      </x:c>
      <x:c r="F83" s="16" t="str">
        <x:f>Inputs!A18</x:f>
        <x:v>ep_marine</x:v>
      </x:c>
      <x:c r="G83" s="16" t="str">
        <x:f>Inputs!C18</x:f>
        <x:v>kg Ne</x:v>
      </x:c>
      <x:c r="H83" s="9" t="str">
        <x:f>IF(Inputs!M33="","",Inputs!M33)</x:f>
      </x:c>
      <x:c r="I83" s="9" t="str">
        <x:f>IF(H83="","",H83*C83/D83)</x:f>
      </x:c>
      <x:c r="J83" s="9" t="str">
        <x:f>IF(H83="","",H83*C83*E83)</x:f>
      </x:c>
      <x:c r="K83" s="1" t="str">
        <x:f>IF(H83&lt;&gt;"","Complete",IF(C83=0,"Not required","Missing"))</x:f>
        <x:v>Not required</x:v>
      </x:c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5" t="str">
        <x:f>Inputs!A33</x:f>
        <x:v>Technology</x:v>
      </x:c>
      <x:c r="B84" s="15" t="str">
        <x:f>Inputs!B33</x:f>
        <x:v>Water tank</x:v>
      </x:c>
      <x:c r="C84" s="16" t="n">
        <x:f>Inputs!C33</x:f>
        <x:v>0</x:v>
      </x:c>
      <x:c r="D84" s="16" t="n">
        <x:f>Inputs!D33</x:f>
        <x:v>30</x:v>
      </x:c>
      <x:c r="E84" s="16" t="n">
        <x:f>ROUNDUP(Inputs!$B$4/D84,0)</x:f>
        <x:v>1</x:v>
      </x:c>
      <x:c r="F84" s="16" t="str">
        <x:f>Inputs!A19</x:f>
        <x:v>ep_terrestrial</x:v>
      </x:c>
      <x:c r="G84" s="16" t="str">
        <x:f>Inputs!C19</x:f>
        <x:v>mol Ne</x:v>
      </x:c>
      <x:c r="H84" s="9" t="str">
        <x:f>IF(Inputs!N33="","",Inputs!N33)</x:f>
      </x:c>
      <x:c r="I84" s="9" t="str">
        <x:f>IF(H84="","",H84*C84/D84)</x:f>
      </x:c>
      <x:c r="J84" s="9" t="str">
        <x:f>IF(H84="","",H84*C84*E84)</x:f>
      </x:c>
      <x:c r="K84" s="1" t="str">
        <x:f>IF(H84&lt;&gt;"","Complete",IF(C84=0,"Not required","Missing"))</x:f>
        <x:v>Not required</x:v>
      </x:c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5" t="str">
        <x:f>Inputs!A33</x:f>
        <x:v>Technology</x:v>
      </x:c>
      <x:c r="B85" s="15" t="str">
        <x:f>Inputs!B33</x:f>
        <x:v>Water tank</x:v>
      </x:c>
      <x:c r="C85" s="16" t="n">
        <x:f>Inputs!C33</x:f>
        <x:v>0</x:v>
      </x:c>
      <x:c r="D85" s="16" t="n">
        <x:f>Inputs!D33</x:f>
        <x:v>30</x:v>
      </x:c>
      <x:c r="E85" s="16" t="n">
        <x:f>ROUNDUP(Inputs!$B$4/D85,0)</x:f>
        <x:v>1</x:v>
      </x:c>
      <x:c r="F85" s="16" t="str">
        <x:f>Inputs!A20</x:f>
        <x:v>pocp</x:v>
      </x:c>
      <x:c r="G85" s="16" t="str">
        <x:f>Inputs!C20</x:f>
        <x:v>kg NMVOCe</x:v>
      </x:c>
      <x:c r="H85" s="9" t="str">
        <x:f>IF(Inputs!O33="","",Inputs!O33)</x:f>
      </x:c>
      <x:c r="I85" s="9" t="str">
        <x:f>IF(H85="","",H85*C85/D85)</x:f>
      </x:c>
      <x:c r="J85" s="9" t="str">
        <x:f>IF(H85="","",H85*C85*E85)</x:f>
      </x:c>
      <x:c r="K85" s="1" t="str">
        <x:f>IF(H85&lt;&gt;"","Complete",IF(C85=0,"Not required","Missing"))</x:f>
        <x:v>Not required</x:v>
      </x:c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5" t="str">
        <x:f>Inputs!A33</x:f>
        <x:v>Technology</x:v>
      </x:c>
      <x:c r="B86" s="15" t="str">
        <x:f>Inputs!B33</x:f>
        <x:v>Water tank</x:v>
      </x:c>
      <x:c r="C86" s="16" t="n">
        <x:f>Inputs!C33</x:f>
        <x:v>0</x:v>
      </x:c>
      <x:c r="D86" s="16" t="n">
        <x:f>Inputs!D33</x:f>
        <x:v>30</x:v>
      </x:c>
      <x:c r="E86" s="16" t="n">
        <x:f>ROUNDUP(Inputs!$B$4/D86,0)</x:f>
        <x:v>1</x:v>
      </x:c>
      <x:c r="F86" s="16" t="str">
        <x:f>Inputs!A21</x:f>
        <x:v>adp_minerals_metals</x:v>
      </x:c>
      <x:c r="G86" s="16" t="str">
        <x:f>Inputs!C21</x:f>
        <x:v>kg Sbe</x:v>
      </x:c>
      <x:c r="H86" s="9" t="str">
        <x:f>IF(Inputs!P33="","",Inputs!P33)</x:f>
      </x:c>
      <x:c r="I86" s="9" t="str">
        <x:f>IF(H86="","",H86*C86/D86)</x:f>
      </x:c>
      <x:c r="J86" s="9" t="str">
        <x:f>IF(H86="","",H86*C86*E86)</x:f>
      </x:c>
      <x:c r="K86" s="1" t="str">
        <x:f>IF(H86&lt;&gt;"","Complete",IF(C86=0,"Not required","Missing"))</x:f>
        <x:v>Not required</x:v>
      </x:c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5" t="str">
        <x:f>Inputs!A33</x:f>
        <x:v>Technology</x:v>
      </x:c>
      <x:c r="B87" s="15" t="str">
        <x:f>Inputs!B33</x:f>
        <x:v>Water tank</x:v>
      </x:c>
      <x:c r="C87" s="16" t="n">
        <x:f>Inputs!C33</x:f>
        <x:v>0</x:v>
      </x:c>
      <x:c r="D87" s="16" t="n">
        <x:f>Inputs!D33</x:f>
        <x:v>30</x:v>
      </x:c>
      <x:c r="E87" s="16" t="n">
        <x:f>ROUNDUP(Inputs!$B$4/D87,0)</x:f>
        <x:v>1</x:v>
      </x:c>
      <x:c r="F87" s="16" t="str">
        <x:f>Inputs!A22</x:f>
        <x:v>adp_fossil</x:v>
      </x:c>
      <x:c r="G87" s="16" t="str">
        <x:f>Inputs!C22</x:f>
        <x:v>MJ net calorific value</x:v>
      </x:c>
      <x:c r="H87" s="9" t="str">
        <x:f>IF(Inputs!Q33="","",Inputs!Q33)</x:f>
      </x:c>
      <x:c r="I87" s="9" t="str">
        <x:f>IF(H87="","",H87*C87/D87)</x:f>
      </x:c>
      <x:c r="J87" s="9" t="str">
        <x:f>IF(H87="","",H87*C87*E87)</x:f>
      </x:c>
      <x:c r="K87" s="1" t="str">
        <x:f>IF(H87&lt;&gt;"","Complete",IF(C87=0,"Not required","Missing"))</x:f>
        <x:v>Not required</x:v>
      </x:c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5" t="str">
        <x:f>Inputs!A33</x:f>
        <x:v>Technology</x:v>
      </x:c>
      <x:c r="B88" s="15" t="str">
        <x:f>Inputs!B33</x:f>
        <x:v>Water tank</x:v>
      </x:c>
      <x:c r="C88" s="16" t="n">
        <x:f>Inputs!C33</x:f>
        <x:v>0</x:v>
      </x:c>
      <x:c r="D88" s="16" t="n">
        <x:f>Inputs!D33</x:f>
        <x:v>30</x:v>
      </x:c>
      <x:c r="E88" s="16" t="n">
        <x:f>ROUNDUP(Inputs!$B$4/D88,0)</x:f>
        <x:v>1</x:v>
      </x:c>
      <x:c r="F88" s="16" t="str">
        <x:f>Inputs!A23</x:f>
        <x:v>wdp</x:v>
      </x:c>
      <x:c r="G88" s="16" t="str">
        <x:f>Inputs!C23</x:f>
        <x:v>m3 world-e deprived</x:v>
      </x:c>
      <x:c r="H88" s="9" t="str">
        <x:f>IF(Inputs!R33="","",Inputs!R33)</x:f>
      </x:c>
      <x:c r="I88" s="9" t="str">
        <x:f>IF(H88="","",H88*C88/D88)</x:f>
      </x:c>
      <x:c r="J88" s="9" t="str">
        <x:f>IF(H88="","",H88*C88*E88)</x:f>
      </x:c>
      <x:c r="K88" s="1" t="str">
        <x:f>IF(H88&lt;&gt;"","Complete",IF(C88=0,"Not required","Missing"))</x:f>
        <x:v>Not required</x:v>
      </x:c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5" t="str">
        <x:f>Inputs!A34</x:f>
        <x:v>Technology</x:v>
      </x:c>
      <x:c r="B89" s="15" t="str">
        <x:f>Inputs!B34</x:f>
        <x:v>BACS (Building Automation and Control Systems)</x:v>
      </x:c>
      <x:c r="C89" s="16" t="n">
        <x:f>Inputs!C34</x:f>
        <x:v>3</x:v>
      </x:c>
      <x:c r="D89" s="16" t="n">
        <x:f>Inputs!D34</x:f>
        <x:v>30</x:v>
      </x:c>
      <x:c r="E89" s="16" t="n">
        <x:f>ROUNDUP(Inputs!$B$4/D89,0)</x:f>
        <x:v>1</x:v>
      </x:c>
      <x:c r="F89" s="16" t="str">
        <x:f>Inputs!A10</x:f>
        <x:v>primary_energy</x:v>
      </x:c>
      <x:c r="G89" s="16" t="str">
        <x:f>Inputs!C10</x:f>
        <x:v>kWh</x:v>
      </x:c>
      <x:c r="H89" s="9" t="n">
        <x:f>IF(Inputs!E34="","",Inputs!E34)</x:f>
        <x:v>4988.611111111111</x:v>
      </x:c>
      <x:c r="I89" s="9" t="n">
        <x:f>IF(H89="","",H89*C89/D89)</x:f>
        <x:v>498.86111111111114</x:v>
      </x:c>
      <x:c r="J89" s="9" t="n">
        <x:f>IF(H89="","",H89*C89*E89)</x:f>
        <x:v>14965.833333333334</x:v>
      </x:c>
      <x:c r="K89" s="1" t="str">
        <x:f>IF(H89&lt;&gt;"","Complete",IF(C89=0,"Not required","Missing"))</x:f>
        <x:v>Complete</x:v>
      </x:c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5" t="str">
        <x:f>Inputs!A34</x:f>
        <x:v>Technology</x:v>
      </x:c>
      <x:c r="B90" s="15" t="str">
        <x:f>Inputs!B34</x:f>
        <x:v>BACS (Building Automation and Control Systems)</x:v>
      </x:c>
      <x:c r="C90" s="16" t="n">
        <x:f>Inputs!C34</x:f>
        <x:v>3</x:v>
      </x:c>
      <x:c r="D90" s="16" t="n">
        <x:f>Inputs!D34</x:f>
        <x:v>30</x:v>
      </x:c>
      <x:c r="E90" s="16" t="n">
        <x:f>ROUNDUP(Inputs!$B$4/D90,0)</x:f>
        <x:v>1</x:v>
      </x:c>
      <x:c r="F90" s="16" t="str">
        <x:f>Inputs!A11</x:f>
        <x:v>gwp_total</x:v>
      </x:c>
      <x:c r="G90" s="16" t="str">
        <x:f>Inputs!C11</x:f>
        <x:v>kg CO2e</x:v>
      </x:c>
      <x:c r="H90" s="9" t="n">
        <x:f>IF(Inputs!F34="","",Inputs!F34)</x:f>
        <x:v>1636</x:v>
      </x:c>
      <x:c r="I90" s="9" t="n">
        <x:f>IF(H90="","",H90*C90/D90)</x:f>
        <x:v>163.6</x:v>
      </x:c>
      <x:c r="J90" s="9" t="n">
        <x:f>IF(H90="","",H90*C90*E90)</x:f>
        <x:v>4908</x:v>
      </x:c>
      <x:c r="K90" s="1" t="str">
        <x:f>IF(H90&lt;&gt;"","Complete",IF(C90=0,"Not required","Missing"))</x:f>
        <x:v>Complete</x:v>
      </x:c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5" t="str">
        <x:f>Inputs!A34</x:f>
        <x:v>Technology</x:v>
      </x:c>
      <x:c r="B91" s="15" t="str">
        <x:f>Inputs!B34</x:f>
        <x:v>BACS (Building Automation and Control Systems)</x:v>
      </x:c>
      <x:c r="C91" s="16" t="n">
        <x:f>Inputs!C34</x:f>
        <x:v>3</x:v>
      </x:c>
      <x:c r="D91" s="16" t="n">
        <x:f>Inputs!D34</x:f>
        <x:v>30</x:v>
      </x:c>
      <x:c r="E91" s="16" t="n">
        <x:f>ROUNDUP(Inputs!$B$4/D91,0)</x:f>
        <x:v>1</x:v>
      </x:c>
      <x:c r="F91" s="16" t="str">
        <x:f>Inputs!A12</x:f>
        <x:v>gwp_fossil</x:v>
      </x:c>
      <x:c r="G91" s="16" t="str">
        <x:f>Inputs!C12</x:f>
        <x:v>kg CO2e</x:v>
      </x:c>
      <x:c r="H91" s="9" t="str">
        <x:f>IF(Inputs!G34="","",Inputs!G34)</x:f>
      </x:c>
      <x:c r="I91" s="9" t="str">
        <x:f>IF(H91="","",H91*C91/D91)</x:f>
      </x:c>
      <x:c r="J91" s="9" t="str">
        <x:f>IF(H91="","",H91*C91*E91)</x:f>
      </x:c>
      <x:c r="K91" s="1" t="str">
        <x:f>IF(H91&lt;&gt;"","Complete",IF(C91=0,"Not required","Missing"))</x:f>
        <x:v>Missing</x:v>
      </x:c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5" t="str">
        <x:f>Inputs!A34</x:f>
        <x:v>Technology</x:v>
      </x:c>
      <x:c r="B92" s="15" t="str">
        <x:f>Inputs!B34</x:f>
        <x:v>BACS (Building Automation and Control Systems)</x:v>
      </x:c>
      <x:c r="C92" s="16" t="n">
        <x:f>Inputs!C34</x:f>
        <x:v>3</x:v>
      </x:c>
      <x:c r="D92" s="16" t="n">
        <x:f>Inputs!D34</x:f>
        <x:v>30</x:v>
      </x:c>
      <x:c r="E92" s="16" t="n">
        <x:f>ROUNDUP(Inputs!$B$4/D92,0)</x:f>
        <x:v>1</x:v>
      </x:c>
      <x:c r="F92" s="16" t="str">
        <x:f>Inputs!A13</x:f>
        <x:v>gwp_biogenic</x:v>
      </x:c>
      <x:c r="G92" s="16" t="str">
        <x:f>Inputs!C13</x:f>
        <x:v>kg CO2e</x:v>
      </x:c>
      <x:c r="H92" s="9" t="str">
        <x:f>IF(Inputs!H34="","",Inputs!H34)</x:f>
      </x:c>
      <x:c r="I92" s="9" t="str">
        <x:f>IF(H92="","",H92*C92/D92)</x:f>
      </x:c>
      <x:c r="J92" s="9" t="str">
        <x:f>IF(H92="","",H92*C92*E92)</x:f>
      </x:c>
      <x:c r="K92" s="1" t="str">
        <x:f>IF(H92&lt;&gt;"","Complete",IF(C92=0,"Not required","Missing"))</x:f>
        <x:v>Missing</x:v>
      </x:c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5" t="str">
        <x:f>Inputs!A34</x:f>
        <x:v>Technology</x:v>
      </x:c>
      <x:c r="B93" s="15" t="str">
        <x:f>Inputs!B34</x:f>
        <x:v>BACS (Building Automation and Control Systems)</x:v>
      </x:c>
      <x:c r="C93" s="16" t="n">
        <x:f>Inputs!C34</x:f>
        <x:v>3</x:v>
      </x:c>
      <x:c r="D93" s="16" t="n">
        <x:f>Inputs!D34</x:f>
        <x:v>30</x:v>
      </x:c>
      <x:c r="E93" s="16" t="n">
        <x:f>ROUNDUP(Inputs!$B$4/D93,0)</x:f>
        <x:v>1</x:v>
      </x:c>
      <x:c r="F93" s="16" t="str">
        <x:f>Inputs!A14</x:f>
        <x:v>gwp_luluc</x:v>
      </x:c>
      <x:c r="G93" s="16" t="str">
        <x:f>Inputs!C14</x:f>
        <x:v>kg CO2e</x:v>
      </x:c>
      <x:c r="H93" s="9" t="str">
        <x:f>IF(Inputs!I34="","",Inputs!I34)</x:f>
      </x:c>
      <x:c r="I93" s="9" t="str">
        <x:f>IF(H93="","",H93*C93/D93)</x:f>
      </x:c>
      <x:c r="J93" s="9" t="str">
        <x:f>IF(H93="","",H93*C93*E93)</x:f>
      </x:c>
      <x:c r="K93" s="1" t="str">
        <x:f>IF(H93&lt;&gt;"","Complete",IF(C93=0,"Not required","Missing"))</x:f>
        <x:v>Missing</x:v>
      </x:c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5" t="str">
        <x:f>Inputs!A34</x:f>
        <x:v>Technology</x:v>
      </x:c>
      <x:c r="B94" s="15" t="str">
        <x:f>Inputs!B34</x:f>
        <x:v>BACS (Building Automation and Control Systems)</x:v>
      </x:c>
      <x:c r="C94" s="16" t="n">
        <x:f>Inputs!C34</x:f>
        <x:v>3</x:v>
      </x:c>
      <x:c r="D94" s="16" t="n">
        <x:f>Inputs!D34</x:f>
        <x:v>30</x:v>
      </x:c>
      <x:c r="E94" s="16" t="n">
        <x:f>ROUNDUP(Inputs!$B$4/D94,0)</x:f>
        <x:v>1</x:v>
      </x:c>
      <x:c r="F94" s="16" t="str">
        <x:f>Inputs!A15</x:f>
        <x:v>odp</x:v>
      </x:c>
      <x:c r="G94" s="16" t="str">
        <x:f>Inputs!C15</x:f>
        <x:v>kg CFC-11e</x:v>
      </x:c>
      <x:c r="H94" s="9" t="str">
        <x:f>IF(Inputs!J34="","",Inputs!J34)</x:f>
      </x:c>
      <x:c r="I94" s="9" t="str">
        <x:f>IF(H94="","",H94*C94/D94)</x:f>
      </x:c>
      <x:c r="J94" s="9" t="str">
        <x:f>IF(H94="","",H94*C94*E94)</x:f>
      </x:c>
      <x:c r="K94" s="1" t="str">
        <x:f>IF(H94&lt;&gt;"","Complete",IF(C94=0,"Not required","Missing"))</x:f>
        <x:v>Missing</x:v>
      </x:c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5" t="str">
        <x:f>Inputs!A34</x:f>
        <x:v>Technology</x:v>
      </x:c>
      <x:c r="B95" s="15" t="str">
        <x:f>Inputs!B34</x:f>
        <x:v>BACS (Building Automation and Control Systems)</x:v>
      </x:c>
      <x:c r="C95" s="16" t="n">
        <x:f>Inputs!C34</x:f>
        <x:v>3</x:v>
      </x:c>
      <x:c r="D95" s="16" t="n">
        <x:f>Inputs!D34</x:f>
        <x:v>30</x:v>
      </x:c>
      <x:c r="E95" s="16" t="n">
        <x:f>ROUNDUP(Inputs!$B$4/D95,0)</x:f>
        <x:v>1</x:v>
      </x:c>
      <x:c r="F95" s="16" t="str">
        <x:f>Inputs!A16</x:f>
        <x:v>ap</x:v>
      </x:c>
      <x:c r="G95" s="16" t="str">
        <x:f>Inputs!C16</x:f>
        <x:v>mol H+e</x:v>
      </x:c>
      <x:c r="H95" s="9" t="str">
        <x:f>IF(Inputs!K34="","",Inputs!K34)</x:f>
      </x:c>
      <x:c r="I95" s="9" t="str">
        <x:f>IF(H95="","",H95*C95/D95)</x:f>
      </x:c>
      <x:c r="J95" s="9" t="str">
        <x:f>IF(H95="","",H95*C95*E95)</x:f>
      </x:c>
      <x:c r="K95" s="1" t="str">
        <x:f>IF(H95&lt;&gt;"","Complete",IF(C95=0,"Not required","Missing"))</x:f>
        <x:v>Missing</x:v>
      </x:c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5" t="str">
        <x:f>Inputs!A34</x:f>
        <x:v>Technology</x:v>
      </x:c>
      <x:c r="B96" s="15" t="str">
        <x:f>Inputs!B34</x:f>
        <x:v>BACS (Building Automation and Control Systems)</x:v>
      </x:c>
      <x:c r="C96" s="16" t="n">
        <x:f>Inputs!C34</x:f>
        <x:v>3</x:v>
      </x:c>
      <x:c r="D96" s="16" t="n">
        <x:f>Inputs!D34</x:f>
        <x:v>30</x:v>
      </x:c>
      <x:c r="E96" s="16" t="n">
        <x:f>ROUNDUP(Inputs!$B$4/D96,0)</x:f>
        <x:v>1</x:v>
      </x:c>
      <x:c r="F96" s="16" t="str">
        <x:f>Inputs!A17</x:f>
        <x:v>ep_freshwater</x:v>
      </x:c>
      <x:c r="G96" s="16" t="str">
        <x:f>Inputs!C17</x:f>
        <x:v>kg PO4e</x:v>
      </x:c>
      <x:c r="H96" s="9" t="str">
        <x:f>IF(Inputs!L34="","",Inputs!L34)</x:f>
      </x:c>
      <x:c r="I96" s="9" t="str">
        <x:f>IF(H96="","",H96*C96/D96)</x:f>
      </x:c>
      <x:c r="J96" s="9" t="str">
        <x:f>IF(H96="","",H96*C96*E96)</x:f>
      </x:c>
      <x:c r="K96" s="1" t="str">
        <x:f>IF(H96&lt;&gt;"","Complete",IF(C96=0,"Not required","Missing"))</x:f>
        <x:v>Missing</x:v>
      </x:c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5" t="str">
        <x:f>Inputs!A34</x:f>
        <x:v>Technology</x:v>
      </x:c>
      <x:c r="B97" s="15" t="str">
        <x:f>Inputs!B34</x:f>
        <x:v>BACS (Building Automation and Control Systems)</x:v>
      </x:c>
      <x:c r="C97" s="16" t="n">
        <x:f>Inputs!C34</x:f>
        <x:v>3</x:v>
      </x:c>
      <x:c r="D97" s="16" t="n">
        <x:f>Inputs!D34</x:f>
        <x:v>30</x:v>
      </x:c>
      <x:c r="E97" s="16" t="n">
        <x:f>ROUNDUP(Inputs!$B$4/D97,0)</x:f>
        <x:v>1</x:v>
      </x:c>
      <x:c r="F97" s="16" t="str">
        <x:f>Inputs!A18</x:f>
        <x:v>ep_marine</x:v>
      </x:c>
      <x:c r="G97" s="16" t="str">
        <x:f>Inputs!C18</x:f>
        <x:v>kg Ne</x:v>
      </x:c>
      <x:c r="H97" s="9" t="str">
        <x:f>IF(Inputs!M34="","",Inputs!M34)</x:f>
      </x:c>
      <x:c r="I97" s="9" t="str">
        <x:f>IF(H97="","",H97*C97/D97)</x:f>
      </x:c>
      <x:c r="J97" s="9" t="str">
        <x:f>IF(H97="","",H97*C97*E97)</x:f>
      </x:c>
      <x:c r="K97" s="1" t="str">
        <x:f>IF(H97&lt;&gt;"","Complete",IF(C97=0,"Not required","Missing"))</x:f>
        <x:v>Missing</x:v>
      </x:c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5" t="str">
        <x:f>Inputs!A34</x:f>
        <x:v>Technology</x:v>
      </x:c>
      <x:c r="B98" s="15" t="str">
        <x:f>Inputs!B34</x:f>
        <x:v>BACS (Building Automation and Control Systems)</x:v>
      </x:c>
      <x:c r="C98" s="16" t="n">
        <x:f>Inputs!C34</x:f>
        <x:v>3</x:v>
      </x:c>
      <x:c r="D98" s="16" t="n">
        <x:f>Inputs!D34</x:f>
        <x:v>30</x:v>
      </x:c>
      <x:c r="E98" s="16" t="n">
        <x:f>ROUNDUP(Inputs!$B$4/D98,0)</x:f>
        <x:v>1</x:v>
      </x:c>
      <x:c r="F98" s="16" t="str">
        <x:f>Inputs!A19</x:f>
        <x:v>ep_terrestrial</x:v>
      </x:c>
      <x:c r="G98" s="16" t="str">
        <x:f>Inputs!C19</x:f>
        <x:v>mol Ne</x:v>
      </x:c>
      <x:c r="H98" s="9" t="str">
        <x:f>IF(Inputs!N34="","",Inputs!N34)</x:f>
      </x:c>
      <x:c r="I98" s="9" t="str">
        <x:f>IF(H98="","",H98*C98/D98)</x:f>
      </x:c>
      <x:c r="J98" s="9" t="str">
        <x:f>IF(H98="","",H98*C98*E98)</x:f>
      </x:c>
      <x:c r="K98" s="1" t="str">
        <x:f>IF(H98&lt;&gt;"","Complete",IF(C98=0,"Not required","Missing"))</x:f>
        <x:v>Missing</x:v>
      </x:c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5" t="str">
        <x:f>Inputs!A34</x:f>
        <x:v>Technology</x:v>
      </x:c>
      <x:c r="B99" s="15" t="str">
        <x:f>Inputs!B34</x:f>
        <x:v>BACS (Building Automation and Control Systems)</x:v>
      </x:c>
      <x:c r="C99" s="16" t="n">
        <x:f>Inputs!C34</x:f>
        <x:v>3</x:v>
      </x:c>
      <x:c r="D99" s="16" t="n">
        <x:f>Inputs!D34</x:f>
        <x:v>30</x:v>
      </x:c>
      <x:c r="E99" s="16" t="n">
        <x:f>ROUNDUP(Inputs!$B$4/D99,0)</x:f>
        <x:v>1</x:v>
      </x:c>
      <x:c r="F99" s="16" t="str">
        <x:f>Inputs!A20</x:f>
        <x:v>pocp</x:v>
      </x:c>
      <x:c r="G99" s="16" t="str">
        <x:f>Inputs!C20</x:f>
        <x:v>kg NMVOCe</x:v>
      </x:c>
      <x:c r="H99" s="9" t="str">
        <x:f>IF(Inputs!O34="","",Inputs!O34)</x:f>
      </x:c>
      <x:c r="I99" s="9" t="str">
        <x:f>IF(H99="","",H99*C99/D99)</x:f>
      </x:c>
      <x:c r="J99" s="9" t="str">
        <x:f>IF(H99="","",H99*C99*E99)</x:f>
      </x:c>
      <x:c r="K99" s="1" t="str">
        <x:f>IF(H99&lt;&gt;"","Complete",IF(C99=0,"Not required","Missing"))</x:f>
        <x:v>Missing</x:v>
      </x:c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5" t="str">
        <x:f>Inputs!A34</x:f>
        <x:v>Technology</x:v>
      </x:c>
      <x:c r="B100" s="15" t="str">
        <x:f>Inputs!B34</x:f>
        <x:v>BACS (Building Automation and Control Systems)</x:v>
      </x:c>
      <x:c r="C100" s="16" t="n">
        <x:f>Inputs!C34</x:f>
        <x:v>3</x:v>
      </x:c>
      <x:c r="D100" s="16" t="n">
        <x:f>Inputs!D34</x:f>
        <x:v>30</x:v>
      </x:c>
      <x:c r="E100" s="16" t="n">
        <x:f>ROUNDUP(Inputs!$B$4/D100,0)</x:f>
        <x:v>1</x:v>
      </x:c>
      <x:c r="F100" s="16" t="str">
        <x:f>Inputs!A21</x:f>
        <x:v>adp_minerals_metals</x:v>
      </x:c>
      <x:c r="G100" s="16" t="str">
        <x:f>Inputs!C21</x:f>
        <x:v>kg Sbe</x:v>
      </x:c>
      <x:c r="H100" s="9" t="str">
        <x:f>IF(Inputs!P34="","",Inputs!P34)</x:f>
      </x:c>
      <x:c r="I100" s="9" t="str">
        <x:f>IF(H100="","",H100*C100/D100)</x:f>
      </x:c>
      <x:c r="J100" s="9" t="str">
        <x:f>IF(H100="","",H100*C100*E100)</x:f>
      </x:c>
      <x:c r="K100" s="1" t="str">
        <x:f>IF(H100&lt;&gt;"","Complete",IF(C100=0,"Not required","Missing"))</x:f>
        <x:v>Missing</x:v>
      </x:c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5" t="str">
        <x:f>Inputs!A34</x:f>
        <x:v>Technology</x:v>
      </x:c>
      <x:c r="B101" s="15" t="str">
        <x:f>Inputs!B34</x:f>
        <x:v>BACS (Building Automation and Control Systems)</x:v>
      </x:c>
      <x:c r="C101" s="16" t="n">
        <x:f>Inputs!C34</x:f>
        <x:v>3</x:v>
      </x:c>
      <x:c r="D101" s="16" t="n">
        <x:f>Inputs!D34</x:f>
        <x:v>30</x:v>
      </x:c>
      <x:c r="E101" s="16" t="n">
        <x:f>ROUNDUP(Inputs!$B$4/D101,0)</x:f>
        <x:v>1</x:v>
      </x:c>
      <x:c r="F101" s="16" t="str">
        <x:f>Inputs!A22</x:f>
        <x:v>adp_fossil</x:v>
      </x:c>
      <x:c r="G101" s="16" t="str">
        <x:f>Inputs!C22</x:f>
        <x:v>MJ net calorific value</x:v>
      </x:c>
      <x:c r="H101" s="9" t="str">
        <x:f>IF(Inputs!Q34="","",Inputs!Q34)</x:f>
      </x:c>
      <x:c r="I101" s="9" t="str">
        <x:f>IF(H101="","",H101*C101/D101)</x:f>
      </x:c>
      <x:c r="J101" s="9" t="str">
        <x:f>IF(H101="","",H101*C101*E101)</x:f>
      </x:c>
      <x:c r="K101" s="1" t="str">
        <x:f>IF(H101&lt;&gt;"","Complete",IF(C101=0,"Not required","Missing"))</x:f>
        <x:v>Missing</x:v>
      </x:c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5" t="str">
        <x:f>Inputs!A34</x:f>
        <x:v>Technology</x:v>
      </x:c>
      <x:c r="B102" s="15" t="str">
        <x:f>Inputs!B34</x:f>
        <x:v>BACS (Building Automation and Control Systems)</x:v>
      </x:c>
      <x:c r="C102" s="16" t="n">
        <x:f>Inputs!C34</x:f>
        <x:v>3</x:v>
      </x:c>
      <x:c r="D102" s="16" t="n">
        <x:f>Inputs!D34</x:f>
        <x:v>30</x:v>
      </x:c>
      <x:c r="E102" s="16" t="n">
        <x:f>ROUNDUP(Inputs!$B$4/D102,0)</x:f>
        <x:v>1</x:v>
      </x:c>
      <x:c r="F102" s="16" t="str">
        <x:f>Inputs!A23</x:f>
        <x:v>wdp</x:v>
      </x:c>
      <x:c r="G102" s="16" t="str">
        <x:f>Inputs!C23</x:f>
        <x:v>m3 world-e deprived</x:v>
      </x:c>
      <x:c r="H102" s="9" t="str">
        <x:f>IF(Inputs!R34="","",Inputs!R34)</x:f>
      </x:c>
      <x:c r="I102" s="9" t="str">
        <x:f>IF(H102="","",H102*C102/D102)</x:f>
      </x:c>
      <x:c r="J102" s="9" t="str">
        <x:f>IF(H102="","",H102*C102*E102)</x:f>
      </x:c>
      <x:c r="K102" s="1" t="str">
        <x:f>IF(H102&lt;&gt;"","Complete",IF(C102=0,"Not required","Missing"))</x:f>
        <x:v>Missing</x:v>
      </x:c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5" t="str">
        <x:f>Inputs!A35</x:f>
        <x:v>Technology</x:v>
      </x:c>
      <x:c r="B103" s="15" t="str">
        <x:f>Inputs!B35</x:f>
        <x:v>Fan coils HVAC</x:v>
      </x:c>
      <x:c r="C103" s="16" t="n">
        <x:f>Inputs!C35</x:f>
        <x:v>20</x:v>
      </x:c>
      <x:c r="D103" s="16" t="n">
        <x:f>Inputs!D35</x:f>
        <x:v>12</x:v>
      </x:c>
      <x:c r="E103" s="16" t="n">
        <x:f>ROUNDUP(Inputs!$B$4/D103,0)</x:f>
        <x:v>3</x:v>
      </x:c>
      <x:c r="F103" s="16" t="str">
        <x:f>Inputs!A10</x:f>
        <x:v>primary_energy</x:v>
      </x:c>
      <x:c r="G103" s="16" t="str">
        <x:f>Inputs!C10</x:f>
        <x:v>kWh</x:v>
      </x:c>
      <x:c r="H103" s="9" t="n">
        <x:f>IF(Inputs!E35="","",Inputs!E35)</x:f>
        <x:v>212.22222222222223</x:v>
      </x:c>
      <x:c r="I103" s="9" t="n">
        <x:f>IF(H103="","",H103*C103/D103)</x:f>
        <x:v>353.7037037037037</x:v>
      </x:c>
      <x:c r="J103" s="9" t="n">
        <x:f>IF(H103="","",H103*C103*E103)</x:f>
        <x:v>12733.333333333332</x:v>
      </x:c>
      <x:c r="K103" s="1" t="str">
        <x:f>IF(H103&lt;&gt;"","Complete",IF(C103=0,"Not required","Missing"))</x:f>
        <x:v>Complete</x:v>
      </x:c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5" t="str">
        <x:f>Inputs!A35</x:f>
        <x:v>Technology</x:v>
      </x:c>
      <x:c r="B104" s="15" t="str">
        <x:f>Inputs!B35</x:f>
        <x:v>Fan coils HVAC</x:v>
      </x:c>
      <x:c r="C104" s="16" t="n">
        <x:f>Inputs!C35</x:f>
        <x:v>20</x:v>
      </x:c>
      <x:c r="D104" s="16" t="n">
        <x:f>Inputs!D35</x:f>
        <x:v>12</x:v>
      </x:c>
      <x:c r="E104" s="16" t="n">
        <x:f>ROUNDUP(Inputs!$B$4/D104,0)</x:f>
        <x:v>3</x:v>
      </x:c>
      <x:c r="F104" s="16" t="str">
        <x:f>Inputs!A11</x:f>
        <x:v>gwp_total</x:v>
      </x:c>
      <x:c r="G104" s="16" t="str">
        <x:f>Inputs!C11</x:f>
        <x:v>kg CO2e</x:v>
      </x:c>
      <x:c r="H104" s="9" t="n">
        <x:f>IF(Inputs!F35="","",Inputs!F35)</x:f>
        <x:v>79</x:v>
      </x:c>
      <x:c r="I104" s="9" t="n">
        <x:f>IF(H104="","",H104*C104/D104)</x:f>
        <x:v>131.66666666666666</x:v>
      </x:c>
      <x:c r="J104" s="9" t="n">
        <x:f>IF(H104="","",H104*C104*E104)</x:f>
        <x:v>4740</x:v>
      </x:c>
      <x:c r="K104" s="1" t="str">
        <x:f>IF(H104&lt;&gt;"","Complete",IF(C104=0,"Not required","Missing"))</x:f>
        <x:v>Complete</x:v>
      </x:c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5" t="str">
        <x:f>Inputs!A35</x:f>
        <x:v>Technology</x:v>
      </x:c>
      <x:c r="B105" s="15" t="str">
        <x:f>Inputs!B35</x:f>
        <x:v>Fan coils HVAC</x:v>
      </x:c>
      <x:c r="C105" s="16" t="n">
        <x:f>Inputs!C35</x:f>
        <x:v>20</x:v>
      </x:c>
      <x:c r="D105" s="16" t="n">
        <x:f>Inputs!D35</x:f>
        <x:v>12</x:v>
      </x:c>
      <x:c r="E105" s="16" t="n">
        <x:f>ROUNDUP(Inputs!$B$4/D105,0)</x:f>
        <x:v>3</x:v>
      </x:c>
      <x:c r="F105" s="16" t="str">
        <x:f>Inputs!A12</x:f>
        <x:v>gwp_fossil</x:v>
      </x:c>
      <x:c r="G105" s="16" t="str">
        <x:f>Inputs!C12</x:f>
        <x:v>kg CO2e</x:v>
      </x:c>
      <x:c r="H105" s="9" t="str">
        <x:f>IF(Inputs!G35="","",Inputs!G35)</x:f>
      </x:c>
      <x:c r="I105" s="9" t="str">
        <x:f>IF(H105="","",H105*C105/D105)</x:f>
      </x:c>
      <x:c r="J105" s="9" t="str">
        <x:f>IF(H105="","",H105*C105*E105)</x:f>
      </x:c>
      <x:c r="K105" s="1" t="str">
        <x:f>IF(H105&lt;&gt;"","Complete",IF(C105=0,"Not required","Missing"))</x:f>
        <x:v>Missing</x:v>
      </x:c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5" t="str">
        <x:f>Inputs!A35</x:f>
        <x:v>Technology</x:v>
      </x:c>
      <x:c r="B106" s="15" t="str">
        <x:f>Inputs!B35</x:f>
        <x:v>Fan coils HVAC</x:v>
      </x:c>
      <x:c r="C106" s="16" t="n">
        <x:f>Inputs!C35</x:f>
        <x:v>20</x:v>
      </x:c>
      <x:c r="D106" s="16" t="n">
        <x:f>Inputs!D35</x:f>
        <x:v>12</x:v>
      </x:c>
      <x:c r="E106" s="16" t="n">
        <x:f>ROUNDUP(Inputs!$B$4/D106,0)</x:f>
        <x:v>3</x:v>
      </x:c>
      <x:c r="F106" s="16" t="str">
        <x:f>Inputs!A13</x:f>
        <x:v>gwp_biogenic</x:v>
      </x:c>
      <x:c r="G106" s="16" t="str">
        <x:f>Inputs!C13</x:f>
        <x:v>kg CO2e</x:v>
      </x:c>
      <x:c r="H106" s="9" t="str">
        <x:f>IF(Inputs!H35="","",Inputs!H35)</x:f>
      </x:c>
      <x:c r="I106" s="9" t="str">
        <x:f>IF(H106="","",H106*C106/D106)</x:f>
      </x:c>
      <x:c r="J106" s="9" t="str">
        <x:f>IF(H106="","",H106*C106*E106)</x:f>
      </x:c>
      <x:c r="K106" s="1" t="str">
        <x:f>IF(H106&lt;&gt;"","Complete",IF(C106=0,"Not required","Missing"))</x:f>
        <x:v>Missing</x:v>
      </x:c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5" t="str">
        <x:f>Inputs!A35</x:f>
        <x:v>Technology</x:v>
      </x:c>
      <x:c r="B107" s="15" t="str">
        <x:f>Inputs!B35</x:f>
        <x:v>Fan coils HVAC</x:v>
      </x:c>
      <x:c r="C107" s="16" t="n">
        <x:f>Inputs!C35</x:f>
        <x:v>20</x:v>
      </x:c>
      <x:c r="D107" s="16" t="n">
        <x:f>Inputs!D35</x:f>
        <x:v>12</x:v>
      </x:c>
      <x:c r="E107" s="16" t="n">
        <x:f>ROUNDUP(Inputs!$B$4/D107,0)</x:f>
        <x:v>3</x:v>
      </x:c>
      <x:c r="F107" s="16" t="str">
        <x:f>Inputs!A14</x:f>
        <x:v>gwp_luluc</x:v>
      </x:c>
      <x:c r="G107" s="16" t="str">
        <x:f>Inputs!C14</x:f>
        <x:v>kg CO2e</x:v>
      </x:c>
      <x:c r="H107" s="9" t="str">
        <x:f>IF(Inputs!I35="","",Inputs!I35)</x:f>
      </x:c>
      <x:c r="I107" s="9" t="str">
        <x:f>IF(H107="","",H107*C107/D107)</x:f>
      </x:c>
      <x:c r="J107" s="9" t="str">
        <x:f>IF(H107="","",H107*C107*E107)</x:f>
      </x:c>
      <x:c r="K107" s="1" t="str">
        <x:f>IF(H107&lt;&gt;"","Complete",IF(C107=0,"Not required","Missing"))</x:f>
        <x:v>Missing</x:v>
      </x:c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5" t="str">
        <x:f>Inputs!A35</x:f>
        <x:v>Technology</x:v>
      </x:c>
      <x:c r="B108" s="15" t="str">
        <x:f>Inputs!B35</x:f>
        <x:v>Fan coils HVAC</x:v>
      </x:c>
      <x:c r="C108" s="16" t="n">
        <x:f>Inputs!C35</x:f>
        <x:v>20</x:v>
      </x:c>
      <x:c r="D108" s="16" t="n">
        <x:f>Inputs!D35</x:f>
        <x:v>12</x:v>
      </x:c>
      <x:c r="E108" s="16" t="n">
        <x:f>ROUNDUP(Inputs!$B$4/D108,0)</x:f>
        <x:v>3</x:v>
      </x:c>
      <x:c r="F108" s="16" t="str">
        <x:f>Inputs!A15</x:f>
        <x:v>odp</x:v>
      </x:c>
      <x:c r="G108" s="16" t="str">
        <x:f>Inputs!C15</x:f>
        <x:v>kg CFC-11e</x:v>
      </x:c>
      <x:c r="H108" s="9" t="str">
        <x:f>IF(Inputs!J35="","",Inputs!J35)</x:f>
      </x:c>
      <x:c r="I108" s="9" t="str">
        <x:f>IF(H108="","",H108*C108/D108)</x:f>
      </x:c>
      <x:c r="J108" s="9" t="str">
        <x:f>IF(H108="","",H108*C108*E108)</x:f>
      </x:c>
      <x:c r="K108" s="1" t="str">
        <x:f>IF(H108&lt;&gt;"","Complete",IF(C108=0,"Not required","Missing"))</x:f>
        <x:v>Missing</x:v>
      </x:c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5" t="str">
        <x:f>Inputs!A35</x:f>
        <x:v>Technology</x:v>
      </x:c>
      <x:c r="B109" s="15" t="str">
        <x:f>Inputs!B35</x:f>
        <x:v>Fan coils HVAC</x:v>
      </x:c>
      <x:c r="C109" s="16" t="n">
        <x:f>Inputs!C35</x:f>
        <x:v>20</x:v>
      </x:c>
      <x:c r="D109" s="16" t="n">
        <x:f>Inputs!D35</x:f>
        <x:v>12</x:v>
      </x:c>
      <x:c r="E109" s="16" t="n">
        <x:f>ROUNDUP(Inputs!$B$4/D109,0)</x:f>
        <x:v>3</x:v>
      </x:c>
      <x:c r="F109" s="16" t="str">
        <x:f>Inputs!A16</x:f>
        <x:v>ap</x:v>
      </x:c>
      <x:c r="G109" s="16" t="str">
        <x:f>Inputs!C16</x:f>
        <x:v>mol H+e</x:v>
      </x:c>
      <x:c r="H109" s="9" t="str">
        <x:f>IF(Inputs!K35="","",Inputs!K35)</x:f>
      </x:c>
      <x:c r="I109" s="9" t="str">
        <x:f>IF(H109="","",H109*C109/D109)</x:f>
      </x:c>
      <x:c r="J109" s="9" t="str">
        <x:f>IF(H109="","",H109*C109*E109)</x:f>
      </x:c>
      <x:c r="K109" s="1" t="str">
        <x:f>IF(H109&lt;&gt;"","Complete",IF(C109=0,"Not required","Missing"))</x:f>
        <x:v>Missing</x:v>
      </x:c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5" t="str">
        <x:f>Inputs!A35</x:f>
        <x:v>Technology</x:v>
      </x:c>
      <x:c r="B110" s="15" t="str">
        <x:f>Inputs!B35</x:f>
        <x:v>Fan coils HVAC</x:v>
      </x:c>
      <x:c r="C110" s="16" t="n">
        <x:f>Inputs!C35</x:f>
        <x:v>20</x:v>
      </x:c>
      <x:c r="D110" s="16" t="n">
        <x:f>Inputs!D35</x:f>
        <x:v>12</x:v>
      </x:c>
      <x:c r="E110" s="16" t="n">
        <x:f>ROUNDUP(Inputs!$B$4/D110,0)</x:f>
        <x:v>3</x:v>
      </x:c>
      <x:c r="F110" s="16" t="str">
        <x:f>Inputs!A17</x:f>
        <x:v>ep_freshwater</x:v>
      </x:c>
      <x:c r="G110" s="16" t="str">
        <x:f>Inputs!C17</x:f>
        <x:v>kg PO4e</x:v>
      </x:c>
      <x:c r="H110" s="9" t="str">
        <x:f>IF(Inputs!L35="","",Inputs!L35)</x:f>
      </x:c>
      <x:c r="I110" s="9" t="str">
        <x:f>IF(H110="","",H110*C110/D110)</x:f>
      </x:c>
      <x:c r="J110" s="9" t="str">
        <x:f>IF(H110="","",H110*C110*E110)</x:f>
      </x:c>
      <x:c r="K110" s="1" t="str">
        <x:f>IF(H110&lt;&gt;"","Complete",IF(C110=0,"Not required","Missing"))</x:f>
        <x:v>Missing</x:v>
      </x:c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5" t="str">
        <x:f>Inputs!A35</x:f>
        <x:v>Technology</x:v>
      </x:c>
      <x:c r="B111" s="15" t="str">
        <x:f>Inputs!B35</x:f>
        <x:v>Fan coils HVAC</x:v>
      </x:c>
      <x:c r="C111" s="16" t="n">
        <x:f>Inputs!C35</x:f>
        <x:v>20</x:v>
      </x:c>
      <x:c r="D111" s="16" t="n">
        <x:f>Inputs!D35</x:f>
        <x:v>12</x:v>
      </x:c>
      <x:c r="E111" s="16" t="n">
        <x:f>ROUNDUP(Inputs!$B$4/D111,0)</x:f>
        <x:v>3</x:v>
      </x:c>
      <x:c r="F111" s="16" t="str">
        <x:f>Inputs!A18</x:f>
        <x:v>ep_marine</x:v>
      </x:c>
      <x:c r="G111" s="16" t="str">
        <x:f>Inputs!C18</x:f>
        <x:v>kg Ne</x:v>
      </x:c>
      <x:c r="H111" s="9" t="str">
        <x:f>IF(Inputs!M35="","",Inputs!M35)</x:f>
      </x:c>
      <x:c r="I111" s="9" t="str">
        <x:f>IF(H111="","",H111*C111/D111)</x:f>
      </x:c>
      <x:c r="J111" s="9" t="str">
        <x:f>IF(H111="","",H111*C111*E111)</x:f>
      </x:c>
      <x:c r="K111" s="1" t="str">
        <x:f>IF(H111&lt;&gt;"","Complete",IF(C111=0,"Not required","Missing"))</x:f>
        <x:v>Missing</x:v>
      </x:c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5" t="str">
        <x:f>Inputs!A35</x:f>
        <x:v>Technology</x:v>
      </x:c>
      <x:c r="B112" s="15" t="str">
        <x:f>Inputs!B35</x:f>
        <x:v>Fan coils HVAC</x:v>
      </x:c>
      <x:c r="C112" s="16" t="n">
        <x:f>Inputs!C35</x:f>
        <x:v>20</x:v>
      </x:c>
      <x:c r="D112" s="16" t="n">
        <x:f>Inputs!D35</x:f>
        <x:v>12</x:v>
      </x:c>
      <x:c r="E112" s="16" t="n">
        <x:f>ROUNDUP(Inputs!$B$4/D112,0)</x:f>
        <x:v>3</x:v>
      </x:c>
      <x:c r="F112" s="16" t="str">
        <x:f>Inputs!A19</x:f>
        <x:v>ep_terrestrial</x:v>
      </x:c>
      <x:c r="G112" s="16" t="str">
        <x:f>Inputs!C19</x:f>
        <x:v>mol Ne</x:v>
      </x:c>
      <x:c r="H112" s="9" t="str">
        <x:f>IF(Inputs!N35="","",Inputs!N35)</x:f>
      </x:c>
      <x:c r="I112" s="9" t="str">
        <x:f>IF(H112="","",H112*C112/D112)</x:f>
      </x:c>
      <x:c r="J112" s="9" t="str">
        <x:f>IF(H112="","",H112*C112*E112)</x:f>
      </x:c>
      <x:c r="K112" s="1" t="str">
        <x:f>IF(H112&lt;&gt;"","Complete",IF(C112=0,"Not required","Missing"))</x:f>
        <x:v>Missing</x:v>
      </x:c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5" t="str">
        <x:f>Inputs!A35</x:f>
        <x:v>Technology</x:v>
      </x:c>
      <x:c r="B113" s="15" t="str">
        <x:f>Inputs!B35</x:f>
        <x:v>Fan coils HVAC</x:v>
      </x:c>
      <x:c r="C113" s="16" t="n">
        <x:f>Inputs!C35</x:f>
        <x:v>20</x:v>
      </x:c>
      <x:c r="D113" s="16" t="n">
        <x:f>Inputs!D35</x:f>
        <x:v>12</x:v>
      </x:c>
      <x:c r="E113" s="16" t="n">
        <x:f>ROUNDUP(Inputs!$B$4/D113,0)</x:f>
        <x:v>3</x:v>
      </x:c>
      <x:c r="F113" s="16" t="str">
        <x:f>Inputs!A20</x:f>
        <x:v>pocp</x:v>
      </x:c>
      <x:c r="G113" s="16" t="str">
        <x:f>Inputs!C20</x:f>
        <x:v>kg NMVOCe</x:v>
      </x:c>
      <x:c r="H113" s="9" t="str">
        <x:f>IF(Inputs!O35="","",Inputs!O35)</x:f>
      </x:c>
      <x:c r="I113" s="9" t="str">
        <x:f>IF(H113="","",H113*C113/D113)</x:f>
      </x:c>
      <x:c r="J113" s="9" t="str">
        <x:f>IF(H113="","",H113*C113*E113)</x:f>
      </x:c>
      <x:c r="K113" s="1" t="str">
        <x:f>IF(H113&lt;&gt;"","Complete",IF(C113=0,"Not required","Missing"))</x:f>
        <x:v>Missing</x:v>
      </x:c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5" t="str">
        <x:f>Inputs!A35</x:f>
        <x:v>Technology</x:v>
      </x:c>
      <x:c r="B114" s="15" t="str">
        <x:f>Inputs!B35</x:f>
        <x:v>Fan coils HVAC</x:v>
      </x:c>
      <x:c r="C114" s="16" t="n">
        <x:f>Inputs!C35</x:f>
        <x:v>20</x:v>
      </x:c>
      <x:c r="D114" s="16" t="n">
        <x:f>Inputs!D35</x:f>
        <x:v>12</x:v>
      </x:c>
      <x:c r="E114" s="16" t="n">
        <x:f>ROUNDUP(Inputs!$B$4/D114,0)</x:f>
        <x:v>3</x:v>
      </x:c>
      <x:c r="F114" s="16" t="str">
        <x:f>Inputs!A21</x:f>
        <x:v>adp_minerals_metals</x:v>
      </x:c>
      <x:c r="G114" s="16" t="str">
        <x:f>Inputs!C21</x:f>
        <x:v>kg Sbe</x:v>
      </x:c>
      <x:c r="H114" s="9" t="str">
        <x:f>IF(Inputs!P35="","",Inputs!P35)</x:f>
      </x:c>
      <x:c r="I114" s="9" t="str">
        <x:f>IF(H114="","",H114*C114/D114)</x:f>
      </x:c>
      <x:c r="J114" s="9" t="str">
        <x:f>IF(H114="","",H114*C114*E114)</x:f>
      </x:c>
      <x:c r="K114" s="1" t="str">
        <x:f>IF(H114&lt;&gt;"","Complete",IF(C114=0,"Not required","Missing"))</x:f>
        <x:v>Missing</x:v>
      </x:c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5" t="str">
        <x:f>Inputs!A35</x:f>
        <x:v>Technology</x:v>
      </x:c>
      <x:c r="B115" s="15" t="str">
        <x:f>Inputs!B35</x:f>
        <x:v>Fan coils HVAC</x:v>
      </x:c>
      <x:c r="C115" s="16" t="n">
        <x:f>Inputs!C35</x:f>
        <x:v>20</x:v>
      </x:c>
      <x:c r="D115" s="16" t="n">
        <x:f>Inputs!D35</x:f>
        <x:v>12</x:v>
      </x:c>
      <x:c r="E115" s="16" t="n">
        <x:f>ROUNDUP(Inputs!$B$4/D115,0)</x:f>
        <x:v>3</x:v>
      </x:c>
      <x:c r="F115" s="16" t="str">
        <x:f>Inputs!A22</x:f>
        <x:v>adp_fossil</x:v>
      </x:c>
      <x:c r="G115" s="16" t="str">
        <x:f>Inputs!C22</x:f>
        <x:v>MJ net calorific value</x:v>
      </x:c>
      <x:c r="H115" s="9" t="str">
        <x:f>IF(Inputs!Q35="","",Inputs!Q35)</x:f>
      </x:c>
      <x:c r="I115" s="9" t="str">
        <x:f>IF(H115="","",H115*C115/D115)</x:f>
      </x:c>
      <x:c r="J115" s="9" t="str">
        <x:f>IF(H115="","",H115*C115*E115)</x:f>
      </x:c>
      <x:c r="K115" s="1" t="str">
        <x:f>IF(H115&lt;&gt;"","Complete",IF(C115=0,"Not required","Missing"))</x:f>
        <x:v>Missing</x:v>
      </x:c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5" t="str">
        <x:f>Inputs!A35</x:f>
        <x:v>Technology</x:v>
      </x:c>
      <x:c r="B116" s="15" t="str">
        <x:f>Inputs!B35</x:f>
        <x:v>Fan coils HVAC</x:v>
      </x:c>
      <x:c r="C116" s="16" t="n">
        <x:f>Inputs!C35</x:f>
        <x:v>20</x:v>
      </x:c>
      <x:c r="D116" s="16" t="n">
        <x:f>Inputs!D35</x:f>
        <x:v>12</x:v>
      </x:c>
      <x:c r="E116" s="16" t="n">
        <x:f>ROUNDUP(Inputs!$B$4/D116,0)</x:f>
        <x:v>3</x:v>
      </x:c>
      <x:c r="F116" s="16" t="str">
        <x:f>Inputs!A23</x:f>
        <x:v>wdp</x:v>
      </x:c>
      <x:c r="G116" s="16" t="str">
        <x:f>Inputs!C23</x:f>
        <x:v>m3 world-e deprived</x:v>
      </x:c>
      <x:c r="H116" s="9" t="str">
        <x:f>IF(Inputs!R35="","",Inputs!R35)</x:f>
      </x:c>
      <x:c r="I116" s="9" t="str">
        <x:f>IF(H116="","",H116*C116/D116)</x:f>
      </x:c>
      <x:c r="J116" s="9" t="str">
        <x:f>IF(H116="","",H116*C116*E116)</x:f>
      </x:c>
      <x:c r="K116" s="1" t="str">
        <x:f>IF(H116&lt;&gt;"","Complete",IF(C116=0,"Not required","Missing"))</x:f>
        <x:v>Missing</x:v>
      </x:c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5" t="str">
        <x:f>Inputs!A36</x:f>
        <x:v>Technology</x:v>
      </x:c>
      <x:c r="B117" s="15" t="str">
        <x:f>Inputs!B36</x:f>
        <x:v>DHW heat pump</x:v>
      </x:c>
      <x:c r="C117" s="16" t="n">
        <x:f>Inputs!C36</x:f>
        <x:v>26</x:v>
      </x:c>
      <x:c r="D117" s="16" t="n">
        <x:f>Inputs!D36</x:f>
        <x:v>12</x:v>
      </x:c>
      <x:c r="E117" s="16" t="n">
        <x:f>ROUNDUP(Inputs!$B$4/D117,0)</x:f>
        <x:v>3</x:v>
      </x:c>
      <x:c r="F117" s="16" t="str">
        <x:f>Inputs!A10</x:f>
        <x:v>primary_energy</x:v>
      </x:c>
      <x:c r="G117" s="16" t="str">
        <x:f>Inputs!C10</x:f>
        <x:v>kWh</x:v>
      </x:c>
      <x:c r="H117" s="9" t="n">
        <x:f>IF(Inputs!E36="","",Inputs!E36)</x:f>
        <x:v>284.1666666666667</x:v>
      </x:c>
      <x:c r="I117" s="9" t="n">
        <x:f>IF(H117="","",H117*C117/D117)</x:f>
        <x:v>615.6944444444445</x:v>
      </x:c>
      <x:c r="J117" s="9" t="n">
        <x:f>IF(H117="","",H117*C117*E117)</x:f>
        <x:v>22165</x:v>
      </x:c>
      <x:c r="K117" s="1" t="str">
        <x:f>IF(H117&lt;&gt;"","Complete",IF(C117=0,"Not required","Missing"))</x:f>
        <x:v>Complete</x:v>
      </x:c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5" t="str">
        <x:f>Inputs!A36</x:f>
        <x:v>Technology</x:v>
      </x:c>
      <x:c r="B118" s="15" t="str">
        <x:f>Inputs!B36</x:f>
        <x:v>DHW heat pump</x:v>
      </x:c>
      <x:c r="C118" s="16" t="n">
        <x:f>Inputs!C36</x:f>
        <x:v>26</x:v>
      </x:c>
      <x:c r="D118" s="16" t="n">
        <x:f>Inputs!D36</x:f>
        <x:v>12</x:v>
      </x:c>
      <x:c r="E118" s="16" t="n">
        <x:f>ROUNDUP(Inputs!$B$4/D118,0)</x:f>
        <x:v>3</x:v>
      </x:c>
      <x:c r="F118" s="16" t="str">
        <x:f>Inputs!A11</x:f>
        <x:v>gwp_total</x:v>
      </x:c>
      <x:c r="G118" s="16" t="str">
        <x:f>Inputs!C11</x:f>
        <x:v>kg CO2e</x:v>
      </x:c>
      <x:c r="H118" s="9" t="n">
        <x:f>IF(Inputs!F36="","",Inputs!F36)</x:f>
        <x:v>80</x:v>
      </x:c>
      <x:c r="I118" s="9" t="n">
        <x:f>IF(H118="","",H118*C118/D118)</x:f>
        <x:v>173.33333333333334</x:v>
      </x:c>
      <x:c r="J118" s="9" t="n">
        <x:f>IF(H118="","",H118*C118*E118)</x:f>
        <x:v>6240</x:v>
      </x:c>
      <x:c r="K118" s="1" t="str">
        <x:f>IF(H118&lt;&gt;"","Complete",IF(C118=0,"Not required","Missing"))</x:f>
        <x:v>Complete</x:v>
      </x:c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5" t="str">
        <x:f>Inputs!A36</x:f>
        <x:v>Technology</x:v>
      </x:c>
      <x:c r="B119" s="15" t="str">
        <x:f>Inputs!B36</x:f>
        <x:v>DHW heat pump</x:v>
      </x:c>
      <x:c r="C119" s="16" t="n">
        <x:f>Inputs!C36</x:f>
        <x:v>26</x:v>
      </x:c>
      <x:c r="D119" s="16" t="n">
        <x:f>Inputs!D36</x:f>
        <x:v>12</x:v>
      </x:c>
      <x:c r="E119" s="16" t="n">
        <x:f>ROUNDUP(Inputs!$B$4/D119,0)</x:f>
        <x:v>3</x:v>
      </x:c>
      <x:c r="F119" s="16" t="str">
        <x:f>Inputs!A12</x:f>
        <x:v>gwp_fossil</x:v>
      </x:c>
      <x:c r="G119" s="16" t="str">
        <x:f>Inputs!C12</x:f>
        <x:v>kg CO2e</x:v>
      </x:c>
      <x:c r="H119" s="9" t="str">
        <x:f>IF(Inputs!G36="","",Inputs!G36)</x:f>
      </x:c>
      <x:c r="I119" s="9" t="str">
        <x:f>IF(H119="","",H119*C119/D119)</x:f>
      </x:c>
      <x:c r="J119" s="9" t="str">
        <x:f>IF(H119="","",H119*C119*E119)</x:f>
      </x:c>
      <x:c r="K119" s="1" t="str">
        <x:f>IF(H119&lt;&gt;"","Complete",IF(C119=0,"Not required","Missing"))</x:f>
        <x:v>Missing</x:v>
      </x:c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5" t="str">
        <x:f>Inputs!A36</x:f>
        <x:v>Technology</x:v>
      </x:c>
      <x:c r="B120" s="15" t="str">
        <x:f>Inputs!B36</x:f>
        <x:v>DHW heat pump</x:v>
      </x:c>
      <x:c r="C120" s="16" t="n">
        <x:f>Inputs!C36</x:f>
        <x:v>26</x:v>
      </x:c>
      <x:c r="D120" s="16" t="n">
        <x:f>Inputs!D36</x:f>
        <x:v>12</x:v>
      </x:c>
      <x:c r="E120" s="16" t="n">
        <x:f>ROUNDUP(Inputs!$B$4/D120,0)</x:f>
        <x:v>3</x:v>
      </x:c>
      <x:c r="F120" s="16" t="str">
        <x:f>Inputs!A13</x:f>
        <x:v>gwp_biogenic</x:v>
      </x:c>
      <x:c r="G120" s="16" t="str">
        <x:f>Inputs!C13</x:f>
        <x:v>kg CO2e</x:v>
      </x:c>
      <x:c r="H120" s="9" t="str">
        <x:f>IF(Inputs!H36="","",Inputs!H36)</x:f>
      </x:c>
      <x:c r="I120" s="9" t="str">
        <x:f>IF(H120="","",H120*C120/D120)</x:f>
      </x:c>
      <x:c r="J120" s="9" t="str">
        <x:f>IF(H120="","",H120*C120*E120)</x:f>
      </x:c>
      <x:c r="K120" s="1" t="str">
        <x:f>IF(H120&lt;&gt;"","Complete",IF(C120=0,"Not required","Missing"))</x:f>
        <x:v>Missing</x:v>
      </x:c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5" t="str">
        <x:f>Inputs!A36</x:f>
        <x:v>Technology</x:v>
      </x:c>
      <x:c r="B121" s="15" t="str">
        <x:f>Inputs!B36</x:f>
        <x:v>DHW heat pump</x:v>
      </x:c>
      <x:c r="C121" s="16" t="n">
        <x:f>Inputs!C36</x:f>
        <x:v>26</x:v>
      </x:c>
      <x:c r="D121" s="16" t="n">
        <x:f>Inputs!D36</x:f>
        <x:v>12</x:v>
      </x:c>
      <x:c r="E121" s="16" t="n">
        <x:f>ROUNDUP(Inputs!$B$4/D121,0)</x:f>
        <x:v>3</x:v>
      </x:c>
      <x:c r="F121" s="16" t="str">
        <x:f>Inputs!A14</x:f>
        <x:v>gwp_luluc</x:v>
      </x:c>
      <x:c r="G121" s="16" t="str">
        <x:f>Inputs!C14</x:f>
        <x:v>kg CO2e</x:v>
      </x:c>
      <x:c r="H121" s="9" t="str">
        <x:f>IF(Inputs!I36="","",Inputs!I36)</x:f>
      </x:c>
      <x:c r="I121" s="9" t="str">
        <x:f>IF(H121="","",H121*C121/D121)</x:f>
      </x:c>
      <x:c r="J121" s="9" t="str">
        <x:f>IF(H121="","",H121*C121*E121)</x:f>
      </x:c>
      <x:c r="K121" s="1" t="str">
        <x:f>IF(H121&lt;&gt;"","Complete",IF(C121=0,"Not required","Missing"))</x:f>
        <x:v>Missing</x:v>
      </x:c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5" t="str">
        <x:f>Inputs!A36</x:f>
        <x:v>Technology</x:v>
      </x:c>
      <x:c r="B122" s="15" t="str">
        <x:f>Inputs!B36</x:f>
        <x:v>DHW heat pump</x:v>
      </x:c>
      <x:c r="C122" s="16" t="n">
        <x:f>Inputs!C36</x:f>
        <x:v>26</x:v>
      </x:c>
      <x:c r="D122" s="16" t="n">
        <x:f>Inputs!D36</x:f>
        <x:v>12</x:v>
      </x:c>
      <x:c r="E122" s="16" t="n">
        <x:f>ROUNDUP(Inputs!$B$4/D122,0)</x:f>
        <x:v>3</x:v>
      </x:c>
      <x:c r="F122" s="16" t="str">
        <x:f>Inputs!A15</x:f>
        <x:v>odp</x:v>
      </x:c>
      <x:c r="G122" s="16" t="str">
        <x:f>Inputs!C15</x:f>
        <x:v>kg CFC-11e</x:v>
      </x:c>
      <x:c r="H122" s="9" t="str">
        <x:f>IF(Inputs!J36="","",Inputs!J36)</x:f>
      </x:c>
      <x:c r="I122" s="9" t="str">
        <x:f>IF(H122="","",H122*C122/D122)</x:f>
      </x:c>
      <x:c r="J122" s="9" t="str">
        <x:f>IF(H122="","",H122*C122*E122)</x:f>
      </x:c>
      <x:c r="K122" s="1" t="str">
        <x:f>IF(H122&lt;&gt;"","Complete",IF(C122=0,"Not required","Missing"))</x:f>
        <x:v>Missing</x:v>
      </x:c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5" t="str">
        <x:f>Inputs!A36</x:f>
        <x:v>Technology</x:v>
      </x:c>
      <x:c r="B123" s="15" t="str">
        <x:f>Inputs!B36</x:f>
        <x:v>DHW heat pump</x:v>
      </x:c>
      <x:c r="C123" s="16" t="n">
        <x:f>Inputs!C36</x:f>
        <x:v>26</x:v>
      </x:c>
      <x:c r="D123" s="16" t="n">
        <x:f>Inputs!D36</x:f>
        <x:v>12</x:v>
      </x:c>
      <x:c r="E123" s="16" t="n">
        <x:f>ROUNDUP(Inputs!$B$4/D123,0)</x:f>
        <x:v>3</x:v>
      </x:c>
      <x:c r="F123" s="16" t="str">
        <x:f>Inputs!A16</x:f>
        <x:v>ap</x:v>
      </x:c>
      <x:c r="G123" s="16" t="str">
        <x:f>Inputs!C16</x:f>
        <x:v>mol H+e</x:v>
      </x:c>
      <x:c r="H123" s="9" t="str">
        <x:f>IF(Inputs!K36="","",Inputs!K36)</x:f>
      </x:c>
      <x:c r="I123" s="9" t="str">
        <x:f>IF(H123="","",H123*C123/D123)</x:f>
      </x:c>
      <x:c r="J123" s="9" t="str">
        <x:f>IF(H123="","",H123*C123*E123)</x:f>
      </x:c>
      <x:c r="K123" s="1" t="str">
        <x:f>IF(H123&lt;&gt;"","Complete",IF(C123=0,"Not required","Missing"))</x:f>
        <x:v>Missing</x:v>
      </x:c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5" t="str">
        <x:f>Inputs!A36</x:f>
        <x:v>Technology</x:v>
      </x:c>
      <x:c r="B124" s="15" t="str">
        <x:f>Inputs!B36</x:f>
        <x:v>DHW heat pump</x:v>
      </x:c>
      <x:c r="C124" s="16" t="n">
        <x:f>Inputs!C36</x:f>
        <x:v>26</x:v>
      </x:c>
      <x:c r="D124" s="16" t="n">
        <x:f>Inputs!D36</x:f>
        <x:v>12</x:v>
      </x:c>
      <x:c r="E124" s="16" t="n">
        <x:f>ROUNDUP(Inputs!$B$4/D124,0)</x:f>
        <x:v>3</x:v>
      </x:c>
      <x:c r="F124" s="16" t="str">
        <x:f>Inputs!A17</x:f>
        <x:v>ep_freshwater</x:v>
      </x:c>
      <x:c r="G124" s="16" t="str">
        <x:f>Inputs!C17</x:f>
        <x:v>kg PO4e</x:v>
      </x:c>
      <x:c r="H124" s="9" t="str">
        <x:f>IF(Inputs!L36="","",Inputs!L36)</x:f>
      </x:c>
      <x:c r="I124" s="9" t="str">
        <x:f>IF(H124="","",H124*C124/D124)</x:f>
      </x:c>
      <x:c r="J124" s="9" t="str">
        <x:f>IF(H124="","",H124*C124*E124)</x:f>
      </x:c>
      <x:c r="K124" s="1" t="str">
        <x:f>IF(H124&lt;&gt;"","Complete",IF(C124=0,"Not required","Missing"))</x:f>
        <x:v>Missing</x:v>
      </x:c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5" t="str">
        <x:f>Inputs!A36</x:f>
        <x:v>Technology</x:v>
      </x:c>
      <x:c r="B125" s="15" t="str">
        <x:f>Inputs!B36</x:f>
        <x:v>DHW heat pump</x:v>
      </x:c>
      <x:c r="C125" s="16" t="n">
        <x:f>Inputs!C36</x:f>
        <x:v>26</x:v>
      </x:c>
      <x:c r="D125" s="16" t="n">
        <x:f>Inputs!D36</x:f>
        <x:v>12</x:v>
      </x:c>
      <x:c r="E125" s="16" t="n">
        <x:f>ROUNDUP(Inputs!$B$4/D125,0)</x:f>
        <x:v>3</x:v>
      </x:c>
      <x:c r="F125" s="16" t="str">
        <x:f>Inputs!A18</x:f>
        <x:v>ep_marine</x:v>
      </x:c>
      <x:c r="G125" s="16" t="str">
        <x:f>Inputs!C18</x:f>
        <x:v>kg Ne</x:v>
      </x:c>
      <x:c r="H125" s="9" t="str">
        <x:f>IF(Inputs!M36="","",Inputs!M36)</x:f>
      </x:c>
      <x:c r="I125" s="9" t="str">
        <x:f>IF(H125="","",H125*C125/D125)</x:f>
      </x:c>
      <x:c r="J125" s="9" t="str">
        <x:f>IF(H125="","",H125*C125*E125)</x:f>
      </x:c>
      <x:c r="K125" s="1" t="str">
        <x:f>IF(H125&lt;&gt;"","Complete",IF(C125=0,"Not required","Missing"))</x:f>
        <x:v>Missing</x:v>
      </x:c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5" t="str">
        <x:f>Inputs!A36</x:f>
        <x:v>Technology</x:v>
      </x:c>
      <x:c r="B126" s="15" t="str">
        <x:f>Inputs!B36</x:f>
        <x:v>DHW heat pump</x:v>
      </x:c>
      <x:c r="C126" s="16" t="n">
        <x:f>Inputs!C36</x:f>
        <x:v>26</x:v>
      </x:c>
      <x:c r="D126" s="16" t="n">
        <x:f>Inputs!D36</x:f>
        <x:v>12</x:v>
      </x:c>
      <x:c r="E126" s="16" t="n">
        <x:f>ROUNDUP(Inputs!$B$4/D126,0)</x:f>
        <x:v>3</x:v>
      </x:c>
      <x:c r="F126" s="16" t="str">
        <x:f>Inputs!A19</x:f>
        <x:v>ep_terrestrial</x:v>
      </x:c>
      <x:c r="G126" s="16" t="str">
        <x:f>Inputs!C19</x:f>
        <x:v>mol Ne</x:v>
      </x:c>
      <x:c r="H126" s="9" t="str">
        <x:f>IF(Inputs!N36="","",Inputs!N36)</x:f>
      </x:c>
      <x:c r="I126" s="9" t="str">
        <x:f>IF(H126="","",H126*C126/D126)</x:f>
      </x:c>
      <x:c r="J126" s="9" t="str">
        <x:f>IF(H126="","",H126*C126*E126)</x:f>
      </x:c>
      <x:c r="K126" s="1" t="str">
        <x:f>IF(H126&lt;&gt;"","Complete",IF(C126=0,"Not required","Missing"))</x:f>
        <x:v>Missing</x:v>
      </x:c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5" t="str">
        <x:f>Inputs!A36</x:f>
        <x:v>Technology</x:v>
      </x:c>
      <x:c r="B127" s="15" t="str">
        <x:f>Inputs!B36</x:f>
        <x:v>DHW heat pump</x:v>
      </x:c>
      <x:c r="C127" s="16" t="n">
        <x:f>Inputs!C36</x:f>
        <x:v>26</x:v>
      </x:c>
      <x:c r="D127" s="16" t="n">
        <x:f>Inputs!D36</x:f>
        <x:v>12</x:v>
      </x:c>
      <x:c r="E127" s="16" t="n">
        <x:f>ROUNDUP(Inputs!$B$4/D127,0)</x:f>
        <x:v>3</x:v>
      </x:c>
      <x:c r="F127" s="16" t="str">
        <x:f>Inputs!A20</x:f>
        <x:v>pocp</x:v>
      </x:c>
      <x:c r="G127" s="16" t="str">
        <x:f>Inputs!C20</x:f>
        <x:v>kg NMVOCe</x:v>
      </x:c>
      <x:c r="H127" s="9" t="str">
        <x:f>IF(Inputs!O36="","",Inputs!O36)</x:f>
      </x:c>
      <x:c r="I127" s="9" t="str">
        <x:f>IF(H127="","",H127*C127/D127)</x:f>
      </x:c>
      <x:c r="J127" s="9" t="str">
        <x:f>IF(H127="","",H127*C127*E127)</x:f>
      </x:c>
      <x:c r="K127" s="1" t="str">
        <x:f>IF(H127&lt;&gt;"","Complete",IF(C127=0,"Not required","Missing"))</x:f>
        <x:v>Missing</x:v>
      </x:c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5" t="str">
        <x:f>Inputs!A36</x:f>
        <x:v>Technology</x:v>
      </x:c>
      <x:c r="B128" s="15" t="str">
        <x:f>Inputs!B36</x:f>
        <x:v>DHW heat pump</x:v>
      </x:c>
      <x:c r="C128" s="16" t="n">
        <x:f>Inputs!C36</x:f>
        <x:v>26</x:v>
      </x:c>
      <x:c r="D128" s="16" t="n">
        <x:f>Inputs!D36</x:f>
        <x:v>12</x:v>
      </x:c>
      <x:c r="E128" s="16" t="n">
        <x:f>ROUNDUP(Inputs!$B$4/D128,0)</x:f>
        <x:v>3</x:v>
      </x:c>
      <x:c r="F128" s="16" t="str">
        <x:f>Inputs!A21</x:f>
        <x:v>adp_minerals_metals</x:v>
      </x:c>
      <x:c r="G128" s="16" t="str">
        <x:f>Inputs!C21</x:f>
        <x:v>kg Sbe</x:v>
      </x:c>
      <x:c r="H128" s="9" t="str">
        <x:f>IF(Inputs!P36="","",Inputs!P36)</x:f>
      </x:c>
      <x:c r="I128" s="9" t="str">
        <x:f>IF(H128="","",H128*C128/D128)</x:f>
      </x:c>
      <x:c r="J128" s="9" t="str">
        <x:f>IF(H128="","",H128*C128*E128)</x:f>
      </x:c>
      <x:c r="K128" s="1" t="str">
        <x:f>IF(H128&lt;&gt;"","Complete",IF(C128=0,"Not required","Missing"))</x:f>
        <x:v>Missing</x:v>
      </x:c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5" t="str">
        <x:f>Inputs!A36</x:f>
        <x:v>Technology</x:v>
      </x:c>
      <x:c r="B129" s="15" t="str">
        <x:f>Inputs!B36</x:f>
        <x:v>DHW heat pump</x:v>
      </x:c>
      <x:c r="C129" s="16" t="n">
        <x:f>Inputs!C36</x:f>
        <x:v>26</x:v>
      </x:c>
      <x:c r="D129" s="16" t="n">
        <x:f>Inputs!D36</x:f>
        <x:v>12</x:v>
      </x:c>
      <x:c r="E129" s="16" t="n">
        <x:f>ROUNDUP(Inputs!$B$4/D129,0)</x:f>
        <x:v>3</x:v>
      </x:c>
      <x:c r="F129" s="16" t="str">
        <x:f>Inputs!A22</x:f>
        <x:v>adp_fossil</x:v>
      </x:c>
      <x:c r="G129" s="16" t="str">
        <x:f>Inputs!C22</x:f>
        <x:v>MJ net calorific value</x:v>
      </x:c>
      <x:c r="H129" s="9" t="str">
        <x:f>IF(Inputs!Q36="","",Inputs!Q36)</x:f>
      </x:c>
      <x:c r="I129" s="9" t="str">
        <x:f>IF(H129="","",H129*C129/D129)</x:f>
      </x:c>
      <x:c r="J129" s="9" t="str">
        <x:f>IF(H129="","",H129*C129*E129)</x:f>
      </x:c>
      <x:c r="K129" s="1" t="str">
        <x:f>IF(H129&lt;&gt;"","Complete",IF(C129=0,"Not required","Missing"))</x:f>
        <x:v>Missing</x:v>
      </x:c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5" t="str">
        <x:f>Inputs!A36</x:f>
        <x:v>Technology</x:v>
      </x:c>
      <x:c r="B130" s="15" t="str">
        <x:f>Inputs!B36</x:f>
        <x:v>DHW heat pump</x:v>
      </x:c>
      <x:c r="C130" s="16" t="n">
        <x:f>Inputs!C36</x:f>
        <x:v>26</x:v>
      </x:c>
      <x:c r="D130" s="16" t="n">
        <x:f>Inputs!D36</x:f>
        <x:v>12</x:v>
      </x:c>
      <x:c r="E130" s="16" t="n">
        <x:f>ROUNDUP(Inputs!$B$4/D130,0)</x:f>
        <x:v>3</x:v>
      </x:c>
      <x:c r="F130" s="16" t="str">
        <x:f>Inputs!A23</x:f>
        <x:v>wdp</x:v>
      </x:c>
      <x:c r="G130" s="16" t="str">
        <x:f>Inputs!C23</x:f>
        <x:v>m3 world-e deprived</x:v>
      </x:c>
      <x:c r="H130" s="9" t="str">
        <x:f>IF(Inputs!R36="","",Inputs!R36)</x:f>
      </x:c>
      <x:c r="I130" s="9" t="str">
        <x:f>IF(H130="","",H130*C130/D130)</x:f>
      </x:c>
      <x:c r="J130" s="9" t="str">
        <x:f>IF(H130="","",H130*C130*E130)</x:f>
      </x:c>
      <x:c r="K130" s="1" t="str">
        <x:f>IF(H130&lt;&gt;"","Complete",IF(C130=0,"Not required","Missing"))</x:f>
        <x:v>Missing</x:v>
      </x:c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5" t="str">
        <x:f>Inputs!A37</x:f>
        <x:v>Technology</x:v>
      </x:c>
      <x:c r="B131" s="15" t="str">
        <x:f>Inputs!B37</x:f>
        <x:v>Batteries</x:v>
      </x:c>
      <x:c r="C131" s="16" t="n">
        <x:f>Inputs!C37</x:f>
        <x:v>0</x:v>
      </x:c>
      <x:c r="D131" s="16" t="n">
        <x:f>Inputs!D37</x:f>
        <x:v>8</x:v>
      </x:c>
      <x:c r="E131" s="16" t="n">
        <x:f>ROUNDUP(Inputs!$B$4/D131,0)</x:f>
        <x:v>4</x:v>
      </x:c>
      <x:c r="F131" s="16" t="str">
        <x:f>Inputs!A10</x:f>
        <x:v>primary_energy</x:v>
      </x:c>
      <x:c r="G131" s="16" t="str">
        <x:f>Inputs!C10</x:f>
        <x:v>kWh</x:v>
      </x:c>
      <x:c r="H131" s="9" t="n">
        <x:f>IF(Inputs!E37="","",Inputs!E37)</x:f>
        <x:v>275.8333333333333</x:v>
      </x:c>
      <x:c r="I131" s="9" t="n">
        <x:f>IF(H131="","",H131*C131/D131)</x:f>
        <x:v>0</x:v>
      </x:c>
      <x:c r="J131" s="9" t="n">
        <x:f>IF(H131="","",H131*C131*E131)</x:f>
        <x:v>0</x:v>
      </x:c>
      <x:c r="K131" s="1" t="str">
        <x:f>IF(H131&lt;&gt;"","Complete",IF(C131=0,"Not required","Missing"))</x:f>
        <x:v>Complete</x:v>
      </x:c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5" t="str">
        <x:f>Inputs!A37</x:f>
        <x:v>Technology</x:v>
      </x:c>
      <x:c r="B132" s="15" t="str">
        <x:f>Inputs!B37</x:f>
        <x:v>Batteries</x:v>
      </x:c>
      <x:c r="C132" s="16" t="n">
        <x:f>Inputs!C37</x:f>
        <x:v>0</x:v>
      </x:c>
      <x:c r="D132" s="16" t="n">
        <x:f>Inputs!D37</x:f>
        <x:v>8</x:v>
      </x:c>
      <x:c r="E132" s="16" t="n">
        <x:f>ROUNDUP(Inputs!$B$4/D132,0)</x:f>
        <x:v>4</x:v>
      </x:c>
      <x:c r="F132" s="16" t="str">
        <x:f>Inputs!A11</x:f>
        <x:v>gwp_total</x:v>
      </x:c>
      <x:c r="G132" s="16" t="str">
        <x:f>Inputs!C11</x:f>
        <x:v>kg CO2e</x:v>
      </x:c>
      <x:c r="H132" s="9" t="n">
        <x:f>IF(Inputs!F37="","",Inputs!F37)</x:f>
        <x:v>95</x:v>
      </x:c>
      <x:c r="I132" s="9" t="n">
        <x:f>IF(H132="","",H132*C132/D132)</x:f>
        <x:v>0</x:v>
      </x:c>
      <x:c r="J132" s="9" t="n">
        <x:f>IF(H132="","",H132*C132*E132)</x:f>
        <x:v>0</x:v>
      </x:c>
      <x:c r="K132" s="1" t="str">
        <x:f>IF(H132&lt;&gt;"","Complete",IF(C132=0,"Not required","Missing"))</x:f>
        <x:v>Complete</x:v>
      </x:c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5" t="str">
        <x:f>Inputs!A37</x:f>
        <x:v>Technology</x:v>
      </x:c>
      <x:c r="B133" s="15" t="str">
        <x:f>Inputs!B37</x:f>
        <x:v>Batteries</x:v>
      </x:c>
      <x:c r="C133" s="16" t="n">
        <x:f>Inputs!C37</x:f>
        <x:v>0</x:v>
      </x:c>
      <x:c r="D133" s="16" t="n">
        <x:f>Inputs!D37</x:f>
        <x:v>8</x:v>
      </x:c>
      <x:c r="E133" s="16" t="n">
        <x:f>ROUNDUP(Inputs!$B$4/D133,0)</x:f>
        <x:v>4</x:v>
      </x:c>
      <x:c r="F133" s="16" t="str">
        <x:f>Inputs!A12</x:f>
        <x:v>gwp_fossil</x:v>
      </x:c>
      <x:c r="G133" s="16" t="str">
        <x:f>Inputs!C12</x:f>
        <x:v>kg CO2e</x:v>
      </x:c>
      <x:c r="H133" s="9" t="str">
        <x:f>IF(Inputs!G37="","",Inputs!G37)</x:f>
      </x:c>
      <x:c r="I133" s="9" t="str">
        <x:f>IF(H133="","",H133*C133/D133)</x:f>
      </x:c>
      <x:c r="J133" s="9" t="str">
        <x:f>IF(H133="","",H133*C133*E133)</x:f>
      </x:c>
      <x:c r="K133" s="1" t="str">
        <x:f>IF(H133&lt;&gt;"","Complete",IF(C133=0,"Not required","Missing"))</x:f>
        <x:v>Not required</x:v>
      </x:c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5" t="str">
        <x:f>Inputs!A37</x:f>
        <x:v>Technology</x:v>
      </x:c>
      <x:c r="B134" s="15" t="str">
        <x:f>Inputs!B37</x:f>
        <x:v>Batteries</x:v>
      </x:c>
      <x:c r="C134" s="16" t="n">
        <x:f>Inputs!C37</x:f>
        <x:v>0</x:v>
      </x:c>
      <x:c r="D134" s="16" t="n">
        <x:f>Inputs!D37</x:f>
        <x:v>8</x:v>
      </x:c>
      <x:c r="E134" s="16" t="n">
        <x:f>ROUNDUP(Inputs!$B$4/D134,0)</x:f>
        <x:v>4</x:v>
      </x:c>
      <x:c r="F134" s="16" t="str">
        <x:f>Inputs!A13</x:f>
        <x:v>gwp_biogenic</x:v>
      </x:c>
      <x:c r="G134" s="16" t="str">
        <x:f>Inputs!C13</x:f>
        <x:v>kg CO2e</x:v>
      </x:c>
      <x:c r="H134" s="9" t="str">
        <x:f>IF(Inputs!H37="","",Inputs!H37)</x:f>
      </x:c>
      <x:c r="I134" s="9" t="str">
        <x:f>IF(H134="","",H134*C134/D134)</x:f>
      </x:c>
      <x:c r="J134" s="9" t="str">
        <x:f>IF(H134="","",H134*C134*E134)</x:f>
      </x:c>
      <x:c r="K134" s="1" t="str">
        <x:f>IF(H134&lt;&gt;"","Complete",IF(C134=0,"Not required","Missing"))</x:f>
        <x:v>Not required</x:v>
      </x:c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5" t="str">
        <x:f>Inputs!A37</x:f>
        <x:v>Technology</x:v>
      </x:c>
      <x:c r="B135" s="15" t="str">
        <x:f>Inputs!B37</x:f>
        <x:v>Batteries</x:v>
      </x:c>
      <x:c r="C135" s="16" t="n">
        <x:f>Inputs!C37</x:f>
        <x:v>0</x:v>
      </x:c>
      <x:c r="D135" s="16" t="n">
        <x:f>Inputs!D37</x:f>
        <x:v>8</x:v>
      </x:c>
      <x:c r="E135" s="16" t="n">
        <x:f>ROUNDUP(Inputs!$B$4/D135,0)</x:f>
        <x:v>4</x:v>
      </x:c>
      <x:c r="F135" s="16" t="str">
        <x:f>Inputs!A14</x:f>
        <x:v>gwp_luluc</x:v>
      </x:c>
      <x:c r="G135" s="16" t="str">
        <x:f>Inputs!C14</x:f>
        <x:v>kg CO2e</x:v>
      </x:c>
      <x:c r="H135" s="9" t="str">
        <x:f>IF(Inputs!I37="","",Inputs!I37)</x:f>
      </x:c>
      <x:c r="I135" s="9" t="str">
        <x:f>IF(H135="","",H135*C135/D135)</x:f>
      </x:c>
      <x:c r="J135" s="9" t="str">
        <x:f>IF(H135="","",H135*C135*E135)</x:f>
      </x:c>
      <x:c r="K135" s="1" t="str">
        <x:f>IF(H135&lt;&gt;"","Complete",IF(C135=0,"Not required","Missing"))</x:f>
        <x:v>Not required</x:v>
      </x:c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5" t="str">
        <x:f>Inputs!A37</x:f>
        <x:v>Technology</x:v>
      </x:c>
      <x:c r="B136" s="15" t="str">
        <x:f>Inputs!B37</x:f>
        <x:v>Batteries</x:v>
      </x:c>
      <x:c r="C136" s="16" t="n">
        <x:f>Inputs!C37</x:f>
        <x:v>0</x:v>
      </x:c>
      <x:c r="D136" s="16" t="n">
        <x:f>Inputs!D37</x:f>
        <x:v>8</x:v>
      </x:c>
      <x:c r="E136" s="16" t="n">
        <x:f>ROUNDUP(Inputs!$B$4/D136,0)</x:f>
        <x:v>4</x:v>
      </x:c>
      <x:c r="F136" s="16" t="str">
        <x:f>Inputs!A15</x:f>
        <x:v>odp</x:v>
      </x:c>
      <x:c r="G136" s="16" t="str">
        <x:f>Inputs!C15</x:f>
        <x:v>kg CFC-11e</x:v>
      </x:c>
      <x:c r="H136" s="9" t="str">
        <x:f>IF(Inputs!J37="","",Inputs!J37)</x:f>
      </x:c>
      <x:c r="I136" s="9" t="str">
        <x:f>IF(H136="","",H136*C136/D136)</x:f>
      </x:c>
      <x:c r="J136" s="9" t="str">
        <x:f>IF(H136="","",H136*C136*E136)</x:f>
      </x:c>
      <x:c r="K136" s="1" t="str">
        <x:f>IF(H136&lt;&gt;"","Complete",IF(C136=0,"Not required","Missing"))</x:f>
        <x:v>Not required</x:v>
      </x:c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5" t="str">
        <x:f>Inputs!A37</x:f>
        <x:v>Technology</x:v>
      </x:c>
      <x:c r="B137" s="15" t="str">
        <x:f>Inputs!B37</x:f>
        <x:v>Batteries</x:v>
      </x:c>
      <x:c r="C137" s="16" t="n">
        <x:f>Inputs!C37</x:f>
        <x:v>0</x:v>
      </x:c>
      <x:c r="D137" s="16" t="n">
        <x:f>Inputs!D37</x:f>
        <x:v>8</x:v>
      </x:c>
      <x:c r="E137" s="16" t="n">
        <x:f>ROUNDUP(Inputs!$B$4/D137,0)</x:f>
        <x:v>4</x:v>
      </x:c>
      <x:c r="F137" s="16" t="str">
        <x:f>Inputs!A16</x:f>
        <x:v>ap</x:v>
      </x:c>
      <x:c r="G137" s="16" t="str">
        <x:f>Inputs!C16</x:f>
        <x:v>mol H+e</x:v>
      </x:c>
      <x:c r="H137" s="9" t="str">
        <x:f>IF(Inputs!K37="","",Inputs!K37)</x:f>
      </x:c>
      <x:c r="I137" s="9" t="str">
        <x:f>IF(H137="","",H137*C137/D137)</x:f>
      </x:c>
      <x:c r="J137" s="9" t="str">
        <x:f>IF(H137="","",H137*C137*E137)</x:f>
      </x:c>
      <x:c r="K137" s="1" t="str">
        <x:f>IF(H137&lt;&gt;"","Complete",IF(C137=0,"Not required","Missing"))</x:f>
        <x:v>Not required</x:v>
      </x:c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5" t="str">
        <x:f>Inputs!A37</x:f>
        <x:v>Technology</x:v>
      </x:c>
      <x:c r="B138" s="15" t="str">
        <x:f>Inputs!B37</x:f>
        <x:v>Batteries</x:v>
      </x:c>
      <x:c r="C138" s="16" t="n">
        <x:f>Inputs!C37</x:f>
        <x:v>0</x:v>
      </x:c>
      <x:c r="D138" s="16" t="n">
        <x:f>Inputs!D37</x:f>
        <x:v>8</x:v>
      </x:c>
      <x:c r="E138" s="16" t="n">
        <x:f>ROUNDUP(Inputs!$B$4/D138,0)</x:f>
        <x:v>4</x:v>
      </x:c>
      <x:c r="F138" s="16" t="str">
        <x:f>Inputs!A17</x:f>
        <x:v>ep_freshwater</x:v>
      </x:c>
      <x:c r="G138" s="16" t="str">
        <x:f>Inputs!C17</x:f>
        <x:v>kg PO4e</x:v>
      </x:c>
      <x:c r="H138" s="9" t="str">
        <x:f>IF(Inputs!L37="","",Inputs!L37)</x:f>
      </x:c>
      <x:c r="I138" s="9" t="str">
        <x:f>IF(H138="","",H138*C138/D138)</x:f>
      </x:c>
      <x:c r="J138" s="9" t="str">
        <x:f>IF(H138="","",H138*C138*E138)</x:f>
      </x:c>
      <x:c r="K138" s="1" t="str">
        <x:f>IF(H138&lt;&gt;"","Complete",IF(C138=0,"Not required","Missing"))</x:f>
        <x:v>Not required</x:v>
      </x:c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5" t="str">
        <x:f>Inputs!A37</x:f>
        <x:v>Technology</x:v>
      </x:c>
      <x:c r="B139" s="15" t="str">
        <x:f>Inputs!B37</x:f>
        <x:v>Batteries</x:v>
      </x:c>
      <x:c r="C139" s="16" t="n">
        <x:f>Inputs!C37</x:f>
        <x:v>0</x:v>
      </x:c>
      <x:c r="D139" s="16" t="n">
        <x:f>Inputs!D37</x:f>
        <x:v>8</x:v>
      </x:c>
      <x:c r="E139" s="16" t="n">
        <x:f>ROUNDUP(Inputs!$B$4/D139,0)</x:f>
        <x:v>4</x:v>
      </x:c>
      <x:c r="F139" s="16" t="str">
        <x:f>Inputs!A18</x:f>
        <x:v>ep_marine</x:v>
      </x:c>
      <x:c r="G139" s="16" t="str">
        <x:f>Inputs!C18</x:f>
        <x:v>kg Ne</x:v>
      </x:c>
      <x:c r="H139" s="9" t="str">
        <x:f>IF(Inputs!M37="","",Inputs!M37)</x:f>
      </x:c>
      <x:c r="I139" s="9" t="str">
        <x:f>IF(H139="","",H139*C139/D139)</x:f>
      </x:c>
      <x:c r="J139" s="9" t="str">
        <x:f>IF(H139="","",H139*C139*E139)</x:f>
      </x:c>
      <x:c r="K139" s="1" t="str">
        <x:f>IF(H139&lt;&gt;"","Complete",IF(C139=0,"Not required","Missing"))</x:f>
        <x:v>Not required</x:v>
      </x:c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5" t="str">
        <x:f>Inputs!A37</x:f>
        <x:v>Technology</x:v>
      </x:c>
      <x:c r="B140" s="15" t="str">
        <x:f>Inputs!B37</x:f>
        <x:v>Batteries</x:v>
      </x:c>
      <x:c r="C140" s="16" t="n">
        <x:f>Inputs!C37</x:f>
        <x:v>0</x:v>
      </x:c>
      <x:c r="D140" s="16" t="n">
        <x:f>Inputs!D37</x:f>
        <x:v>8</x:v>
      </x:c>
      <x:c r="E140" s="16" t="n">
        <x:f>ROUNDUP(Inputs!$B$4/D140,0)</x:f>
        <x:v>4</x:v>
      </x:c>
      <x:c r="F140" s="16" t="str">
        <x:f>Inputs!A19</x:f>
        <x:v>ep_terrestrial</x:v>
      </x:c>
      <x:c r="G140" s="16" t="str">
        <x:f>Inputs!C19</x:f>
        <x:v>mol Ne</x:v>
      </x:c>
      <x:c r="H140" s="9" t="str">
        <x:f>IF(Inputs!N37="","",Inputs!N37)</x:f>
      </x:c>
      <x:c r="I140" s="9" t="str">
        <x:f>IF(H140="","",H140*C140/D140)</x:f>
      </x:c>
      <x:c r="J140" s="9" t="str">
        <x:f>IF(H140="","",H140*C140*E140)</x:f>
      </x:c>
      <x:c r="K140" s="1" t="str">
        <x:f>IF(H140&lt;&gt;"","Complete",IF(C140=0,"Not required","Missing"))</x:f>
        <x:v>Not required</x:v>
      </x:c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5" t="str">
        <x:f>Inputs!A37</x:f>
        <x:v>Technology</x:v>
      </x:c>
      <x:c r="B141" s="15" t="str">
        <x:f>Inputs!B37</x:f>
        <x:v>Batteries</x:v>
      </x:c>
      <x:c r="C141" s="16" t="n">
        <x:f>Inputs!C37</x:f>
        <x:v>0</x:v>
      </x:c>
      <x:c r="D141" s="16" t="n">
        <x:f>Inputs!D37</x:f>
        <x:v>8</x:v>
      </x:c>
      <x:c r="E141" s="16" t="n">
        <x:f>ROUNDUP(Inputs!$B$4/D141,0)</x:f>
        <x:v>4</x:v>
      </x:c>
      <x:c r="F141" s="16" t="str">
        <x:f>Inputs!A20</x:f>
        <x:v>pocp</x:v>
      </x:c>
      <x:c r="G141" s="16" t="str">
        <x:f>Inputs!C20</x:f>
        <x:v>kg NMVOCe</x:v>
      </x:c>
      <x:c r="H141" s="9" t="str">
        <x:f>IF(Inputs!O37="","",Inputs!O37)</x:f>
      </x:c>
      <x:c r="I141" s="9" t="str">
        <x:f>IF(H141="","",H141*C141/D141)</x:f>
      </x:c>
      <x:c r="J141" s="9" t="str">
        <x:f>IF(H141="","",H141*C141*E141)</x:f>
      </x:c>
      <x:c r="K141" s="1" t="str">
        <x:f>IF(H141&lt;&gt;"","Complete",IF(C141=0,"Not required","Missing"))</x:f>
        <x:v>Not required</x:v>
      </x:c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5" t="str">
        <x:f>Inputs!A37</x:f>
        <x:v>Technology</x:v>
      </x:c>
      <x:c r="B142" s="15" t="str">
        <x:f>Inputs!B37</x:f>
        <x:v>Batteries</x:v>
      </x:c>
      <x:c r="C142" s="16" t="n">
        <x:f>Inputs!C37</x:f>
        <x:v>0</x:v>
      </x:c>
      <x:c r="D142" s="16" t="n">
        <x:f>Inputs!D37</x:f>
        <x:v>8</x:v>
      </x:c>
      <x:c r="E142" s="16" t="n">
        <x:f>ROUNDUP(Inputs!$B$4/D142,0)</x:f>
        <x:v>4</x:v>
      </x:c>
      <x:c r="F142" s="16" t="str">
        <x:f>Inputs!A21</x:f>
        <x:v>adp_minerals_metals</x:v>
      </x:c>
      <x:c r="G142" s="16" t="str">
        <x:f>Inputs!C21</x:f>
        <x:v>kg Sbe</x:v>
      </x:c>
      <x:c r="H142" s="9" t="str">
        <x:f>IF(Inputs!P37="","",Inputs!P37)</x:f>
      </x:c>
      <x:c r="I142" s="9" t="str">
        <x:f>IF(H142="","",H142*C142/D142)</x:f>
      </x:c>
      <x:c r="J142" s="9" t="str">
        <x:f>IF(H142="","",H142*C142*E142)</x:f>
      </x:c>
      <x:c r="K142" s="1" t="str">
        <x:f>IF(H142&lt;&gt;"","Complete",IF(C142=0,"Not required","Missing"))</x:f>
        <x:v>Not required</x:v>
      </x:c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5" t="str">
        <x:f>Inputs!A37</x:f>
        <x:v>Technology</x:v>
      </x:c>
      <x:c r="B143" s="15" t="str">
        <x:f>Inputs!B37</x:f>
        <x:v>Batteries</x:v>
      </x:c>
      <x:c r="C143" s="16" t="n">
        <x:f>Inputs!C37</x:f>
        <x:v>0</x:v>
      </x:c>
      <x:c r="D143" s="16" t="n">
        <x:f>Inputs!D37</x:f>
        <x:v>8</x:v>
      </x:c>
      <x:c r="E143" s="16" t="n">
        <x:f>ROUNDUP(Inputs!$B$4/D143,0)</x:f>
        <x:v>4</x:v>
      </x:c>
      <x:c r="F143" s="16" t="str">
        <x:f>Inputs!A22</x:f>
        <x:v>adp_fossil</x:v>
      </x:c>
      <x:c r="G143" s="16" t="str">
        <x:f>Inputs!C22</x:f>
        <x:v>MJ net calorific value</x:v>
      </x:c>
      <x:c r="H143" s="9" t="str">
        <x:f>IF(Inputs!Q37="","",Inputs!Q37)</x:f>
      </x:c>
      <x:c r="I143" s="9" t="str">
        <x:f>IF(H143="","",H143*C143/D143)</x:f>
      </x:c>
      <x:c r="J143" s="9" t="str">
        <x:f>IF(H143="","",H143*C143*E143)</x:f>
      </x:c>
      <x:c r="K143" s="1" t="str">
        <x:f>IF(H143&lt;&gt;"","Complete",IF(C143=0,"Not required","Missing"))</x:f>
        <x:v>Not required</x:v>
      </x:c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5" t="str">
        <x:f>Inputs!A37</x:f>
        <x:v>Technology</x:v>
      </x:c>
      <x:c r="B144" s="15" t="str">
        <x:f>Inputs!B37</x:f>
        <x:v>Batteries</x:v>
      </x:c>
      <x:c r="C144" s="16" t="n">
        <x:f>Inputs!C37</x:f>
        <x:v>0</x:v>
      </x:c>
      <x:c r="D144" s="16" t="n">
        <x:f>Inputs!D37</x:f>
        <x:v>8</x:v>
      </x:c>
      <x:c r="E144" s="16" t="n">
        <x:f>ROUNDUP(Inputs!$B$4/D144,0)</x:f>
        <x:v>4</x:v>
      </x:c>
      <x:c r="F144" s="16" t="str">
        <x:f>Inputs!A23</x:f>
        <x:v>wdp</x:v>
      </x:c>
      <x:c r="G144" s="16" t="str">
        <x:f>Inputs!C23</x:f>
        <x:v>m3 world-e deprived</x:v>
      </x:c>
      <x:c r="H144" s="9" t="str">
        <x:f>IF(Inputs!R37="","",Inputs!R37)</x:f>
      </x:c>
      <x:c r="I144" s="9" t="str">
        <x:f>IF(H144="","",H144*C144/D144)</x:f>
      </x:c>
      <x:c r="J144" s="9" t="str">
        <x:f>IF(H144="","",H144*C144*E144)</x:f>
      </x:c>
      <x:c r="K144" s="1" t="str">
        <x:f>IF(H144&lt;&gt;"","Complete",IF(C144=0,"Not required","Missing"))</x:f>
        <x:v>Not required</x:v>
      </x:c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5" t="str">
        <x:f>Inputs!A38</x:f>
        <x:v>Technology</x:v>
      </x:c>
      <x:c r="B145" s="15" t="str">
        <x:f>Inputs!B38</x:f>
        <x:v>PV system</x:v>
      </x:c>
      <x:c r="C145" s="16" t="n">
        <x:f>Inputs!C38</x:f>
        <x:v>0</x:v>
      </x:c>
      <x:c r="D145" s="16" t="n">
        <x:f>Inputs!D38</x:f>
        <x:v>25</x:v>
      </x:c>
      <x:c r="E145" s="16" t="n">
        <x:f>ROUNDUP(Inputs!$B$4/D145,0)</x:f>
        <x:v>2</x:v>
      </x:c>
      <x:c r="F145" s="16" t="str">
        <x:f>Inputs!A10</x:f>
        <x:v>primary_energy</x:v>
      </x:c>
      <x:c r="G145" s="16" t="str">
        <x:f>Inputs!C10</x:f>
        <x:v>kWh</x:v>
      </x:c>
      <x:c r="H145" s="9" t="n">
        <x:f>IF(Inputs!E38="","",Inputs!E38)</x:f>
        <x:v>6736.111111111111</x:v>
      </x:c>
      <x:c r="I145" s="9" t="n">
        <x:f>IF(H145="","",H145*C145/D145)</x:f>
        <x:v>0</x:v>
      </x:c>
      <x:c r="J145" s="9" t="n">
        <x:f>IF(H145="","",H145*C145*E145)</x:f>
        <x:v>0</x:v>
      </x:c>
      <x:c r="K145" s="1" t="str">
        <x:f>IF(H145&lt;&gt;"","Complete",IF(C145=0,"Not required","Missing"))</x:f>
        <x:v>Complete</x:v>
      </x:c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5" t="str">
        <x:f>Inputs!A38</x:f>
        <x:v>Technology</x:v>
      </x:c>
      <x:c r="B146" s="15" t="str">
        <x:f>Inputs!B38</x:f>
        <x:v>PV system</x:v>
      </x:c>
      <x:c r="C146" s="16" t="n">
        <x:f>Inputs!C38</x:f>
        <x:v>0</x:v>
      </x:c>
      <x:c r="D146" s="16" t="n">
        <x:f>Inputs!D38</x:f>
        <x:v>25</x:v>
      </x:c>
      <x:c r="E146" s="16" t="n">
        <x:f>ROUNDUP(Inputs!$B$4/D146,0)</x:f>
        <x:v>2</x:v>
      </x:c>
      <x:c r="F146" s="16" t="str">
        <x:f>Inputs!A11</x:f>
        <x:v>gwp_total</x:v>
      </x:c>
      <x:c r="G146" s="16" t="str">
        <x:f>Inputs!C11</x:f>
        <x:v>kg CO2e</x:v>
      </x:c>
      <x:c r="H146" s="9" t="n">
        <x:f>IF(Inputs!F38="","",Inputs!F38)</x:f>
        <x:v>248</x:v>
      </x:c>
      <x:c r="I146" s="9" t="n">
        <x:f>IF(H146="","",H146*C146/D146)</x:f>
        <x:v>0</x:v>
      </x:c>
      <x:c r="J146" s="9" t="n">
        <x:f>IF(H146="","",H146*C146*E146)</x:f>
        <x:v>0</x:v>
      </x:c>
      <x:c r="K146" s="1" t="str">
        <x:f>IF(H146&lt;&gt;"","Complete",IF(C146=0,"Not required","Missing"))</x:f>
        <x:v>Complete</x:v>
      </x:c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5" t="str">
        <x:f>Inputs!A38</x:f>
        <x:v>Technology</x:v>
      </x:c>
      <x:c r="B147" s="15" t="str">
        <x:f>Inputs!B38</x:f>
        <x:v>PV system</x:v>
      </x:c>
      <x:c r="C147" s="16" t="n">
        <x:f>Inputs!C38</x:f>
        <x:v>0</x:v>
      </x:c>
      <x:c r="D147" s="16" t="n">
        <x:f>Inputs!D38</x:f>
        <x:v>25</x:v>
      </x:c>
      <x:c r="E147" s="16" t="n">
        <x:f>ROUNDUP(Inputs!$B$4/D147,0)</x:f>
        <x:v>2</x:v>
      </x:c>
      <x:c r="F147" s="16" t="str">
        <x:f>Inputs!A12</x:f>
        <x:v>gwp_fossil</x:v>
      </x:c>
      <x:c r="G147" s="16" t="str">
        <x:f>Inputs!C12</x:f>
        <x:v>kg CO2e</x:v>
      </x:c>
      <x:c r="H147" s="9" t="str">
        <x:f>IF(Inputs!G38="","",Inputs!G38)</x:f>
      </x:c>
      <x:c r="I147" s="9" t="str">
        <x:f>IF(H147="","",H147*C147/D147)</x:f>
      </x:c>
      <x:c r="J147" s="9" t="str">
        <x:f>IF(H147="","",H147*C147*E147)</x:f>
      </x:c>
      <x:c r="K147" s="1" t="str">
        <x:f>IF(H147&lt;&gt;"","Complete",IF(C147=0,"Not required","Missing"))</x:f>
        <x:v>Not required</x:v>
      </x:c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5" t="str">
        <x:f>Inputs!A38</x:f>
        <x:v>Technology</x:v>
      </x:c>
      <x:c r="B148" s="15" t="str">
        <x:f>Inputs!B38</x:f>
        <x:v>PV system</x:v>
      </x:c>
      <x:c r="C148" s="16" t="n">
        <x:f>Inputs!C38</x:f>
        <x:v>0</x:v>
      </x:c>
      <x:c r="D148" s="16" t="n">
        <x:f>Inputs!D38</x:f>
        <x:v>25</x:v>
      </x:c>
      <x:c r="E148" s="16" t="n">
        <x:f>ROUNDUP(Inputs!$B$4/D148,0)</x:f>
        <x:v>2</x:v>
      </x:c>
      <x:c r="F148" s="16" t="str">
        <x:f>Inputs!A13</x:f>
        <x:v>gwp_biogenic</x:v>
      </x:c>
      <x:c r="G148" s="16" t="str">
        <x:f>Inputs!C13</x:f>
        <x:v>kg CO2e</x:v>
      </x:c>
      <x:c r="H148" s="9" t="str">
        <x:f>IF(Inputs!H38="","",Inputs!H38)</x:f>
      </x:c>
      <x:c r="I148" s="9" t="str">
        <x:f>IF(H148="","",H148*C148/D148)</x:f>
      </x:c>
      <x:c r="J148" s="9" t="str">
        <x:f>IF(H148="","",H148*C148*E148)</x:f>
      </x:c>
      <x:c r="K148" s="1" t="str">
        <x:f>IF(H148&lt;&gt;"","Complete",IF(C148=0,"Not required","Missing"))</x:f>
        <x:v>Not required</x:v>
      </x:c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5" t="str">
        <x:f>Inputs!A38</x:f>
        <x:v>Technology</x:v>
      </x:c>
      <x:c r="B149" s="15" t="str">
        <x:f>Inputs!B38</x:f>
        <x:v>PV system</x:v>
      </x:c>
      <x:c r="C149" s="16" t="n">
        <x:f>Inputs!C38</x:f>
        <x:v>0</x:v>
      </x:c>
      <x:c r="D149" s="16" t="n">
        <x:f>Inputs!D38</x:f>
        <x:v>25</x:v>
      </x:c>
      <x:c r="E149" s="16" t="n">
        <x:f>ROUNDUP(Inputs!$B$4/D149,0)</x:f>
        <x:v>2</x:v>
      </x:c>
      <x:c r="F149" s="16" t="str">
        <x:f>Inputs!A14</x:f>
        <x:v>gwp_luluc</x:v>
      </x:c>
      <x:c r="G149" s="16" t="str">
        <x:f>Inputs!C14</x:f>
        <x:v>kg CO2e</x:v>
      </x:c>
      <x:c r="H149" s="9" t="str">
        <x:f>IF(Inputs!I38="","",Inputs!I38)</x:f>
      </x:c>
      <x:c r="I149" s="9" t="str">
        <x:f>IF(H149="","",H149*C149/D149)</x:f>
      </x:c>
      <x:c r="J149" s="9" t="str">
        <x:f>IF(H149="","",H149*C149*E149)</x:f>
      </x:c>
      <x:c r="K149" s="1" t="str">
        <x:f>IF(H149&lt;&gt;"","Complete",IF(C149=0,"Not required","Missing"))</x:f>
        <x:v>Not required</x:v>
      </x:c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5" t="str">
        <x:f>Inputs!A38</x:f>
        <x:v>Technology</x:v>
      </x:c>
      <x:c r="B150" s="15" t="str">
        <x:f>Inputs!B38</x:f>
        <x:v>PV system</x:v>
      </x:c>
      <x:c r="C150" s="16" t="n">
        <x:f>Inputs!C38</x:f>
        <x:v>0</x:v>
      </x:c>
      <x:c r="D150" s="16" t="n">
        <x:f>Inputs!D38</x:f>
        <x:v>25</x:v>
      </x:c>
      <x:c r="E150" s="16" t="n">
        <x:f>ROUNDUP(Inputs!$B$4/D150,0)</x:f>
        <x:v>2</x:v>
      </x:c>
      <x:c r="F150" s="16" t="str">
        <x:f>Inputs!A15</x:f>
        <x:v>odp</x:v>
      </x:c>
      <x:c r="G150" s="16" t="str">
        <x:f>Inputs!C15</x:f>
        <x:v>kg CFC-11e</x:v>
      </x:c>
      <x:c r="H150" s="9" t="str">
        <x:f>IF(Inputs!J38="","",Inputs!J38)</x:f>
      </x:c>
      <x:c r="I150" s="9" t="str">
        <x:f>IF(H150="","",H150*C150/D150)</x:f>
      </x:c>
      <x:c r="J150" s="9" t="str">
        <x:f>IF(H150="","",H150*C150*E150)</x:f>
      </x:c>
      <x:c r="K150" s="1" t="str">
        <x:f>IF(H150&lt;&gt;"","Complete",IF(C150=0,"Not required","Missing"))</x:f>
        <x:v>Not required</x:v>
      </x:c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5" t="str">
        <x:f>Inputs!A38</x:f>
        <x:v>Technology</x:v>
      </x:c>
      <x:c r="B151" s="15" t="str">
        <x:f>Inputs!B38</x:f>
        <x:v>PV system</x:v>
      </x:c>
      <x:c r="C151" s="16" t="n">
        <x:f>Inputs!C38</x:f>
        <x:v>0</x:v>
      </x:c>
      <x:c r="D151" s="16" t="n">
        <x:f>Inputs!D38</x:f>
        <x:v>25</x:v>
      </x:c>
      <x:c r="E151" s="16" t="n">
        <x:f>ROUNDUP(Inputs!$B$4/D151,0)</x:f>
        <x:v>2</x:v>
      </x:c>
      <x:c r="F151" s="16" t="str">
        <x:f>Inputs!A16</x:f>
        <x:v>ap</x:v>
      </x:c>
      <x:c r="G151" s="16" t="str">
        <x:f>Inputs!C16</x:f>
        <x:v>mol H+e</x:v>
      </x:c>
      <x:c r="H151" s="9" t="str">
        <x:f>IF(Inputs!K38="","",Inputs!K38)</x:f>
      </x:c>
      <x:c r="I151" s="9" t="str">
        <x:f>IF(H151="","",H151*C151/D151)</x:f>
      </x:c>
      <x:c r="J151" s="9" t="str">
        <x:f>IF(H151="","",H151*C151*E151)</x:f>
      </x:c>
      <x:c r="K151" s="1" t="str">
        <x:f>IF(H151&lt;&gt;"","Complete",IF(C151=0,"Not required","Missing"))</x:f>
        <x:v>Not required</x:v>
      </x:c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5" t="str">
        <x:f>Inputs!A38</x:f>
        <x:v>Technology</x:v>
      </x:c>
      <x:c r="B152" s="15" t="str">
        <x:f>Inputs!B38</x:f>
        <x:v>PV system</x:v>
      </x:c>
      <x:c r="C152" s="16" t="n">
        <x:f>Inputs!C38</x:f>
        <x:v>0</x:v>
      </x:c>
      <x:c r="D152" s="16" t="n">
        <x:f>Inputs!D38</x:f>
        <x:v>25</x:v>
      </x:c>
      <x:c r="E152" s="16" t="n">
        <x:f>ROUNDUP(Inputs!$B$4/D152,0)</x:f>
        <x:v>2</x:v>
      </x:c>
      <x:c r="F152" s="16" t="str">
        <x:f>Inputs!A17</x:f>
        <x:v>ep_freshwater</x:v>
      </x:c>
      <x:c r="G152" s="16" t="str">
        <x:f>Inputs!C17</x:f>
        <x:v>kg PO4e</x:v>
      </x:c>
      <x:c r="H152" s="9" t="str">
        <x:f>IF(Inputs!L38="","",Inputs!L38)</x:f>
      </x:c>
      <x:c r="I152" s="9" t="str">
        <x:f>IF(H152="","",H152*C152/D152)</x:f>
      </x:c>
      <x:c r="J152" s="9" t="str">
        <x:f>IF(H152="","",H152*C152*E152)</x:f>
      </x:c>
      <x:c r="K152" s="1" t="str">
        <x:f>IF(H152&lt;&gt;"","Complete",IF(C152=0,"Not required","Missing"))</x:f>
        <x:v>Not required</x:v>
      </x:c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5" t="str">
        <x:f>Inputs!A38</x:f>
        <x:v>Technology</x:v>
      </x:c>
      <x:c r="B153" s="15" t="str">
        <x:f>Inputs!B38</x:f>
        <x:v>PV system</x:v>
      </x:c>
      <x:c r="C153" s="16" t="n">
        <x:f>Inputs!C38</x:f>
        <x:v>0</x:v>
      </x:c>
      <x:c r="D153" s="16" t="n">
        <x:f>Inputs!D38</x:f>
        <x:v>25</x:v>
      </x:c>
      <x:c r="E153" s="16" t="n">
        <x:f>ROUNDUP(Inputs!$B$4/D153,0)</x:f>
        <x:v>2</x:v>
      </x:c>
      <x:c r="F153" s="16" t="str">
        <x:f>Inputs!A18</x:f>
        <x:v>ep_marine</x:v>
      </x:c>
      <x:c r="G153" s="16" t="str">
        <x:f>Inputs!C18</x:f>
        <x:v>kg Ne</x:v>
      </x:c>
      <x:c r="H153" s="9" t="str">
        <x:f>IF(Inputs!M38="","",Inputs!M38)</x:f>
      </x:c>
      <x:c r="I153" s="9" t="str">
        <x:f>IF(H153="","",H153*C153/D153)</x:f>
      </x:c>
      <x:c r="J153" s="9" t="str">
        <x:f>IF(H153="","",H153*C153*E153)</x:f>
      </x:c>
      <x:c r="K153" s="1" t="str">
        <x:f>IF(H153&lt;&gt;"","Complete",IF(C153=0,"Not required","Missing"))</x:f>
        <x:v>Not required</x:v>
      </x:c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5" t="str">
        <x:f>Inputs!A38</x:f>
        <x:v>Technology</x:v>
      </x:c>
      <x:c r="B154" s="15" t="str">
        <x:f>Inputs!B38</x:f>
        <x:v>PV system</x:v>
      </x:c>
      <x:c r="C154" s="16" t="n">
        <x:f>Inputs!C38</x:f>
        <x:v>0</x:v>
      </x:c>
      <x:c r="D154" s="16" t="n">
        <x:f>Inputs!D38</x:f>
        <x:v>25</x:v>
      </x:c>
      <x:c r="E154" s="16" t="n">
        <x:f>ROUNDUP(Inputs!$B$4/D154,0)</x:f>
        <x:v>2</x:v>
      </x:c>
      <x:c r="F154" s="16" t="str">
        <x:f>Inputs!A19</x:f>
        <x:v>ep_terrestrial</x:v>
      </x:c>
      <x:c r="G154" s="16" t="str">
        <x:f>Inputs!C19</x:f>
        <x:v>mol Ne</x:v>
      </x:c>
      <x:c r="H154" s="9" t="str">
        <x:f>IF(Inputs!N38="","",Inputs!N38)</x:f>
      </x:c>
      <x:c r="I154" s="9" t="str">
        <x:f>IF(H154="","",H154*C154/D154)</x:f>
      </x:c>
      <x:c r="J154" s="9" t="str">
        <x:f>IF(H154="","",H154*C154*E154)</x:f>
      </x:c>
      <x:c r="K154" s="1" t="str">
        <x:f>IF(H154&lt;&gt;"","Complete",IF(C154=0,"Not required","Missing"))</x:f>
        <x:v>Not required</x:v>
      </x:c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5" t="str">
        <x:f>Inputs!A38</x:f>
        <x:v>Technology</x:v>
      </x:c>
      <x:c r="B155" s="15" t="str">
        <x:f>Inputs!B38</x:f>
        <x:v>PV system</x:v>
      </x:c>
      <x:c r="C155" s="16" t="n">
        <x:f>Inputs!C38</x:f>
        <x:v>0</x:v>
      </x:c>
      <x:c r="D155" s="16" t="n">
        <x:f>Inputs!D38</x:f>
        <x:v>25</x:v>
      </x:c>
      <x:c r="E155" s="16" t="n">
        <x:f>ROUNDUP(Inputs!$B$4/D155,0)</x:f>
        <x:v>2</x:v>
      </x:c>
      <x:c r="F155" s="16" t="str">
        <x:f>Inputs!A20</x:f>
        <x:v>pocp</x:v>
      </x:c>
      <x:c r="G155" s="16" t="str">
        <x:f>Inputs!C20</x:f>
        <x:v>kg NMVOCe</x:v>
      </x:c>
      <x:c r="H155" s="9" t="str">
        <x:f>IF(Inputs!O38="","",Inputs!O38)</x:f>
      </x:c>
      <x:c r="I155" s="9" t="str">
        <x:f>IF(H155="","",H155*C155/D155)</x:f>
      </x:c>
      <x:c r="J155" s="9" t="str">
        <x:f>IF(H155="","",H155*C155*E155)</x:f>
      </x:c>
      <x:c r="K155" s="1" t="str">
        <x:f>IF(H155&lt;&gt;"","Complete",IF(C155=0,"Not required","Missing"))</x:f>
        <x:v>Not required</x:v>
      </x:c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5" t="str">
        <x:f>Inputs!A38</x:f>
        <x:v>Technology</x:v>
      </x:c>
      <x:c r="B156" s="15" t="str">
        <x:f>Inputs!B38</x:f>
        <x:v>PV system</x:v>
      </x:c>
      <x:c r="C156" s="16" t="n">
        <x:f>Inputs!C38</x:f>
        <x:v>0</x:v>
      </x:c>
      <x:c r="D156" s="16" t="n">
        <x:f>Inputs!D38</x:f>
        <x:v>25</x:v>
      </x:c>
      <x:c r="E156" s="16" t="n">
        <x:f>ROUNDUP(Inputs!$B$4/D156,0)</x:f>
        <x:v>2</x:v>
      </x:c>
      <x:c r="F156" s="16" t="str">
        <x:f>Inputs!A21</x:f>
        <x:v>adp_minerals_metals</x:v>
      </x:c>
      <x:c r="G156" s="16" t="str">
        <x:f>Inputs!C21</x:f>
        <x:v>kg Sbe</x:v>
      </x:c>
      <x:c r="H156" s="9" t="str">
        <x:f>IF(Inputs!P38="","",Inputs!P38)</x:f>
      </x:c>
      <x:c r="I156" s="9" t="str">
        <x:f>IF(H156="","",H156*C156/D156)</x:f>
      </x:c>
      <x:c r="J156" s="9" t="str">
        <x:f>IF(H156="","",H156*C156*E156)</x:f>
      </x:c>
      <x:c r="K156" s="1" t="str">
        <x:f>IF(H156&lt;&gt;"","Complete",IF(C156=0,"Not required","Missing"))</x:f>
        <x:v>Not required</x:v>
      </x:c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5" t="str">
        <x:f>Inputs!A38</x:f>
        <x:v>Technology</x:v>
      </x:c>
      <x:c r="B157" s="15" t="str">
        <x:f>Inputs!B38</x:f>
        <x:v>PV system</x:v>
      </x:c>
      <x:c r="C157" s="16" t="n">
        <x:f>Inputs!C38</x:f>
        <x:v>0</x:v>
      </x:c>
      <x:c r="D157" s="16" t="n">
        <x:f>Inputs!D38</x:f>
        <x:v>25</x:v>
      </x:c>
      <x:c r="E157" s="16" t="n">
        <x:f>ROUNDUP(Inputs!$B$4/D157,0)</x:f>
        <x:v>2</x:v>
      </x:c>
      <x:c r="F157" s="16" t="str">
        <x:f>Inputs!A22</x:f>
        <x:v>adp_fossil</x:v>
      </x:c>
      <x:c r="G157" s="16" t="str">
        <x:f>Inputs!C22</x:f>
        <x:v>MJ net calorific value</x:v>
      </x:c>
      <x:c r="H157" s="9" t="str">
        <x:f>IF(Inputs!Q38="","",Inputs!Q38)</x:f>
      </x:c>
      <x:c r="I157" s="9" t="str">
        <x:f>IF(H157="","",H157*C157/D157)</x:f>
      </x:c>
      <x:c r="J157" s="9" t="str">
        <x:f>IF(H157="","",H157*C157*E157)</x:f>
      </x:c>
      <x:c r="K157" s="1" t="str">
        <x:f>IF(H157&lt;&gt;"","Complete",IF(C157=0,"Not required","Missing"))</x:f>
        <x:v>Not required</x:v>
      </x:c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5" t="str">
        <x:f>Inputs!A38</x:f>
        <x:v>Technology</x:v>
      </x:c>
      <x:c r="B158" s="15" t="str">
        <x:f>Inputs!B38</x:f>
        <x:v>PV system</x:v>
      </x:c>
      <x:c r="C158" s="16" t="n">
        <x:f>Inputs!C38</x:f>
        <x:v>0</x:v>
      </x:c>
      <x:c r="D158" s="16" t="n">
        <x:f>Inputs!D38</x:f>
        <x:v>25</x:v>
      </x:c>
      <x:c r="E158" s="16" t="n">
        <x:f>ROUNDUP(Inputs!$B$4/D158,0)</x:f>
        <x:v>2</x:v>
      </x:c>
      <x:c r="F158" s="16" t="str">
        <x:f>Inputs!A23</x:f>
        <x:v>wdp</x:v>
      </x:c>
      <x:c r="G158" s="16" t="str">
        <x:f>Inputs!C23</x:f>
        <x:v>m3 world-e deprived</x:v>
      </x:c>
      <x:c r="H158" s="9" t="str">
        <x:f>IF(Inputs!R38="","",Inputs!R38)</x:f>
      </x:c>
      <x:c r="I158" s="9" t="str">
        <x:f>IF(H158="","",H158*C158/D158)</x:f>
      </x:c>
      <x:c r="J158" s="9" t="str">
        <x:f>IF(H158="","",H158*C158*E158)</x:f>
      </x:c>
      <x:c r="K158" s="1" t="str">
        <x:f>IF(H158&lt;&gt;"","Complete",IF(C158=0,"Not required","Missing"))</x:f>
        <x:v>Not required</x:v>
      </x:c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5" t="str">
        <x:f>Inputs!A39</x:f>
        <x:v>Renovation</x:v>
      </x:c>
      <x:c r="B159" s="15" t="str">
        <x:f>Inputs!B39</x:f>
        <x:v>Renovation area-based allowance</x:v>
      </x:c>
      <x:c r="C159" s="16" t="n">
        <x:f>Inputs!C39</x:f>
        <x:v>1112.8</x:v>
      </x:c>
      <x:c r="D159" s="16" t="n">
        <x:f>Inputs!D39</x:f>
        <x:v>30</x:v>
      </x:c>
      <x:c r="E159" s="16" t="n">
        <x:f>1</x:f>
        <x:v>1</x:v>
      </x:c>
      <x:c r="F159" s="16" t="str">
        <x:f>Inputs!A10</x:f>
        <x:v>primary_energy</x:v>
      </x:c>
      <x:c r="G159" s="16" t="str">
        <x:f>Inputs!C10</x:f>
        <x:v>kWh</x:v>
      </x:c>
      <x:c r="H159" s="9" t="n">
        <x:f>IF(Inputs!E39="","",Inputs!E39)</x:f>
        <x:v>9.779654654654667</x:v>
      </x:c>
      <x:c r="I159" s="9" t="n">
        <x:f>IF(H159="","",H159*C159/D159)</x:f>
        <x:v>362.75998998999046</x:v>
      </x:c>
      <x:c r="J159" s="9" t="n">
        <x:f>IF(H159="","",H159*C159*E159)</x:f>
        <x:v>10882.799699699714</x:v>
      </x:c>
      <x:c r="K159" s="1" t="str">
        <x:f>IF(H159&lt;&gt;"","Complete",IF(C159=0,"Not required","Missing"))</x:f>
        <x:v>Complete</x:v>
      </x:c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5" t="str">
        <x:f>Inputs!A39</x:f>
        <x:v>Renovation</x:v>
      </x:c>
      <x:c r="B160" s="15" t="str">
        <x:f>Inputs!B39</x:f>
        <x:v>Renovation area-based allowance</x:v>
      </x:c>
      <x:c r="C160" s="16" t="n">
        <x:f>Inputs!C39</x:f>
        <x:v>1112.8</x:v>
      </x:c>
      <x:c r="D160" s="16" t="n">
        <x:f>Inputs!D39</x:f>
        <x:v>30</x:v>
      </x:c>
      <x:c r="E160" s="16" t="n">
        <x:f>1</x:f>
        <x:v>1</x:v>
      </x:c>
      <x:c r="F160" s="16" t="str">
        <x:f>Inputs!A11</x:f>
        <x:v>gwp_total</x:v>
      </x:c>
      <x:c r="G160" s="16" t="str">
        <x:f>Inputs!C11</x:f>
        <x:v>kg CO2e</x:v>
      </x:c>
      <x:c r="H160" s="9" t="n">
        <x:f>IF(Inputs!F39="","",Inputs!F39)</x:f>
        <x:v>2.098648648648649</x:v>
      </x:c>
      <x:c r="I160" s="9" t="n">
        <x:f>IF(H160="","",H160*C160/D160)</x:f>
        <x:v>77.84587387387388</x:v>
      </x:c>
      <x:c r="J160" s="9" t="n">
        <x:f>IF(H160="","",H160*C160*E160)</x:f>
        <x:v>2335.3762162162166</x:v>
      </x:c>
      <x:c r="K160" s="1" t="str">
        <x:f>IF(H160&lt;&gt;"","Complete",IF(C160=0,"Not required","Missing"))</x:f>
        <x:v>Complete</x:v>
      </x:c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5" t="str">
        <x:f>Inputs!A39</x:f>
        <x:v>Renovation</x:v>
      </x:c>
      <x:c r="B161" s="15" t="str">
        <x:f>Inputs!B39</x:f>
        <x:v>Renovation area-based allowance</x:v>
      </x:c>
      <x:c r="C161" s="16" t="n">
        <x:f>Inputs!C39</x:f>
        <x:v>1112.8</x:v>
      </x:c>
      <x:c r="D161" s="16" t="n">
        <x:f>Inputs!D39</x:f>
        <x:v>30</x:v>
      </x:c>
      <x:c r="E161" s="16" t="n">
        <x:f>1</x:f>
        <x:v>1</x:v>
      </x:c>
      <x:c r="F161" s="16" t="str">
        <x:f>Inputs!A12</x:f>
        <x:v>gwp_fossil</x:v>
      </x:c>
      <x:c r="G161" s="16" t="str">
        <x:f>Inputs!C12</x:f>
        <x:v>kg CO2e</x:v>
      </x:c>
      <x:c r="H161" s="9" t="str">
        <x:f>IF(Inputs!G39="","",Inputs!G39)</x:f>
      </x:c>
      <x:c r="I161" s="9" t="str">
        <x:f>IF(H161="","",H161*C161/D161)</x:f>
      </x:c>
      <x:c r="J161" s="9" t="str">
        <x:f>IF(H161="","",H161*C161*E161)</x:f>
      </x:c>
      <x:c r="K161" s="1" t="str">
        <x:f>IF(H161&lt;&gt;"","Complete",IF(C161=0,"Not required","Missing"))</x:f>
        <x:v>Missing</x:v>
      </x:c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5" t="str">
        <x:f>Inputs!A39</x:f>
        <x:v>Renovation</x:v>
      </x:c>
      <x:c r="B162" s="15" t="str">
        <x:f>Inputs!B39</x:f>
        <x:v>Renovation area-based allowance</x:v>
      </x:c>
      <x:c r="C162" s="16" t="n">
        <x:f>Inputs!C39</x:f>
        <x:v>1112.8</x:v>
      </x:c>
      <x:c r="D162" s="16" t="n">
        <x:f>Inputs!D39</x:f>
        <x:v>30</x:v>
      </x:c>
      <x:c r="E162" s="16" t="n">
        <x:f>1</x:f>
        <x:v>1</x:v>
      </x:c>
      <x:c r="F162" s="16" t="str">
        <x:f>Inputs!A13</x:f>
        <x:v>gwp_biogenic</x:v>
      </x:c>
      <x:c r="G162" s="16" t="str">
        <x:f>Inputs!C13</x:f>
        <x:v>kg CO2e</x:v>
      </x:c>
      <x:c r="H162" s="9" t="str">
        <x:f>IF(Inputs!H39="","",Inputs!H39)</x:f>
      </x:c>
      <x:c r="I162" s="9" t="str">
        <x:f>IF(H162="","",H162*C162/D162)</x:f>
      </x:c>
      <x:c r="J162" s="9" t="str">
        <x:f>IF(H162="","",H162*C162*E162)</x:f>
      </x:c>
      <x:c r="K162" s="1" t="str">
        <x:f>IF(H162&lt;&gt;"","Complete",IF(C162=0,"Not required","Missing"))</x:f>
        <x:v>Missing</x:v>
      </x:c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5" t="str">
        <x:f>Inputs!A39</x:f>
        <x:v>Renovation</x:v>
      </x:c>
      <x:c r="B163" s="15" t="str">
        <x:f>Inputs!B39</x:f>
        <x:v>Renovation area-based allowance</x:v>
      </x:c>
      <x:c r="C163" s="16" t="n">
        <x:f>Inputs!C39</x:f>
        <x:v>1112.8</x:v>
      </x:c>
      <x:c r="D163" s="16" t="n">
        <x:f>Inputs!D39</x:f>
        <x:v>30</x:v>
      </x:c>
      <x:c r="E163" s="16" t="n">
        <x:f>1</x:f>
        <x:v>1</x:v>
      </x:c>
      <x:c r="F163" s="16" t="str">
        <x:f>Inputs!A14</x:f>
        <x:v>gwp_luluc</x:v>
      </x:c>
      <x:c r="G163" s="16" t="str">
        <x:f>Inputs!C14</x:f>
        <x:v>kg CO2e</x:v>
      </x:c>
      <x:c r="H163" s="9" t="str">
        <x:f>IF(Inputs!I39="","",Inputs!I39)</x:f>
      </x:c>
      <x:c r="I163" s="9" t="str">
        <x:f>IF(H163="","",H163*C163/D163)</x:f>
      </x:c>
      <x:c r="J163" s="9" t="str">
        <x:f>IF(H163="","",H163*C163*E163)</x:f>
      </x:c>
      <x:c r="K163" s="1" t="str">
        <x:f>IF(H163&lt;&gt;"","Complete",IF(C163=0,"Not required","Missing"))</x:f>
        <x:v>Missing</x:v>
      </x:c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5" t="str">
        <x:f>Inputs!A39</x:f>
        <x:v>Renovation</x:v>
      </x:c>
      <x:c r="B164" s="15" t="str">
        <x:f>Inputs!B39</x:f>
        <x:v>Renovation area-based allowance</x:v>
      </x:c>
      <x:c r="C164" s="16" t="n">
        <x:f>Inputs!C39</x:f>
        <x:v>1112.8</x:v>
      </x:c>
      <x:c r="D164" s="16" t="n">
        <x:f>Inputs!D39</x:f>
        <x:v>30</x:v>
      </x:c>
      <x:c r="E164" s="16" t="n">
        <x:f>1</x:f>
        <x:v>1</x:v>
      </x:c>
      <x:c r="F164" s="16" t="str">
        <x:f>Inputs!A15</x:f>
        <x:v>odp</x:v>
      </x:c>
      <x:c r="G164" s="16" t="str">
        <x:f>Inputs!C15</x:f>
        <x:v>kg CFC-11e</x:v>
      </x:c>
      <x:c r="H164" s="9" t="str">
        <x:f>IF(Inputs!J39="","",Inputs!J39)</x:f>
      </x:c>
      <x:c r="I164" s="9" t="str">
        <x:f>IF(H164="","",H164*C164/D164)</x:f>
      </x:c>
      <x:c r="J164" s="9" t="str">
        <x:f>IF(H164="","",H164*C164*E164)</x:f>
      </x:c>
      <x:c r="K164" s="1" t="str">
        <x:f>IF(H164&lt;&gt;"","Complete",IF(C164=0,"Not required","Missing"))</x:f>
        <x:v>Missing</x:v>
      </x:c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5" t="str">
        <x:f>Inputs!A39</x:f>
        <x:v>Renovation</x:v>
      </x:c>
      <x:c r="B165" s="15" t="str">
        <x:f>Inputs!B39</x:f>
        <x:v>Renovation area-based allowance</x:v>
      </x:c>
      <x:c r="C165" s="16" t="n">
        <x:f>Inputs!C39</x:f>
        <x:v>1112.8</x:v>
      </x:c>
      <x:c r="D165" s="16" t="n">
        <x:f>Inputs!D39</x:f>
        <x:v>30</x:v>
      </x:c>
      <x:c r="E165" s="16" t="n">
        <x:f>1</x:f>
        <x:v>1</x:v>
      </x:c>
      <x:c r="F165" s="16" t="str">
        <x:f>Inputs!A16</x:f>
        <x:v>ap</x:v>
      </x:c>
      <x:c r="G165" s="16" t="str">
        <x:f>Inputs!C16</x:f>
        <x:v>mol H+e</x:v>
      </x:c>
      <x:c r="H165" s="9" t="str">
        <x:f>IF(Inputs!K39="","",Inputs!K39)</x:f>
      </x:c>
      <x:c r="I165" s="9" t="str">
        <x:f>IF(H165="","",H165*C165/D165)</x:f>
      </x:c>
      <x:c r="J165" s="9" t="str">
        <x:f>IF(H165="","",H165*C165*E165)</x:f>
      </x:c>
      <x:c r="K165" s="1" t="str">
        <x:f>IF(H165&lt;&gt;"","Complete",IF(C165=0,"Not required","Missing"))</x:f>
        <x:v>Missing</x:v>
      </x:c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5" t="str">
        <x:f>Inputs!A39</x:f>
        <x:v>Renovation</x:v>
      </x:c>
      <x:c r="B166" s="15" t="str">
        <x:f>Inputs!B39</x:f>
        <x:v>Renovation area-based allowance</x:v>
      </x:c>
      <x:c r="C166" s="16" t="n">
        <x:f>Inputs!C39</x:f>
        <x:v>1112.8</x:v>
      </x:c>
      <x:c r="D166" s="16" t="n">
        <x:f>Inputs!D39</x:f>
        <x:v>30</x:v>
      </x:c>
      <x:c r="E166" s="16" t="n">
        <x:f>1</x:f>
        <x:v>1</x:v>
      </x:c>
      <x:c r="F166" s="16" t="str">
        <x:f>Inputs!A17</x:f>
        <x:v>ep_freshwater</x:v>
      </x:c>
      <x:c r="G166" s="16" t="str">
        <x:f>Inputs!C17</x:f>
        <x:v>kg PO4e</x:v>
      </x:c>
      <x:c r="H166" s="9" t="str">
        <x:f>IF(Inputs!L39="","",Inputs!L39)</x:f>
      </x:c>
      <x:c r="I166" s="9" t="str">
        <x:f>IF(H166="","",H166*C166/D166)</x:f>
      </x:c>
      <x:c r="J166" s="9" t="str">
        <x:f>IF(H166="","",H166*C166*E166)</x:f>
      </x:c>
      <x:c r="K166" s="1" t="str">
        <x:f>IF(H166&lt;&gt;"","Complete",IF(C166=0,"Not required","Missing"))</x:f>
        <x:v>Missing</x:v>
      </x:c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5" t="str">
        <x:f>Inputs!A39</x:f>
        <x:v>Renovation</x:v>
      </x:c>
      <x:c r="B167" s="15" t="str">
        <x:f>Inputs!B39</x:f>
        <x:v>Renovation area-based allowance</x:v>
      </x:c>
      <x:c r="C167" s="16" t="n">
        <x:f>Inputs!C39</x:f>
        <x:v>1112.8</x:v>
      </x:c>
      <x:c r="D167" s="16" t="n">
        <x:f>Inputs!D39</x:f>
        <x:v>30</x:v>
      </x:c>
      <x:c r="E167" s="16" t="n">
        <x:f>1</x:f>
        <x:v>1</x:v>
      </x:c>
      <x:c r="F167" s="16" t="str">
        <x:f>Inputs!A18</x:f>
        <x:v>ep_marine</x:v>
      </x:c>
      <x:c r="G167" s="16" t="str">
        <x:f>Inputs!C18</x:f>
        <x:v>kg Ne</x:v>
      </x:c>
      <x:c r="H167" s="9" t="str">
        <x:f>IF(Inputs!M39="","",Inputs!M39)</x:f>
      </x:c>
      <x:c r="I167" s="9" t="str">
        <x:f>IF(H167="","",H167*C167/D167)</x:f>
      </x:c>
      <x:c r="J167" s="9" t="str">
        <x:f>IF(H167="","",H167*C167*E167)</x:f>
      </x:c>
      <x:c r="K167" s="1" t="str">
        <x:f>IF(H167&lt;&gt;"","Complete",IF(C167=0,"Not required","Missing"))</x:f>
        <x:v>Missing</x:v>
      </x:c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5" t="str">
        <x:f>Inputs!A39</x:f>
        <x:v>Renovation</x:v>
      </x:c>
      <x:c r="B168" s="15" t="str">
        <x:f>Inputs!B39</x:f>
        <x:v>Renovation area-based allowance</x:v>
      </x:c>
      <x:c r="C168" s="16" t="n">
        <x:f>Inputs!C39</x:f>
        <x:v>1112.8</x:v>
      </x:c>
      <x:c r="D168" s="16" t="n">
        <x:f>Inputs!D39</x:f>
        <x:v>30</x:v>
      </x:c>
      <x:c r="E168" s="16" t="n">
        <x:f>1</x:f>
        <x:v>1</x:v>
      </x:c>
      <x:c r="F168" s="16" t="str">
        <x:f>Inputs!A19</x:f>
        <x:v>ep_terrestrial</x:v>
      </x:c>
      <x:c r="G168" s="16" t="str">
        <x:f>Inputs!C19</x:f>
        <x:v>mol Ne</x:v>
      </x:c>
      <x:c r="H168" s="9" t="str">
        <x:f>IF(Inputs!N39="","",Inputs!N39)</x:f>
      </x:c>
      <x:c r="I168" s="9" t="str">
        <x:f>IF(H168="","",H168*C168/D168)</x:f>
      </x:c>
      <x:c r="J168" s="9" t="str">
        <x:f>IF(H168="","",H168*C168*E168)</x:f>
      </x:c>
      <x:c r="K168" s="1" t="str">
        <x:f>IF(H168&lt;&gt;"","Complete",IF(C168=0,"Not required","Missing"))</x:f>
        <x:v>Missing</x:v>
      </x:c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5" t="str">
        <x:f>Inputs!A39</x:f>
        <x:v>Renovation</x:v>
      </x:c>
      <x:c r="B169" s="15" t="str">
        <x:f>Inputs!B39</x:f>
        <x:v>Renovation area-based allowance</x:v>
      </x:c>
      <x:c r="C169" s="16" t="n">
        <x:f>Inputs!C39</x:f>
        <x:v>1112.8</x:v>
      </x:c>
      <x:c r="D169" s="16" t="n">
        <x:f>Inputs!D39</x:f>
        <x:v>30</x:v>
      </x:c>
      <x:c r="E169" s="16" t="n">
        <x:f>1</x:f>
        <x:v>1</x:v>
      </x:c>
      <x:c r="F169" s="16" t="str">
        <x:f>Inputs!A20</x:f>
        <x:v>pocp</x:v>
      </x:c>
      <x:c r="G169" s="16" t="str">
        <x:f>Inputs!C20</x:f>
        <x:v>kg NMVOCe</x:v>
      </x:c>
      <x:c r="H169" s="9" t="str">
        <x:f>IF(Inputs!O39="","",Inputs!O39)</x:f>
      </x:c>
      <x:c r="I169" s="9" t="str">
        <x:f>IF(H169="","",H169*C169/D169)</x:f>
      </x:c>
      <x:c r="J169" s="9" t="str">
        <x:f>IF(H169="","",H169*C169*E169)</x:f>
      </x:c>
      <x:c r="K169" s="1" t="str">
        <x:f>IF(H169&lt;&gt;"","Complete",IF(C169=0,"Not required","Missing"))</x:f>
        <x:v>Missing</x:v>
      </x:c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5" t="str">
        <x:f>Inputs!A39</x:f>
        <x:v>Renovation</x:v>
      </x:c>
      <x:c r="B170" s="15" t="str">
        <x:f>Inputs!B39</x:f>
        <x:v>Renovation area-based allowance</x:v>
      </x:c>
      <x:c r="C170" s="16" t="n">
        <x:f>Inputs!C39</x:f>
        <x:v>1112.8</x:v>
      </x:c>
      <x:c r="D170" s="16" t="n">
        <x:f>Inputs!D39</x:f>
        <x:v>30</x:v>
      </x:c>
      <x:c r="E170" s="16" t="n">
        <x:f>1</x:f>
        <x:v>1</x:v>
      </x:c>
      <x:c r="F170" s="16" t="str">
        <x:f>Inputs!A21</x:f>
        <x:v>adp_minerals_metals</x:v>
      </x:c>
      <x:c r="G170" s="16" t="str">
        <x:f>Inputs!C21</x:f>
        <x:v>kg Sbe</x:v>
      </x:c>
      <x:c r="H170" s="9" t="str">
        <x:f>IF(Inputs!P39="","",Inputs!P39)</x:f>
      </x:c>
      <x:c r="I170" s="9" t="str">
        <x:f>IF(H170="","",H170*C170/D170)</x:f>
      </x:c>
      <x:c r="J170" s="9" t="str">
        <x:f>IF(H170="","",H170*C170*E170)</x:f>
      </x:c>
      <x:c r="K170" s="1" t="str">
        <x:f>IF(H170&lt;&gt;"","Complete",IF(C170=0,"Not required","Missing"))</x:f>
        <x:v>Missing</x:v>
      </x:c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5" t="str">
        <x:f>Inputs!A39</x:f>
        <x:v>Renovation</x:v>
      </x:c>
      <x:c r="B171" s="15" t="str">
        <x:f>Inputs!B39</x:f>
        <x:v>Renovation area-based allowance</x:v>
      </x:c>
      <x:c r="C171" s="16" t="n">
        <x:f>Inputs!C39</x:f>
        <x:v>1112.8</x:v>
      </x:c>
      <x:c r="D171" s="16" t="n">
        <x:f>Inputs!D39</x:f>
        <x:v>30</x:v>
      </x:c>
      <x:c r="E171" s="16" t="n">
        <x:f>1</x:f>
        <x:v>1</x:v>
      </x:c>
      <x:c r="F171" s="16" t="str">
        <x:f>Inputs!A22</x:f>
        <x:v>adp_fossil</x:v>
      </x:c>
      <x:c r="G171" s="16" t="str">
        <x:f>Inputs!C22</x:f>
        <x:v>MJ net calorific value</x:v>
      </x:c>
      <x:c r="H171" s="9" t="str">
        <x:f>IF(Inputs!Q39="","",Inputs!Q39)</x:f>
      </x:c>
      <x:c r="I171" s="9" t="str">
        <x:f>IF(H171="","",H171*C171/D171)</x:f>
      </x:c>
      <x:c r="J171" s="9" t="str">
        <x:f>IF(H171="","",H171*C171*E171)</x:f>
      </x:c>
      <x:c r="K171" s="1" t="str">
        <x:f>IF(H171&lt;&gt;"","Complete",IF(C171=0,"Not required","Missing"))</x:f>
        <x:v>Missing</x:v>
      </x:c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5" t="str">
        <x:f>Inputs!A39</x:f>
        <x:v>Renovation</x:v>
      </x:c>
      <x:c r="B172" s="15" t="str">
        <x:f>Inputs!B39</x:f>
        <x:v>Renovation area-based allowance</x:v>
      </x:c>
      <x:c r="C172" s="16" t="n">
        <x:f>Inputs!C39</x:f>
        <x:v>1112.8</x:v>
      </x:c>
      <x:c r="D172" s="16" t="n">
        <x:f>Inputs!D39</x:f>
        <x:v>30</x:v>
      </x:c>
      <x:c r="E172" s="16" t="n">
        <x:f>1</x:f>
        <x:v>1</x:v>
      </x:c>
      <x:c r="F172" s="16" t="str">
        <x:f>Inputs!A23</x:f>
        <x:v>wdp</x:v>
      </x:c>
      <x:c r="G172" s="16" t="str">
        <x:f>Inputs!C23</x:f>
        <x:v>m3 world-e deprived</x:v>
      </x:c>
      <x:c r="H172" s="9" t="str">
        <x:f>IF(Inputs!R39="","",Inputs!R39)</x:f>
      </x:c>
      <x:c r="I172" s="9" t="str">
        <x:f>IF(H172="","",H172*C172/D172)</x:f>
      </x:c>
      <x:c r="J172" s="9" t="str">
        <x:f>IF(H172="","",H172*C172*E172)</x:f>
      </x:c>
      <x:c r="K172" s="1" t="str">
        <x:f>IF(H172&lt;&gt;"","Complete",IF(C172=0,"Not required","Missing"))</x:f>
        <x:v>Missing</x:v>
      </x:c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Legacy pre-retrofit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Metric</x:v>
      </x:c>
      <x:c r="B4" s="8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Electricity primary energy (kWh)</x:v>
      </x:c>
      <x:c r="B5" s="9" t="n">
        <x:f>Inputs!F7*Inputs!F5</x:f>
        <x:v>260395.19999999998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Electricity carbon (kg)</x:v>
      </x:c>
      <x:c r="B6" s="9" t="n">
        <x:f>Inputs!F7*Inputs!F6</x:f>
        <x:v>57420.479999999996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Heating-fuel primary energy (kWh)</x:v>
      </x:c>
      <x:c r="B7" s="9" t="n">
        <x:f>IF(Inputs!F8="electricity-no fuel",0,Inputs!F9*INDEX(Inputs!$B$43:$B$60,MATCH(Inputs!F8,Inputs!$A$43:$A$60,0))*INDEX(Inputs!$C$43:$C$60,MATCH(Inputs!F8,Inputs!$A$43:$A$60,0)))</x:f>
        <x:v>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Heating-fuel carbon (kg)</x:v>
      </x:c>
      <x:c r="B8" s="9" t="n">
        <x:f>IF(Inputs!F8="electricity-no fuel",0,Inputs!F9*INDEX(Inputs!$B$43:$B$60,MATCH(Inputs!F8,Inputs!$A$43:$A$60,0))*INDEX(Inputs!$D$43:$D$60,MATCH(Inputs!F8,Inputs!$A$43:$A$60,0)))</x:f>
        <x:v>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DHW primary energy (kWh)</x:v>
      </x:c>
      <x:c r="B9" s="9" t="n">
        <x:f>IF(Inputs!F10="electricity-no fuel",0,"T553"*INDEX(Inputs!$B$43:$B$60,MATCH(Inputs!F10,Inputs!$A$43:$A$60,0))*INDEX(Inputs!$C$43:$C$60,MATCH(Inputs!F10,Inputs!$A$43:$A$60,0)))</x:f>
        <x:v>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DHW carbon (kg)</x:v>
      </x:c>
      <x:c r="B10" s="9" t="n">
        <x:f>IF(Inputs!F10="electricity-no fuel",0,Inputs!F11*INDEX(Inputs!$B$43:$B$60,MATCH(Inputs!F10,Inputs!$A$43:$A$60,0))*INDEX(Inputs!$D$43:$D$60,MATCH(Inputs!F10,Inputs!$A$43:$A$60,0)))</x:f>
        <x:v>0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Total primary energy (kWh)</x:v>
      </x:c>
      <x:c r="B11" s="9" t="n">
        <x:f>SUM(B5,B7,B9)</x:f>
        <x:v>260395.19999999998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Total carbon (kg)</x:v>
      </x:c>
      <x:c r="B12" s="9" t="n">
        <x:f>SUM(B6,B8,B10)</x:f>
        <x:v>57420.479999999996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0" hidden="0" customWidth="1"/>
    <x:col min="3" max="3" width="24" hidden="0" customWidth="1"/>
    <x:col min="4" max="4" width="24" hidden="0" customWidth="1"/>
    <x:col min="5" max="5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Source benchmark checks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Source cell</x:v>
      </x:c>
      <x:c r="B4" s="8" t="str">
        <x:v>Metric</x:v>
      </x:c>
      <x:c r="C4" s="8" t="str">
        <x:v>Workbook result</x:v>
      </x:c>
      <x:c r="D4" s="8" t="str">
        <x:v>Source cached value</x:v>
      </x:c>
      <x:c r="E4" s="8" t="str">
        <x:v>Within tolerance?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T582</x:v>
      </x:c>
      <x:c r="B5" s="1" t="str">
        <x:v>Annual embodied primary energy</x:v>
      </x:c>
      <x:c r="C5" s="9" t="n">
        <x:f>'Summary'!E6</x:f>
        <x:v>14608.557721471474</x:v>
      </x:c>
      <x:c r="D5" s="9" t="n">
        <x:v>14608.557721471474</x:v>
      </x:c>
      <x:c r="E5" s="1" t="b">
        <x:f>ABS(C5-D5)&lt;=0.000001+0.000000001*ABS(D5)</x:f>
        <x:v>1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T583</x:v>
      </x:c>
      <x:c r="B6" s="1" t="str">
        <x:v>Annual embodied carbon</x:v>
      </x:c>
      <x:c r="C6" s="9" t="n">
        <x:f>'Summary'!E7</x:f>
        <x:v>4733.882373873874</x:v>
      </x:c>
      <x:c r="D6" s="9" t="n">
        <x:v>4733.882373873874</x:v>
      </x:c>
      <x:c r="E6" s="1" t="b">
        <x:f>ABS(C6-D6)&lt;=0.000001+0.000000001*ABS(D6)</x:f>
        <x:v>1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T584</x:v>
      </x:c>
      <x:c r="B7" s="1" t="str">
        <x:v>Project embodied primary energy</x:v>
      </x:c>
      <x:c r="C7" s="9" t="n">
        <x:f>'Summary'!F6</x:f>
        <x:v>550695.5552552552</x:v>
      </x:c>
      <x:c r="D7" s="9" t="n">
        <x:v>550695.5552552552</x:v>
      </x:c>
      <x:c r="E7" s="1" t="b">
        <x:f>ABS(C7-D7)&lt;=0.000001+0.000000001*ABS(D7)</x:f>
        <x:v>1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T585</x:v>
      </x:c>
      <x:c r="B8" s="1" t="str">
        <x:v>Project embodied carbon</x:v>
      </x:c>
      <x:c r="C8" s="9" t="n">
        <x:f>'Summary'!F7</x:f>
        <x:v>178771.2962162162</x:v>
      </x:c>
      <x:c r="D8" s="9" t="n">
        <x:v>178771.2962162162</x:v>
      </x:c>
      <x:c r="E8" s="1" t="b">
        <x:f>ABS(C8-D8)&lt;=0.000001+0.000000001*ABS(D8)</x:f>
        <x:v>1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T591</x:v>
      </x:c>
      <x:c r="B9" s="1" t="str">
        <x:v>Electricity primary energy</x:v>
      </x:c>
      <x:c r="C9" s="9" t="n">
        <x:f>'Legacy comparison'!B5</x:f>
        <x:v>260395.19999999998</x:v>
      </x:c>
      <x:c r="D9" s="9" t="n">
        <x:v>260395.19999999998</x:v>
      </x:c>
      <x:c r="E9" s="1" t="b">
        <x:f>ABS(C9-D9)&lt;=0.000001+0.000000001*ABS(D9)</x:f>
        <x:v>1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T592</x:v>
      </x:c>
      <x:c r="B10" s="1" t="str">
        <x:v>Electricity carbon</x:v>
      </x:c>
      <x:c r="C10" s="9" t="n">
        <x:f>'Legacy comparison'!B6</x:f>
        <x:v>57420.479999999996</x:v>
      </x:c>
      <x:c r="D10" s="9" t="n">
        <x:v>57420.479999999996</x:v>
      </x:c>
      <x:c r="E10" s="1" t="b">
        <x:f>ABS(C10-D10)&lt;=0.000001+0.000000001*ABS(D10)</x:f>
        <x:v>1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T593</x:v>
      </x:c>
      <x:c r="B11" s="1" t="str">
        <x:v>Heating-fuel primary energy</x:v>
      </x:c>
      <x:c r="C11" s="9" t="n">
        <x:f>'Legacy comparison'!B7</x:f>
        <x:v>0</x:v>
      </x:c>
      <x:c r="D11" s="9" t="n">
        <x:v>0</x:v>
      </x:c>
      <x:c r="E11" s="1" t="b">
        <x:f>ABS(C11-D11)&lt;=0.000001+0.000000001*ABS(D11)</x:f>
        <x:v>1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T594</x:v>
      </x:c>
      <x:c r="B12" s="1" t="str">
        <x:v>Heating-fuel carbon</x:v>
      </x:c>
      <x:c r="C12" s="9" t="n">
        <x:f>'Legacy comparison'!B8</x:f>
        <x:v>0</x:v>
      </x:c>
      <x:c r="D12" s="9" t="n">
        <x:v>0</x:v>
      </x:c>
      <x:c r="E12" s="1" t="b">
        <x:f>ABS(C12-D12)&lt;=0.000001+0.000000001*ABS(D12)</x:f>
        <x:v>1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T595</x:v>
      </x:c>
      <x:c r="B13" s="1" t="str">
        <x:v>DHW primary energy</x:v>
      </x:c>
      <x:c r="C13" s="9" t="n">
        <x:f>'Legacy comparison'!B9</x:f>
        <x:v>0</x:v>
      </x:c>
      <x:c r="D13" s="9" t="n">
        <x:v>0</x:v>
      </x:c>
      <x:c r="E13" s="1" t="b">
        <x:f>ABS(C13-D13)&lt;=0.000001+0.000000001*ABS(D13)</x:f>
        <x:v>1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T596</x:v>
      </x:c>
      <x:c r="B14" s="1" t="str">
        <x:v>DHW carbon</x:v>
      </x:c>
      <x:c r="C14" s="9" t="n">
        <x:f>'Legacy comparison'!B10</x:f>
        <x:v>0</x:v>
      </x:c>
      <x:c r="D14" s="9" t="n">
        <x:v>0</x:v>
      </x:c>
      <x:c r="E14" s="1" t="b">
        <x:f>ABS(C14-D14)&lt;=0.000001+0.000000001*ABS(D14)</x:f>
        <x:v>1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T597</x:v>
      </x:c>
      <x:c r="B15" s="1" t="str">
        <x:v>Total pre-retrofit primary energy</x:v>
      </x:c>
      <x:c r="C15" s="9" t="n">
        <x:f>'Legacy comparison'!B11</x:f>
        <x:v>260395.19999999998</x:v>
      </x:c>
      <x:c r="D15" s="9" t="n">
        <x:v>260395.19999999998</x:v>
      </x:c>
      <x:c r="E15" s="1" t="b">
        <x:f>ABS(C15-D15)&lt;=0.000001+0.000000001*ABS(D15)</x:f>
        <x:v>1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T598</x:v>
      </x:c>
      <x:c r="B16" s="1" t="str">
        <x:v>Total pre-retrofit carbon</x:v>
      </x:c>
      <x:c r="C16" s="9" t="n">
        <x:f>'Legacy comparison'!B12</x:f>
        <x:v>57420.479999999996</x:v>
      </x:c>
      <x:c r="D16" s="9" t="n">
        <x:v>57420.479999999996</x:v>
      </x:c>
      <x:c r="E16" s="1" t="b">
        <x:f>ABS(C16-D16)&lt;=0.000001+0.000000001*ABS(D16)</x:f>
        <x:v>1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T599</x:v>
      </x:c>
      <x:c r="B17" s="1" t="str">
        <x:v>Primary-energy intensity</x:v>
      </x:c>
      <x:c r="C17" s="9" t="n">
        <x:f>'Summary'!G6</x:f>
        <x:v>13.127747772709808</x:v>
      </x:c>
      <x:c r="D17" s="9" t="n">
        <x:v>13.127747772709808</x:v>
      </x:c>
      <x:c r="E17" s="1" t="b">
        <x:f>ABS(C17-D17)&lt;=0.000001+0.000000001*ABS(D17)</x:f>
        <x:v>1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T600</x:v>
      </x:c>
      <x:c r="B18" s="1" t="str">
        <x:v>Carbon intensity</x:v>
      </x:c>
      <x:c r="C18" s="9" t="n">
        <x:f>'Summary'!G7</x:f>
        <x:v>4.254028013905351</x:v>
      </x:c>
      <x:c r="D18" s="9" t="n">
        <x:v>4.254028013905351</x:v>
      </x:c>
      <x:c r="E18" s="1" t="b">
        <x:f>ABS(C18-D18)&lt;=0.000001+0.000000001*ABS(D18)</x:f>
        <x:v>1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LCA model guide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7" t="str">
        <x:v>Purpose</x:v>
      </x:c>
      <x:c r="B5" s="18" t="str">
        <x:v>Generic per-item and building aggregation of LCA indicators; legacy source outputs retained.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7" t="str">
        <x:v>Factor coverage</x:v>
      </x:c>
      <x:c r="B6" s="18" t="str">
        <x:v>Missing factor data produces an unavailable building result, not zero.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7" t="str">
        <x:v>Level(s) source</x:v>
      </x:c>
      <x:c r="B7" s="18" t="str">
        <x:v>European Commission/JRC Level(s) Indicator 1.2 user manual v1.1, Table 6.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7" t="str">
        <x:v>Source URL</x:v>
      </x:c>
      <x:c r="B8" s="18" t="str">
        <x:v>https://susproc.jrc.ec.europa.eu/product-bureau/sites/default/files/2021-01/UM3_Indicator_1.2_v1.1_37pp.pdf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7" t="str">
        <x:v>Local selected-indicator file</x:v>
      </x:c>
      <x:c r="B9" s="18" t="str">
        <x:v>Not present at build time; the complete Table 6 set is included.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7" t="str">
        <x:v>Input convention</x:v>
      </x:c>
      <x:c r="B10" s="18" t="str">
        <x:v>Amber fill and blue font indicate editable inputs. Green font indicates linked inputs.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7" t="str">
        <x:v>Extension</x:v>
      </x:c>
      <x:c r="B11" s="18" t="str">
        <x:v>Add an indicator definition and one factor per non-zero item plus renovation; calculation formulas use the same pattern.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