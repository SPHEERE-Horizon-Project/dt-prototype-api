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435353d570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b3cd43b0214a68"/>
    <x:sheet xmlns:r="http://schemas.openxmlformats.org/officeDocument/2006/relationships" name="Material calculation" sheetId="2" r:id="R7afb217fc02346e2"/>
    <x:sheet xmlns:r="http://schemas.openxmlformats.org/officeDocument/2006/relationships" name="Inputs" sheetId="3" r:id="Ra8bbb1defdc54fbb"/>
    <x:sheet xmlns:r="http://schemas.openxmlformats.org/officeDocument/2006/relationships" name="Guide" sheetId="4" r:id="R0c23b5ee5d7c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.000000"/>
  </x:numFmts>
  <x:fonts count="7">
    <x:font>
      <x:sz val="11"/>
      <x:name val="Carlito"/>
    </x:font>
    <x:font>
      <x:sz val="10"/>
      <x:color rgb="FF222222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1F4E7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fe076c85cf4baf" /><Relationship Type="http://schemas.openxmlformats.org/officeDocument/2006/relationships/theme" Target="/xl/theme/theme1.xml" Id="Rd060ca08604f4137" /><Relationship Type="http://schemas.openxmlformats.org/officeDocument/2006/relationships/sharedStrings" Target="/xl/sharedStrings.xml" Id="R80c9986c1f3f4486" /><Relationship Type="http://schemas.openxmlformats.org/officeDocument/2006/relationships/worksheet" Target="/xl/worksheets/sheet1.xml" Id="R0fb3cd43b0214a68" /><Relationship Type="http://schemas.openxmlformats.org/officeDocument/2006/relationships/worksheet" Target="/xl/worksheets/sheet2.xml" Id="R7afb217fc02346e2" /><Relationship Type="http://schemas.openxmlformats.org/officeDocument/2006/relationships/worksheet" Target="/xl/worksheets/sheet3.xml" Id="Ra8bbb1defdc54fbb" /><Relationship Type="http://schemas.openxmlformats.org/officeDocument/2006/relationships/worksheet" Target="/xl/worksheets/sheet4.xml" Id="R0c23b5ee5d7c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18" hidden="0" customWidth="1"/>
    <x:col min="5" max="5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Component MCI summary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Component ID</x:v>
      </x:c>
      <x:c r="B5" s="8" t="str">
        <x:v>Component</x:v>
      </x:c>
      <x:c r="C5" s="8" t="str">
        <x:v>Mass (kg)</x:v>
      </x:c>
      <x:c r="D5" s="8" t="str">
        <x:v>MCI</x:v>
      </x:c>
      <x:c r="E5" s="8" t="str">
        <x:v>MCI (%)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C01</x:v>
      </x:c>
      <x:c r="B6" s="1" t="str">
        <x:v>Worked-example construction component</x:v>
      </x:c>
      <x:c r="C6" s="14" t="n">
        <x:f>SUMIF('Material calculation'!$A$5:$A$7,A6,'Material calculation'!$D$5:$D$7)</x:f>
        <x:v>1000</x:v>
      </x:c>
      <x:c r="D6" s="14" t="n">
        <x:f>SUMIF('Material calculation'!$A$5:$A$7,A6,'Material calculation'!$Y$5:$Y$7)/C6</x:f>
        <x:v>0.7749999999999999</x:v>
      </x:c>
      <x:c r="E6" s="14" t="n">
        <x:f>D6*100</x:f>
        <x:v>77.49999999999999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C02</x:v>
      </x:c>
      <x:c r="B7" s="1" t="str">
        <x:v>Illustrative roof assembly</x:v>
      </x:c>
      <x:c r="C7" s="14" t="n">
        <x:f>SUMIF('Material calculation'!$A$5:$A$7,A7,'Material calculation'!$D$5:$D$7)</x:f>
        <x:v>600</x:v>
      </x:c>
      <x:c r="D7" s="14" t="n">
        <x:f>SUMIF('Material calculation'!$A$5:$A$7,A7,'Material calculation'!$Y$5:$Y$7)/C7</x:f>
        <x:v>0.5764361897046897</x:v>
      </x:c>
      <x:c r="E7" s="14" t="n">
        <x:f>D7*100</x:f>
        <x:v>57.64361897046897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 t="str">
        <x:v>Worked-example check</x:v>
      </x:c>
      <x:c r="B11" s="8" t="str"/>
      <x:c r="C11" s="8" t="str">
        <x:v>Calculated</x:v>
      </x:c>
      <x:c r="D11" s="8" t="str">
        <x:v>Expected</x:v>
      </x:c>
      <x:c r="E11" s="8" t="str">
        <x:v>Within tolerance?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 t="str">
        <x:v>C01 MCI</x:v>
      </x:c>
      <x:c r="B12" s="1" t="str"/>
      <x:c r="C12" s="1" t="n">
        <x:f>D6</x:f>
        <x:v>0.7749999999999999</x:v>
      </x:c>
      <x:c r="D12" s="1" t="n">
        <x:v>0.775</x:v>
      </x:c>
      <x:c r="E12" s="1" t="b">
        <x:f>ABS(C12-D12)&lt;=0.000001+0.000000001*ABS(D12)</x:f>
        <x:v>1</x:v>
      </x:c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Material MCI 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1"/>
    </x:row>
    <x:row r="4">
      <x:c r="A4" s="8" t="str">
        <x:v>Component ID</x:v>
      </x:c>
      <x:c r="B4" s="8" t="str">
        <x:v>Component</x:v>
      </x:c>
      <x:c r="C4" s="8" t="str">
        <x:v>Material</x:v>
      </x:c>
      <x:c r="D4" s="8" t="str">
        <x:v>Mass (kg)</x:v>
      </x:c>
      <x:c r="E4" s="8" t="str">
        <x:v>FR</x:v>
      </x:c>
      <x:c r="F4" s="8" t="str">
        <x:v>FU</x:v>
      </x:c>
      <x:c r="G4" s="8" t="str">
        <x:v>CR</x:v>
      </x:c>
      <x:c r="H4" s="8" t="str">
        <x:v>CU</x:v>
      </x:c>
      <x:c r="I4" s="8" t="str">
        <x:v>EF</x:v>
      </x:c>
      <x:c r="J4" s="8" t="str">
        <x:v>EC</x:v>
      </x:c>
      <x:c r="K4" s="8" t="str">
        <x:v>Life</x:v>
      </x:c>
      <x:c r="L4" s="8" t="str">
        <x:v>Average life</x:v>
      </x:c>
      <x:c r="M4" s="8" t="str">
        <x:v>U/Uav</x:v>
      </x:c>
      <x:c r="N4" s="8" t="str">
        <x:v>Virgin V</x:v>
      </x:c>
      <x:c r="O4" s="8" t="str">
        <x:v>Unrecovered W0</x:v>
      </x:c>
      <x:c r="P4" s="8" t="str">
        <x:v>Feedstock loss WF</x:v>
      </x:c>
      <x:c r="Q4" s="8" t="str">
        <x:v>End-use loss WC</x:v>
      </x:c>
      <x:c r="R4" s="8" t="str">
        <x:v>Attributed waste W</x:v>
      </x:c>
      <x:c r="S4" s="8" t="str">
        <x:v>LFI denominator</x:v>
      </x:c>
      <x:c r="T4" s="8" t="str">
        <x:v>LFI</x:v>
      </x:c>
      <x:c r="U4" s="8" t="str">
        <x:v>Utility X</x:v>
      </x:c>
      <x:c r="V4" s="8" t="str">
        <x:v>Raw MCI</x:v>
      </x:c>
      <x:c r="W4" s="8" t="str">
        <x:v>MCI</x:v>
      </x:c>
      <x:c r="X4" s="8" t="str">
        <x:v>MCI (%)</x:v>
      </x:c>
      <x:c r="Y4" s="8" t="str">
        <x:v>Mass × MCI</x:v>
      </x:c>
      <x:c r="Z4" s="1"/>
    </x:row>
    <x:row r="5">
      <x:c r="A5" s="12" t="str">
        <x:f>Inputs!A5</x:f>
        <x:v>C01</x:v>
      </x:c>
      <x:c r="B5" s="12" t="str">
        <x:f>Inputs!B5</x:f>
        <x:v>Worked-example construction component</x:v>
      </x:c>
      <x:c r="C5" s="12" t="str">
        <x:f>Inputs!D5</x:f>
        <x:v>Illustrative composite material</x:v>
      </x:c>
      <x:c r="D5" s="13" t="n">
        <x:f>Inputs!E5</x:f>
        <x:v>1000</x:v>
      </x:c>
      <x:c r="E5" s="13" t="n">
        <x:f>Inputs!F5</x:f>
        <x:v>0.4</x:v>
      </x:c>
      <x:c r="F5" s="13" t="n">
        <x:f>Inputs!G5</x:f>
        <x:v>0.1</x:v>
      </x:c>
      <x:c r="G5" s="13" t="n">
        <x:f>Inputs!H5</x:f>
        <x:v>0.7</x:v>
      </x:c>
      <x:c r="H5" s="13" t="n">
        <x:f>Inputs!I5</x:f>
        <x:v>0.2</x:v>
      </x:c>
      <x:c r="I5" s="13" t="n">
        <x:f>Inputs!J5</x:f>
        <x:v>1</x:v>
      </x:c>
      <x:c r="J5" s="13" t="n">
        <x:f>Inputs!K5</x:f>
        <x:v>1</x:v>
      </x:c>
      <x:c r="K5" s="13" t="n">
        <x:f>Inputs!L5</x:f>
        <x:v>60</x:v>
      </x:c>
      <x:c r="L5" s="13" t="n">
        <x:f>Inputs!M5</x:f>
        <x:v>50</x:v>
      </x:c>
      <x:c r="M5" s="13" t="n">
        <x:f>Inputs!N5</x:f>
        <x:v>1</x:v>
      </x:c>
      <x:c r="N5" s="14" t="n">
        <x:f>D5*(1-E5-F5)</x:f>
        <x:v>500</x:v>
      </x:c>
      <x:c r="O5" s="14" t="n">
        <x:f>D5*(1-G5-H5)</x:f>
        <x:v>100.00000000000003</x:v>
      </x:c>
      <x:c r="P5" s="14" t="n">
        <x:f>IF(E5=0,0,D5*E5*(1-I5)/I5)</x:f>
        <x:v>0</x:v>
      </x:c>
      <x:c r="Q5" s="14" t="n">
        <x:f>D5*G5*(1-J5)</x:f>
        <x:v>0</x:v>
      </x:c>
      <x:c r="R5" s="14" t="n">
        <x:f>O5+(P5+Q5)/2</x:f>
        <x:v>100.00000000000003</x:v>
      </x:c>
      <x:c r="S5" s="14" t="n">
        <x:f>2*D5+(P5-Q5)/2</x:f>
        <x:v>2000</x:v>
      </x:c>
      <x:c r="T5" s="14" t="n">
        <x:f>(N5+R5)/S5</x:f>
        <x:v>0.3</x:v>
      </x:c>
      <x:c r="U5" s="14" t="n">
        <x:f>(K5/L5)*M5</x:f>
        <x:v>1.2</x:v>
      </x:c>
      <x:c r="V5" s="14" t="n">
        <x:f>1-T5*0.9/U5</x:f>
        <x:v>0.7749999999999999</x:v>
      </x:c>
      <x:c r="W5" s="14" t="n">
        <x:f>MAX(0,MIN(1,V5))</x:f>
        <x:v>0.7749999999999999</x:v>
      </x:c>
      <x:c r="X5" s="14" t="n">
        <x:f>W5*100</x:f>
        <x:v>77.49999999999999</x:v>
      </x:c>
      <x:c r="Y5" s="14" t="n">
        <x:f>D5*W5</x:f>
        <x:v>774.9999999999999</x:v>
      </x:c>
      <x:c r="Z5" s="1"/>
    </x:row>
    <x:row r="6">
      <x:c r="A6" s="12" t="str">
        <x:f>Inputs!A6</x:f>
        <x:v>C02</x:v>
      </x:c>
      <x:c r="B6" s="12" t="str">
        <x:f>Inputs!B6</x:f>
        <x:v>Illustrative roof assembly</x:v>
      </x:c>
      <x:c r="C6" s="12" t="str">
        <x:f>Inputs!D6</x:f>
        <x:v>Illustrative concrete layer</x:v>
      </x:c>
      <x:c r="D6" s="13" t="n">
        <x:f>Inputs!E6</x:f>
        <x:v>500</x:v>
      </x:c>
      <x:c r="E6" s="13" t="n">
        <x:f>Inputs!F6</x:f>
        <x:v>0.2</x:v>
      </x:c>
      <x:c r="F6" s="13" t="n">
        <x:f>Inputs!G6</x:f>
        <x:v>0</x:v>
      </x:c>
      <x:c r="G6" s="13" t="n">
        <x:f>Inputs!H6</x:f>
        <x:v>0.8</x:v>
      </x:c>
      <x:c r="H6" s="13" t="n">
        <x:f>Inputs!I6</x:f>
        <x:v>0</x:v>
      </x:c>
      <x:c r="I6" s="13" t="n">
        <x:f>Inputs!J6</x:f>
        <x:v>0.9</x:v>
      </x:c>
      <x:c r="J6" s="13" t="n">
        <x:f>Inputs!K6</x:f>
        <x:v>0.9</x:v>
      </x:c>
      <x:c r="K6" s="13" t="n">
        <x:f>Inputs!L6</x:f>
        <x:v>50</x:v>
      </x:c>
      <x:c r="L6" s="13" t="n">
        <x:f>Inputs!M6</x:f>
        <x:v>50</x:v>
      </x:c>
      <x:c r="M6" s="13" t="n">
        <x:f>Inputs!N6</x:f>
        <x:v>1</x:v>
      </x:c>
      <x:c r="N6" s="14" t="n">
        <x:f>D6*(1-E6-F6)</x:f>
        <x:v>400</x:v>
      </x:c>
      <x:c r="O6" s="14" t="n">
        <x:f>D6*(1-G6-H6)</x:f>
        <x:v>99.99999999999997</x:v>
      </x:c>
      <x:c r="P6" s="14" t="n">
        <x:f>IF(E6=0,0,D6*E6*(1-I6)/I6)</x:f>
        <x:v>11.111111111111109</x:v>
      </x:c>
      <x:c r="Q6" s="14" t="n">
        <x:f>D6*G6*(1-J6)</x:f>
        <x:v>39.99999999999999</x:v>
      </x:c>
      <x:c r="R6" s="14" t="n">
        <x:f>O6+(P6+Q6)/2</x:f>
        <x:v>125.55555555555551</x:v>
      </x:c>
      <x:c r="S6" s="14" t="n">
        <x:f>2*D6+(P6-Q6)/2</x:f>
        <x:v>985.5555555555555</x:v>
      </x:c>
      <x:c r="T6" s="14" t="n">
        <x:f>(N6+R6)/S6</x:f>
        <x:v>0.5332581736189402</x:v>
      </x:c>
      <x:c r="U6" s="14" t="n">
        <x:f>(K6/L6)*M6</x:f>
        <x:v>1</x:v>
      </x:c>
      <x:c r="V6" s="14" t="n">
        <x:f>1-T6*0.9/U6</x:f>
        <x:v>0.5200676437429538</x:v>
      </x:c>
      <x:c r="W6" s="14" t="n">
        <x:f>MAX(0,MIN(1,V6))</x:f>
        <x:v>0.5200676437429538</x:v>
      </x:c>
      <x:c r="X6" s="14" t="n">
        <x:f>W6*100</x:f>
        <x:v>52.00676437429538</x:v>
      </x:c>
      <x:c r="Y6" s="14" t="n">
        <x:f>D6*W6</x:f>
        <x:v>260.0338218714769</x:v>
      </x:c>
      <x:c r="Z6" s="1"/>
    </x:row>
    <x:row r="7">
      <x:c r="A7" s="12" t="str">
        <x:f>Inputs!A7</x:f>
        <x:v>C02</x:v>
      </x:c>
      <x:c r="B7" s="12" t="str">
        <x:f>Inputs!B7</x:f>
        <x:v>Illustrative roof assembly</x:v>
      </x:c>
      <x:c r="C7" s="12" t="str">
        <x:f>Inputs!D7</x:f>
        <x:v>Illustrative steel layer</x:v>
      </x:c>
      <x:c r="D7" s="13" t="n">
        <x:f>Inputs!E7</x:f>
        <x:v>100</x:v>
      </x:c>
      <x:c r="E7" s="13" t="n">
        <x:f>Inputs!F7</x:f>
        <x:v>0.8</x:v>
      </x:c>
      <x:c r="F7" s="13" t="n">
        <x:f>Inputs!G7</x:f>
        <x:v>0</x:v>
      </x:c>
      <x:c r="G7" s="13" t="n">
        <x:f>Inputs!H7</x:f>
        <x:v>0.95</x:v>
      </x:c>
      <x:c r="H7" s="13" t="n">
        <x:f>Inputs!I7</x:f>
        <x:v>0</x:v>
      </x:c>
      <x:c r="I7" s="13" t="n">
        <x:f>Inputs!J7</x:f>
        <x:v>0.9</x:v>
      </x:c>
      <x:c r="J7" s="13" t="n">
        <x:f>Inputs!K7</x:f>
        <x:v>0.95</x:v>
      </x:c>
      <x:c r="K7" s="13" t="n">
        <x:f>Inputs!L7</x:f>
        <x:v>50</x:v>
      </x:c>
      <x:c r="L7" s="13" t="n">
        <x:f>Inputs!M7</x:f>
        <x:v>50</x:v>
      </x:c>
      <x:c r="M7" s="13" t="n">
        <x:f>Inputs!N7</x:f>
        <x:v>1</x:v>
      </x:c>
      <x:c r="N7" s="14" t="n">
        <x:f>D7*(1-E7-F7)</x:f>
        <x:v>19.999999999999996</x:v>
      </x:c>
      <x:c r="O7" s="14" t="n">
        <x:f>D7*(1-G7-H7)</x:f>
        <x:v>5.000000000000004</x:v>
      </x:c>
      <x:c r="P7" s="14" t="n">
        <x:f>IF(E7=0,0,D7*E7*(1-I7)/I7)</x:f>
        <x:v>8.888888888888888</x:v>
      </x:c>
      <x:c r="Q7" s="14" t="n">
        <x:f>D7*G7*(1-J7)</x:f>
        <x:v>4.750000000000004</x:v>
      </x:c>
      <x:c r="R7" s="14" t="n">
        <x:f>O7+(P7+Q7)/2</x:f>
        <x:v>11.81944444444445</x:v>
      </x:c>
      <x:c r="S7" s="14" t="n">
        <x:f>2*D7+(P7-Q7)/2</x:f>
        <x:v>202.06944444444443</x:v>
      </x:c>
      <x:c r="T7" s="14" t="n">
        <x:f>(N7+R7)/S7</x:f>
        <x:v>0.15746786720736822</x:v>
      </x:c>
      <x:c r="U7" s="14" t="n">
        <x:f>(K7/L7)*M7</x:f>
        <x:v>1</x:v>
      </x:c>
      <x:c r="V7" s="14" t="n">
        <x:f>1-T7*0.9/U7</x:f>
        <x:v>0.8582789195133687</x:v>
      </x:c>
      <x:c r="W7" s="14" t="n">
        <x:f>MAX(0,MIN(1,V7))</x:f>
        <x:v>0.8582789195133687</x:v>
      </x:c>
      <x:c r="X7" s="14" t="n">
        <x:f>W7*100</x:f>
        <x:v>85.82789195133687</x:v>
      </x:c>
      <x:c r="Y7" s="14" t="n">
        <x:f>D7*W7</x:f>
        <x:v>85.82789195133687</x:v>
      </x:c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32" hidden="0" customWidth="1"/>
    <x:col min="5" max="5" width="14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22" hidden="0" customWidth="1"/>
    <x:col min="11" max="11" width="20" hidden="0" customWidth="1"/>
    <x:col min="12" max="12" width="16" hidden="0" customWidth="1"/>
    <x:col min="13" max="13" width="16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Material and component MCI inputs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Component ID</x:v>
      </x:c>
      <x:c r="B4" s="8" t="str">
        <x:v>Component</x:v>
      </x:c>
      <x:c r="C4" s="8" t="str">
        <x:v>Material ID</x:v>
      </x:c>
      <x:c r="D4" s="8" t="str">
        <x:v>Material</x:v>
      </x:c>
      <x:c r="E4" s="8" t="str">
        <x:v>Mass (kg)</x:v>
      </x:c>
      <x:c r="F4" s="8" t="str">
        <x:v>FR recycled input</x:v>
      </x:c>
      <x:c r="G4" s="8" t="str">
        <x:v>FU reused input</x:v>
      </x:c>
      <x:c r="H4" s="8" t="str">
        <x:v>CR collected recycling</x:v>
      </x:c>
      <x:c r="I4" s="8" t="str">
        <x:v>CU collected reuse</x:v>
      </x:c>
      <x:c r="J4" s="8" t="str">
        <x:v>EF feedstock efficiency</x:v>
      </x:c>
      <x:c r="K4" s="8" t="str">
        <x:v>EC end-use efficiency</x:v>
      </x:c>
      <x:c r="L4" s="8" t="str">
        <x:v>Service life</x:v>
      </x:c>
      <x:c r="M4" s="8" t="str">
        <x:v>Average life</x:v>
      </x:c>
      <x:c r="N4" s="8" t="str">
        <x:v>Use ratio U/Uav</x:v>
      </x:c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 t="str">
        <x:v>C01</x:v>
      </x:c>
      <x:c r="B5" s="1" t="str">
        <x:v>Worked-example construction component</x:v>
      </x:c>
      <x:c r="C5" s="1" t="str">
        <x:v>M01</x:v>
      </x:c>
      <x:c r="D5" s="1" t="str">
        <x:v>Illustrative composite material</x:v>
      </x:c>
      <x:c r="E5" s="10" t="n">
        <x:v>1000</x:v>
      </x:c>
      <x:c r="F5" s="11" t="n">
        <x:v>0.4</x:v>
      </x:c>
      <x:c r="G5" s="11" t="n">
        <x:v>0.1</x:v>
      </x:c>
      <x:c r="H5" s="11" t="n">
        <x:v>0.7</x:v>
      </x:c>
      <x:c r="I5" s="11" t="n">
        <x:v>0.2</x:v>
      </x:c>
      <x:c r="J5" s="11" t="n">
        <x:v>1</x:v>
      </x:c>
      <x:c r="K5" s="11" t="n">
        <x:v>1</x:v>
      </x:c>
      <x:c r="L5" s="10" t="n">
        <x:v>60</x:v>
      </x:c>
      <x:c r="M5" s="10" t="n">
        <x:v>50</x:v>
      </x:c>
      <x:c r="N5" s="10" t="n">
        <x:v>1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 t="str">
        <x:v>C02</x:v>
      </x:c>
      <x:c r="B6" s="1" t="str">
        <x:v>Illustrative roof assembly</x:v>
      </x:c>
      <x:c r="C6" s="1" t="str">
        <x:v>M02</x:v>
      </x:c>
      <x:c r="D6" s="1" t="str">
        <x:v>Illustrative concrete layer</x:v>
      </x:c>
      <x:c r="E6" s="10" t="n">
        <x:v>500</x:v>
      </x:c>
      <x:c r="F6" s="11" t="n">
        <x:v>0.2</x:v>
      </x:c>
      <x:c r="G6" s="11" t="n">
        <x:v>0</x:v>
      </x:c>
      <x:c r="H6" s="11" t="n">
        <x:v>0.8</x:v>
      </x:c>
      <x:c r="I6" s="11" t="n">
        <x:v>0</x:v>
      </x:c>
      <x:c r="J6" s="11" t="n">
        <x:v>0.9</x:v>
      </x:c>
      <x:c r="K6" s="11" t="n">
        <x:v>0.9</x:v>
      </x:c>
      <x:c r="L6" s="10" t="n">
        <x:v>50</x:v>
      </x:c>
      <x:c r="M6" s="10" t="n">
        <x:v>50</x:v>
      </x:c>
      <x:c r="N6" s="10" t="n">
        <x:v>1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 t="str">
        <x:v>C02</x:v>
      </x:c>
      <x:c r="B7" s="1" t="str">
        <x:v>Illustrative roof assembly</x:v>
      </x:c>
      <x:c r="C7" s="1" t="str">
        <x:v>M03</x:v>
      </x:c>
      <x:c r="D7" s="1" t="str">
        <x:v>Illustrative steel layer</x:v>
      </x:c>
      <x:c r="E7" s="10" t="n">
        <x:v>100</x:v>
      </x:c>
      <x:c r="F7" s="11" t="n">
        <x:v>0.8</x:v>
      </x:c>
      <x:c r="G7" s="11" t="n">
        <x:v>0</x:v>
      </x:c>
      <x:c r="H7" s="11" t="n">
        <x:v>0.95</x:v>
      </x:c>
      <x:c r="I7" s="11" t="n">
        <x:v>0</x:v>
      </x:c>
      <x:c r="J7" s="11" t="n">
        <x:v>0.9</x:v>
      </x:c>
      <x:c r="K7" s="11" t="n">
        <x:v>0.95</x:v>
      </x:c>
      <x:c r="L7" s="10" t="n">
        <x:v>50</x:v>
      </x:c>
      <x:c r="M7" s="10" t="n">
        <x:v>50</x:v>
      </x:c>
      <x:c r="N7" s="10" t="n">
        <x:v>1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" t="str">
        <x:v>MCI component workbook guide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3"/>
      <x:c r="B3" s="3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5" t="str">
        <x:v>Purpose</x:v>
      </x:c>
      <x:c r="B5" s="16" t="str">
        <x:v>Calculate MCI for material rows, then mass-weight them into construction-component scores.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5" t="str">
        <x:v>Reference</x:v>
      </x:c>
      <x:c r="B6" s="16" t="str">
        <x:v>How is _Material Circularity Indicator_ (MCI).md in this folder.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5" t="str">
        <x:v>Worked example</x:v>
      </x:c>
      <x:c r="B7" s="16" t="str">
        <x:v>C01 reproduces the supplied 1,000 kg example and should return MCI 0.775.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5" t="str">
        <x:v>Fractions</x:v>
      </x:c>
      <x:c r="B8" s="16" t="str">
        <x:v>FR+FU and CR+CU must each be no greater than 1.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5" t="str">
        <x:v>Recovery scenarios</x:v>
      </x:c>
      <x:c r="B9" s="16" t="str">
        <x:v>Use demonstrated practice or a documented future scenario; theoretical recyclability is not actual recovery.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5" t="str">
        <x:v>Biological materials</x:v>
      </x:c>
      <x:c r="B10" s="16" t="str">
        <x:v>Additional methodology rules are required and are outside this simple technical-material implementation.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5" t="str">
        <x:v>Input convention</x:v>
      </x:c>
      <x:c r="B11" s="16" t="str">
        <x:v>Amber fill and blue font indicate editable inputs.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</x:sheetData>
  <x:pageMargins left="0.7" right="0.7" top="0.75" bottom="0.75" header="0.3" footer="0.3"/>
</x:worksheet>
</file>