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5c0d69db04e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259c48d05c4117"/>
    <x:sheet xmlns:r="http://schemas.openxmlformats.org/officeDocument/2006/relationships" name="Calculation" sheetId="2" r:id="R6d3d29d8a40d480f"/>
    <x:sheet xmlns:r="http://schemas.openxmlformats.org/officeDocument/2006/relationships" name="Inputs" sheetId="3" r:id="Rdd906f8eee7045d0"/>
    <x:sheet xmlns:r="http://schemas.openxmlformats.org/officeDocument/2006/relationships" name="Guide" sheetId="4" r:id="R6eaf42de687f40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0"/>
    <x:numFmt numFmtId="201" formatCode="0.000000"/>
    <x:numFmt numFmtId="202" formatCode="#,##0.000000"/>
  </x:numFmts>
  <x:fonts count="7">
    <x:font>
      <x:sz val="11"/>
      <x:name val="Carlito"/>
    </x:font>
    <x:font>
      <x:sz val="10"/>
      <x:color rgb="FF222222"/>
      <x:name val="Arial"/>
    </x:font>
    <x:font>
      <x:b/>
      <x:sz val="15"/>
      <x:color rgb="FF1F4E7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b/>
      <x:sz val="10"/>
      <x:color rgb="FF1F4E7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1F4E78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1" fontId="4" fillId="3" borderId="0" xfId="0" applyNumberFormat="1" applyFont="1" applyFill="1" applyBorder="1"/>
    <x:xf numFmtId="0" fontId="5" fillId="0" borderId="0" xfId="0" applyNumberFormat="1" applyFont="1" applyFill="1" applyBorder="1"/>
    <x:xf numFmtId="202" fontId="5" fillId="0" borderId="0" xfId="0" applyNumberFormat="1" applyFont="1" applyFill="1" applyBorder="1"/>
    <x:xf numFmtId="202" fontId="1" fillId="0" borderId="0" xfId="0" applyNumberFormat="1" applyFont="1" applyFill="1" applyBorder="1"/>
    <x:xf numFmtId="0" fontId="6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ca7bf29d184e89" /><Relationship Type="http://schemas.openxmlformats.org/officeDocument/2006/relationships/theme" Target="/xl/theme/theme1.xml" Id="R65ecb121c7b04575" /><Relationship Type="http://schemas.openxmlformats.org/officeDocument/2006/relationships/sharedStrings" Target="/xl/sharedStrings.xml" Id="R41968bd4f063461e" /><Relationship Type="http://schemas.openxmlformats.org/officeDocument/2006/relationships/worksheet" Target="/xl/worksheets/sheet1.xml" Id="Rb7259c48d05c4117" /><Relationship Type="http://schemas.openxmlformats.org/officeDocument/2006/relationships/worksheet" Target="/xl/worksheets/sheet2.xml" Id="R6d3d29d8a40d480f" /><Relationship Type="http://schemas.openxmlformats.org/officeDocument/2006/relationships/worksheet" Target="/xl/worksheets/sheet3.xml" Id="Rdd906f8eee7045d0" /><Relationship Type="http://schemas.openxmlformats.org/officeDocument/2006/relationships/worksheet" Target="/xl/worksheets/sheet4.xml" Id="R6eaf42de687f40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4" hidden="0" customWidth="1"/>
    <x:col min="3" max="3" width="22" hidden="0" customWidth="1"/>
    <x:col min="4" max="4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Building MCI summary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3"/>
      <x:c r="D3" s="3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8" t="str">
        <x:v>Building result</x:v>
      </x:c>
      <x:c r="B5" s="8" t="str">
        <x:v>Value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Total assessed mass (kg)</x:v>
      </x:c>
      <x:c r="B6" s="15" t="n">
        <x:f>SUM(Calculation!D5:D7)</x:f>
        <x:v>4000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Building MCI</x:v>
      </x:c>
      <x:c r="B7" s="15" t="n">
        <x:f>SUM(Calculation!F5:F7)/B6</x:f>
        <x:v>0.49675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Building MCI (%)</x:v>
      </x:c>
      <x:c r="B8" s="15" t="n">
        <x:f>B7*100</x:f>
        <x:v>49.675000000000004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8" t="str">
        <x:v>Building layer</x:v>
      </x:c>
      <x:c r="B11" s="8" t="str">
        <x:v>Component count</x:v>
      </x:c>
      <x:c r="C11" s="8" t="str">
        <x:v>Mass (kg)</x:v>
      </x:c>
      <x:c r="D11" s="8" t="str">
        <x:v>Layer MCI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 t="str">
        <x:v>Envelope</x:v>
      </x:c>
      <x:c r="B12" s="1" t="n">
        <x:f>COUNTIF(Calculation!$C$5:$C$7,A12)</x:f>
        <x:v>2</x:v>
      </x:c>
      <x:c r="C12" s="15" t="n">
        <x:f>SUMIF(Calculation!$C$5:$C$7,A12,Calculation!$D$5:$D$7)</x:f>
        <x:v>1600</x:v>
      </x:c>
      <x:c r="D12" s="15" t="n">
        <x:f>SUMIF(Calculation!$C$5:$C$7,A12,Calculation!$F$5:$F$7)/C12</x:f>
        <x:v>0.716875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 t="str">
        <x:v>Structure</x:v>
      </x:c>
      <x:c r="B13" s="1" t="n">
        <x:f>COUNTIF(Calculation!$C$5:$C$7,A13)</x:f>
        <x:v>1</x:v>
      </x:c>
      <x:c r="C13" s="15" t="n">
        <x:f>SUMIF(Calculation!$C$5:$C$7,A13,Calculation!$D$5:$D$7)</x:f>
        <x:v>2400</x:v>
      </x:c>
      <x:c r="D13" s="15" t="n">
        <x:f>SUMIF(Calculation!$C$5:$C$7,A13,Calculation!$F$5:$F$7)/C13</x:f>
        <x:v>0.35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8" t="str">
        <x:v>Verification</x:v>
      </x:c>
      <x:c r="B17" s="8" t="str">
        <x:v>Calculated</x:v>
      </x:c>
      <x:c r="C17" s="8" t="str">
        <x:v>Expected</x:v>
      </x:c>
      <x:c r="D17" s="8" t="str">
        <x:v>Within tolerance?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 t="str">
        <x:v>Building MCI</x:v>
      </x:c>
      <x:c r="B18" s="1" t="n">
        <x:f>B7</x:f>
        <x:v>0.49675</x:v>
      </x:c>
      <x:c r="C18" s="1" t="n">
        <x:v>0.49675</x:v>
      </x:c>
      <x:c r="D18" s="1" t="b">
        <x:f>ABS(B18-C18)&lt;=0.000001+0.000000001*ABS(C18)</x:f>
        <x:v>1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0" hidden="0" customWidth="1"/>
    <x:col min="3" max="3" width="24" hidden="0" customWidth="1"/>
    <x:col min="4" max="4" width="18" hidden="0" customWidth="1"/>
    <x:col min="5" max="5" width="18" hidden="0" customWidth="1"/>
    <x:col min="6" max="6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Building MCI calculation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3"/>
      <x:c r="D3" s="3"/>
      <x:c r="E3" s="3"/>
      <x:c r="F3" s="3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8" t="str">
        <x:v>Component ID</x:v>
      </x:c>
      <x:c r="B4" s="8" t="str">
        <x:v>Component</x:v>
      </x:c>
      <x:c r="C4" s="8" t="str">
        <x:v>Layer</x:v>
      </x:c>
      <x:c r="D4" s="8" t="str">
        <x:v>Mass (kg)</x:v>
      </x:c>
      <x:c r="E4" s="8" t="str">
        <x:v>MCI</x:v>
      </x:c>
      <x:c r="F4" s="8" t="str">
        <x:v>Mass × MCI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3" t="str">
        <x:f>Inputs!A5</x:f>
        <x:v>C01</x:v>
      </x:c>
      <x:c r="B5" s="13" t="str">
        <x:f>Inputs!B5</x:f>
        <x:v>Worked-example construction component</x:v>
      </x:c>
      <x:c r="C5" s="13" t="str">
        <x:f>Inputs!C5</x:f>
        <x:v>Envelope</x:v>
      </x:c>
      <x:c r="D5" s="14" t="n">
        <x:f>Inputs!D5</x:f>
        <x:v>1000</x:v>
      </x:c>
      <x:c r="E5" s="14" t="n">
        <x:f>Inputs!E5</x:f>
        <x:v>0.775</x:v>
      </x:c>
      <x:c r="F5" s="15" t="n">
        <x:f>D5*E5</x:f>
        <x:v>775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3" t="str">
        <x:f>Inputs!A6</x:f>
        <x:v>C02</x:v>
      </x:c>
      <x:c r="B6" s="13" t="str">
        <x:f>Inputs!B6</x:f>
        <x:v>Illustrative roof assembly</x:v>
      </x:c>
      <x:c r="C6" s="13" t="str">
        <x:f>Inputs!C6</x:f>
        <x:v>Envelope</x:v>
      </x:c>
      <x:c r="D6" s="14" t="n">
        <x:f>Inputs!D6</x:f>
        <x:v>600</x:v>
      </x:c>
      <x:c r="E6" s="14" t="n">
        <x:f>Inputs!E6</x:f>
        <x:v>0.62</x:v>
      </x:c>
      <x:c r="F6" s="15" t="n">
        <x:f>D6*E6</x:f>
        <x:v>372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3" t="str">
        <x:f>Inputs!A7</x:f>
        <x:v>C03</x:v>
      </x:c>
      <x:c r="B7" s="13" t="str">
        <x:f>Inputs!B7</x:f>
        <x:v>Illustrative structural component</x:v>
      </x:c>
      <x:c r="C7" s="13" t="str">
        <x:f>Inputs!C7</x:f>
        <x:v>Structure</x:v>
      </x:c>
      <x:c r="D7" s="14" t="n">
        <x:f>Inputs!D7</x:f>
        <x:v>2400</x:v>
      </x:c>
      <x:c r="E7" s="14" t="n">
        <x:f>Inputs!E7</x:f>
        <x:v>0.35</x:v>
      </x:c>
      <x:c r="F7" s="15" t="n">
        <x:f>D7*E7</x:f>
        <x:v>840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40" hidden="0" customWidth="1"/>
    <x:col min="3" max="3" width="24" hidden="0" customWidth="1"/>
    <x:col min="4" max="4" width="18" hidden="0" customWidth="1"/>
    <x:col min="5" max="5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Building MCI inputs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3"/>
      <x:c r="D3" s="3"/>
      <x:c r="E3" s="3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8" t="str">
        <x:v>Component ID</x:v>
      </x:c>
      <x:c r="B4" s="8" t="str">
        <x:v>Component</x:v>
      </x:c>
      <x:c r="C4" s="8" t="str">
        <x:v>Building layer</x:v>
      </x:c>
      <x:c r="D4" s="8" t="str">
        <x:v>Mass (kg)</x:v>
      </x:c>
      <x:c r="E4" s="8" t="str">
        <x:v>Pre-computed MCI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 t="str">
        <x:v>C01</x:v>
      </x:c>
      <x:c r="B5" s="1" t="str">
        <x:v>Worked-example construction component</x:v>
      </x:c>
      <x:c r="C5" s="10" t="str">
        <x:v>Envelope</x:v>
      </x:c>
      <x:c r="D5" s="11" t="n">
        <x:v>1000</x:v>
      </x:c>
      <x:c r="E5" s="12" t="n">
        <x:v>0.775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C02</x:v>
      </x:c>
      <x:c r="B6" s="1" t="str">
        <x:v>Illustrative roof assembly</x:v>
      </x:c>
      <x:c r="C6" s="10" t="str">
        <x:v>Envelope</x:v>
      </x:c>
      <x:c r="D6" s="11" t="n">
        <x:v>600</x:v>
      </x:c>
      <x:c r="E6" s="12" t="n">
        <x:v>0.62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C03</x:v>
      </x:c>
      <x:c r="B7" s="1" t="str">
        <x:v>Illustrative structural component</x:v>
      </x:c>
      <x:c r="C7" s="10" t="str">
        <x:v>Structure</x:v>
      </x:c>
      <x:c r="D7" s="11" t="n">
        <x:v>2400</x:v>
      </x:c>
      <x:c r="E7" s="12" t="n">
        <x:v>0.35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Building MCI aggregation guide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6" t="str">
        <x:v>Purpose</x:v>
      </x:c>
      <x:c r="B5" s="17" t="str">
        <x:v>Aggregate pre-computed component MCI values into layer and building scores.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6" t="str">
        <x:v>Formula</x:v>
      </x:c>
      <x:c r="B6" s="17" t="str">
        <x:v>SUM(component mass × component MCI) / SUM(component mass).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6" t="str">
        <x:v>Reference</x:v>
      </x:c>
      <x:c r="B7" s="17" t="str">
        <x:v>How is _Material Circularity Indicator_ (MCI).md in this folder.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6" t="str">
        <x:v>Interpretation</x:v>
      </x:c>
      <x:c r="B8" s="17" t="str">
        <x:v>Heavy components influence the score more than lightweight components. Keep layer results visible beside the overall score.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6" t="str">
        <x:v>Input source</x:v>
      </x:c>
      <x:c r="B9" s="17" t="str">
        <x:v>Component MCI can come from MCI_components.xlsx or another documented implementation.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6" t="str">
        <x:v>Input convention</x:v>
      </x:c>
      <x:c r="B10" s="17" t="str">
        <x:v>Amber fill and blue font indicate editable inputs.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</x:sheetData>
  <x:pageMargins left="0.7" right="0.7" top="0.75" bottom="0.75" header="0.3" footer="0.3"/>
</x:worksheet>
</file>