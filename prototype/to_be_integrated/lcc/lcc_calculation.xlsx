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955e34f9244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2c875ef698ca4263"/>
    <x:sheet xmlns:r="http://schemas.openxmlformats.org/officeDocument/2006/relationships" name="Inputs" sheetId="2" r:id="Ref31886be03745b5"/>
    <x:sheet xmlns:r="http://schemas.openxmlformats.org/officeDocument/2006/relationships" name="Calculation" sheetId="3" r:id="Rdaac15fb146c4ccc"/>
    <x:sheet xmlns:r="http://schemas.openxmlformats.org/officeDocument/2006/relationships" name="Check" sheetId="4" r:id="R60432ffd0cf84d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.0000"/>
    <x:numFmt numFmtId="202" formatCode="#,##0.000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7">
    <x:border>
      <x:left/>
      <x:right/>
      <x:top/>
      <x:bottom/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201" fontId="4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1" fontId="5" fillId="3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0d09e401845c8" /><Relationship Type="http://schemas.openxmlformats.org/officeDocument/2006/relationships/theme" Target="/xl/theme/theme1.xml" Id="R38532af6836e47ef" /><Relationship Type="http://schemas.openxmlformats.org/officeDocument/2006/relationships/sharedStrings" Target="/xl/sharedStrings.xml" Id="R6cda51a54d47458f" /><Relationship Type="http://schemas.openxmlformats.org/officeDocument/2006/relationships/worksheet" Target="/xl/worksheets/sheet1.xml" Id="R2c875ef698ca4263" /><Relationship Type="http://schemas.openxmlformats.org/officeDocument/2006/relationships/worksheet" Target="/xl/worksheets/sheet2.xml" Id="Ref31886be03745b5" /><Relationship Type="http://schemas.openxmlformats.org/officeDocument/2006/relationships/worksheet" Target="/xl/worksheets/sheet3.xml" Id="Rdaac15fb146c4ccc" /><Relationship Type="http://schemas.openxmlformats.org/officeDocument/2006/relationships/worksheet" Target="/xl/worksheets/sheet4.xml" Id="R60432ffd0cf84d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30" customHeight="1">
      <x:c r="A1" s="3" t="str">
        <x:v>LCC | Standalone calculation</x:v>
      </x:c>
      <x:c r="B1" s="3"/>
      <x:c r="C1" s="3"/>
      <x:c r="D1" s="3"/>
      <x:c r="E1" s="3"/>
      <x:c r="F1" s="3"/>
    </x:row>
    <x:row r="3" ht="32" customHeight="1">
      <x:c r="A3" s="6" t="str">
        <x:v>Source</x:v>
      </x:c>
      <x:c r="B3" s="7" t="str">
        <x:v>energy_model/outputs/revised_energy_model.xlsx · ENERGY MODEL-DSS</x:v>
      </x:c>
    </x:row>
    <x:row r="4" ht="32" customHeight="1">
      <x:c r="A4" s="8" t="str">
        <x:v>Selected source rows</x:v>
      </x:c>
      <x:c r="B4" s="9" t="str">
        <x:v>506–564</x:v>
      </x:c>
    </x:row>
    <x:row r="5" ht="32" customHeight="1">
      <x:c r="A5" s="8" t="str">
        <x:v>Benchmark case</x:v>
      </x:c>
      <x:c r="B5" s="9" t="str">
        <x:v>Design option 1 · Lyon · saved source-workbook values</x:v>
      </x:c>
    </x:row>
    <x:row r="6" ht="32" customHeight="1">
      <x:c r="A6" s="8" t="str">
        <x:v>Workbook flow</x:v>
      </x:c>
      <x:c r="B6" s="9" t="str">
        <x:v>Inputs → Calculation → Check. Edit amber cells on Inputs; inspect formulas and source comparisons downstream.</x:v>
      </x:c>
    </x:row>
    <x:row r="7" ht="32" customHeight="1">
      <x:c r="A7" s="8" t="str">
        <x:v>Input font convention</x:v>
      </x:c>
      <x:c r="B7" s="9" t="str">
        <x:v>Blue font = editable input; green font = linked input/reference; black font = formula.</x:v>
      </x:c>
    </x:row>
    <x:row r="8" ht="32" customHeight="1">
      <x:c r="A8" s="8" t="str">
        <x:v>Check tolerance</x:v>
      </x:c>
      <x:c r="B8" s="9" t="str">
        <x:v>abs(Python or workbook − source) ≤ 0.000001 + 0.000000001 × abs(source)</x:v>
      </x:c>
    </x:row>
    <x:row r="9" ht="32" customHeight="1">
      <x:c r="A9" s="8" t="str">
        <x:v>Source workbook SHA-256</x:v>
      </x:c>
      <x:c r="B9" s="9" t="str">
        <x:v>379531a7c90bffe7818db93393cf7333fefdad780146833de98a0cd4a490d3da</x:v>
      </x:c>
    </x:row>
    <x:row r="10" ht="32" customHeight="1">
      <x:c r="A10" s="10" t="str">
        <x:v>Scope</x:v>
      </x:c>
      <x:c r="B10" s="11" t="str">
        <x:v>Investment and operation cost, including explicit base size × sizing factor = assessed size. Energy demand and carrier conversion are upstream inputs.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4" hidden="0" customWidth="1"/>
    <x:col min="12" max="12" width="13" hidden="0" customWidth="1"/>
    <x:col min="13" max="13" width="36" hidden="0" customWidth="1"/>
  </x:cols>
  <x:sheetData>
    <x:row r="1" ht="30" customHeight="1">
      <x:c r="A1" s="31" t="str">
        <x:v>LCC | Input data and assumptions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3">
      <x:c r="A3" s="14" t="str">
        <x:v>Assumption</x:v>
      </x:c>
      <x:c r="B3" s="14" t="str">
        <x:v>Benchmark value</x:v>
      </x:c>
    </x:row>
    <x:row r="4">
      <x:c r="A4" t="str">
        <x:v>Project lifetime (years)</x:v>
      </x:c>
      <x:c r="B4" s="17" t="n">
        <x:v>30</x:v>
      </x:c>
    </x:row>
    <x:row r="5">
      <x:c r="A5" t="str">
        <x:v>Nominal market interest rate</x:v>
      </x:c>
      <x:c r="B5" s="17" t="n">
        <x:v>0.05</x:v>
      </x:c>
    </x:row>
    <x:row r="6">
      <x:c r="A6" t="str">
        <x:v>Market inflation rate</x:v>
      </x:c>
      <x:c r="B6" s="17" t="n">
        <x:v>0.02</x:v>
      </x:c>
    </x:row>
    <x:row r="7">
      <x:c r="A7" t="str">
        <x:v>Product inflation rate</x:v>
      </x:c>
      <x:c r="B7" s="17" t="n">
        <x:v>0.02</x:v>
      </x:c>
    </x:row>
    <x:row r="8">
      <x:c r="A8" t="str">
        <x:v>Electricity inflation rate</x:v>
      </x:c>
      <x:c r="B8" s="17" t="n">
        <x:v>0.05</x:v>
      </x:c>
    </x:row>
    <x:row r="9">
      <x:c r="A9" t="str">
        <x:v>Maintenance inflation rate</x:v>
      </x:c>
      <x:c r="B9" s="17" t="n">
        <x:v>0.04</x:v>
      </x:c>
    </x:row>
    <x:row r="10">
      <x:c r="A10" t="str">
        <x:v>Fuel inflation rate (source input; unused here)</x:v>
      </x:c>
      <x:c r="B10" s="17" t="n">
        <x:v>0.04</x:v>
      </x:c>
    </x:row>
    <x:row r="11">
      <x:c r="A11" t="str">
        <x:v>Export price (EUR/kWh)</x:v>
      </x:c>
      <x:c r="B11" s="17" t="n">
        <x:v>0.07</x:v>
      </x:c>
    </x:row>
    <x:row r="12">
      <x:c r="A12" t="str">
        <x:v>Import price (EUR/kWh)</x:v>
      </x:c>
      <x:c r="B12" s="17" t="n">
        <x:v>0.21</x:v>
      </x:c>
    </x:row>
    <x:row r="13">
      <x:c r="A13" t="str">
        <x:v>Demolition fraction</x:v>
      </x:c>
      <x:c r="B13" s="17" t="n">
        <x:v>0.06</x:v>
      </x:c>
    </x:row>
    <x:row r="14">
      <x:c r="A14" t="str">
        <x:v>Other install cost (EUR/m²)</x:v>
      </x:c>
      <x:c r="B14" s="17" t="n">
        <x:v>0</x:v>
      </x:c>
    </x:row>
    <x:row r="15">
      <x:c r="A15" t="str">
        <x:v>Renovation area (m²)</x:v>
      </x:c>
      <x:c r="B15" s="17" t="n">
        <x:v>1112.8</x:v>
      </x:c>
    </x:row>
    <x:row r="16">
      <x:c r="A16" t="str">
        <x:v>Net floor area (m²)</x:v>
      </x:c>
      <x:c r="B16" s="17" t="n">
        <x:v>1112.8</x:v>
      </x:c>
    </x:row>
    <x:row r="17">
      <x:c r="A17" t="str">
        <x:v>Annual exported electricity (kWh)</x:v>
      </x:c>
      <x:c r="B17" s="17" t="n">
        <x:v>0</x:v>
      </x:c>
    </x:row>
    <x:row r="18">
      <x:c r="A18" t="str">
        <x:v>Annual imported electricity (kWh)</x:v>
      </x:c>
      <x:c r="B18" s="17" t="n">
        <x:v>36973.5636644548</x:v>
      </x:c>
    </x:row>
    <x:row r="19">
      <x:c r="A19" t="str">
        <x:v>Baseline electricity bill (EUR/year)</x:v>
      </x:c>
      <x:c r="B19" s="17" t="n">
        <x:v>26707.2</x:v>
      </x:c>
    </x:row>
    <x:row r="20">
      <x:c r="A20" t="str">
        <x:v>Baseline fuel bill (EUR/year)</x:v>
      </x:c>
      <x:c r="B20" s="17" t="n">
        <x:v>0</x:v>
      </x:c>
    </x:row>
    <x:row r="23">
      <x:c r="A23" s="14" t="str">
        <x:v>Code</x:v>
      </x:c>
      <x:c r="B23" s="14" t="str">
        <x:v>Technology</x:v>
      </x:c>
      <x:c r="C23" s="14" t="str">
        <x:v>Unit cost</x:v>
      </x:c>
      <x:c r="D23" s="14" t="str">
        <x:v>Cost unit</x:v>
      </x:c>
      <x:c r="E23" s="14" t="str">
        <x:v>Assessed size</x:v>
      </x:c>
      <x:c r="F23" s="14" t="str">
        <x:v>Size unit</x:v>
      </x:c>
      <x:c r="G23" s="14" t="str">
        <x:v>Life (years)</x:v>
      </x:c>
      <x:c r="H23" s="14" t="str">
        <x:v>Replacement fraction</x:v>
      </x:c>
      <x:c r="I23" s="14" t="str">
        <x:v>Maintenance rate/year</x:v>
      </x:c>
      <x:c r="J23" s="14" t="str">
        <x:v>Source cells</x:v>
      </x:c>
      <x:c r="K23" s="14" t="str">
        <x:v>Base size</x:v>
      </x:c>
      <x:c r="L23" s="14" t="str">
        <x:v>Sizing factor</x:v>
      </x:c>
      <x:c r="M23" s="14" t="str">
        <x:v>Sizing basis</x:v>
      </x:c>
    </x:row>
    <x:row r="24">
      <x:c r="A24" s="5" t="str">
        <x:v>A81</x:v>
      </x:c>
      <x:c r="B24" s="5" t="str">
        <x:v>Façade insulation</x:v>
      </x:c>
      <x:c r="C24" s="19" t="n">
        <x:v>95.25</x:v>
      </x:c>
      <x:c r="D24" s="5" t="str">
        <x:v>€/m2</x:v>
      </x:c>
      <x:c r="E24" s="30" t="n">
        <x:f>K24*L24</x:f>
        <x:v>1027.42</x:v>
      </x:c>
      <x:c r="F24" s="19" t="str">
        <x:v>m2</x:v>
      </x:c>
      <x:c r="G24" s="19" t="n">
        <x:v>40</x:v>
      </x:c>
      <x:c r="H24" s="19" t="n">
        <x:v>1</x:v>
      </x:c>
      <x:c r="I24" s="19" t="n">
        <x:v>0</x:v>
      </x:c>
      <x:c r="J24" s="5" t="str">
        <x:v>ENERGY MODEL-DSS!T523; ENERGY MODEL-DSS!T524</x:v>
      </x:c>
      <x:c r="K24" s="19" t="n">
        <x:v>1027.42</x:v>
      </x:c>
      <x:c r="L24" s="19" t="n">
        <x:v>1</x:v>
      </x:c>
      <x:c r="M24" s="29" t="str">
        <x:v>retrofitted façade area</x:v>
      </x:c>
    </x:row>
    <x:row r="25">
      <x:c r="A25" s="5" t="str">
        <x:v>A82</x:v>
      </x:c>
      <x:c r="B25" s="5" t="str">
        <x:v>Roof insulation</x:v>
      </x:c>
      <x:c r="C25" s="19" t="n">
        <x:v>23.83</x:v>
      </x:c>
      <x:c r="D25" s="5" t="str">
        <x:v>€/m2</x:v>
      </x:c>
      <x:c r="E25" s="30" t="n">
        <x:f>K25*L25</x:f>
        <x:v>616</x:v>
      </x:c>
      <x:c r="F25" s="19" t="str">
        <x:v>m2</x:v>
      </x:c>
      <x:c r="G25" s="19" t="n">
        <x:v>40</x:v>
      </x:c>
      <x:c r="H25" s="19" t="n">
        <x:v>1</x:v>
      </x:c>
      <x:c r="I25" s="19" t="n">
        <x:v>0</x:v>
      </x:c>
      <x:c r="J25" s="5" t="str">
        <x:v>ENERGY MODEL-DSS!U523; ENERGY MODEL-DSS!U524</x:v>
      </x:c>
      <x:c r="K25" s="19" t="n">
        <x:v>616</x:v>
      </x:c>
      <x:c r="L25" s="19" t="n">
        <x:v>1</x:v>
      </x:c>
      <x:c r="M25" s="29" t="str">
        <x:v>retrofitted roof area</x:v>
      </x:c>
    </x:row>
    <x:row r="26">
      <x:c r="A26" s="5" t="str">
        <x:v>A83</x:v>
      </x:c>
      <x:c r="B26" s="5" t="str">
        <x:v>Basement insulation</x:v>
      </x:c>
      <x:c r="C26" s="19" t="n">
        <x:v>95.25</x:v>
      </x:c>
      <x:c r="D26" s="5" t="str">
        <x:v>€/m2</x:v>
      </x:c>
      <x:c r="E26" s="30" t="n">
        <x:f>K26*L26</x:f>
        <x:v>629</x:v>
      </x:c>
      <x:c r="F26" s="19" t="str">
        <x:v>m2</x:v>
      </x:c>
      <x:c r="G26" s="19" t="n">
        <x:v>40</x:v>
      </x:c>
      <x:c r="H26" s="19" t="n">
        <x:v>1</x:v>
      </x:c>
      <x:c r="I26" s="19" t="n">
        <x:v>0</x:v>
      </x:c>
      <x:c r="J26" s="5" t="str">
        <x:v>ENERGY MODEL-DSS!V523; ENERGY MODEL-DSS!V524</x:v>
      </x:c>
      <x:c r="K26" s="19" t="n">
        <x:v>629</x:v>
      </x:c>
      <x:c r="L26" s="19" t="n">
        <x:v>1</x:v>
      </x:c>
      <x:c r="M26" s="29" t="str">
        <x:v>retrofitted basement area</x:v>
      </x:c>
    </x:row>
    <x:row r="27">
      <x:c r="A27" s="5" t="str">
        <x:v>A84</x:v>
      </x:c>
      <x:c r="B27" s="5" t="str">
        <x:v>Glazing system</x:v>
      </x:c>
      <x:c r="C27" s="19" t="n">
        <x:v>293.95</x:v>
      </x:c>
      <x:c r="D27" s="5" t="str">
        <x:v>€/m2</x:v>
      </x:c>
      <x:c r="E27" s="30" t="n">
        <x:f>K27*L27</x:f>
        <x:v>182.57999999999998</x:v>
      </x:c>
      <x:c r="F27" s="19" t="str">
        <x:v>m2</x:v>
      </x:c>
      <x:c r="G27" s="19" t="n">
        <x:v>30</x:v>
      </x:c>
      <x:c r="H27" s="19" t="n">
        <x:v>1</x:v>
      </x:c>
      <x:c r="I27" s="19" t="n">
        <x:v>0</x:v>
      </x:c>
      <x:c r="J27" s="5" t="str">
        <x:v>ENERGY MODEL-DSS!W523; ENERGY MODEL-DSS!W524</x:v>
      </x:c>
      <x:c r="K27" s="19" t="n">
        <x:v>182.57999999999998</x:v>
      </x:c>
      <x:c r="L27" s="19" t="n">
        <x:v>1</x:v>
      </x:c>
      <x:c r="M27" s="29" t="str">
        <x:v>replaced glazed area</x:v>
      </x:c>
    </x:row>
    <x:row r="28">
      <x:c r="A28" s="5" t="str">
        <x:v>A85</x:v>
      </x:c>
      <x:c r="B28" s="5" t="str">
        <x:v>Heat pump system</x:v>
      </x:c>
      <x:c r="C28" s="19" t="n">
        <x:v>10000</x:v>
      </x:c>
      <x:c r="D28" s="5" t="str">
        <x:v>€/unit</x:v>
      </x:c>
      <x:c r="E28" s="30" t="n">
        <x:f>K28*L28</x:f>
        <x:v>3</x:v>
      </x:c>
      <x:c r="F28" s="19" t="str">
        <x:v>unit</x:v>
      </x:c>
      <x:c r="G28" s="19" t="n">
        <x:v>15</x:v>
      </x:c>
      <x:c r="H28" s="19" t="n">
        <x:v>1</x:v>
      </x:c>
      <x:c r="I28" s="19" t="n">
        <x:v>0</x:v>
      </x:c>
      <x:c r="J28" s="5" t="str">
        <x:v>ENERGY MODEL-DSS!X523; ENERGY MODEL-DSS!X524</x:v>
      </x:c>
      <x:c r="K28" s="19" t="n">
        <x:v>3</x:v>
      </x:c>
      <x:c r="L28" s="19" t="n">
        <x:v>1</x:v>
      </x:c>
      <x:c r="M28" s="29" t="str">
        <x:v>three heat pumps in the system</x:v>
      </x:c>
    </x:row>
    <x:row r="29">
      <x:c r="A29" s="5" t="str">
        <x:v>A86</x:v>
      </x:c>
      <x:c r="B29" s="5" t="str">
        <x:v>Water tank</x:v>
      </x:c>
      <x:c r="C29" s="19" t="n">
        <x:v>1300</x:v>
      </x:c>
      <x:c r="D29" s="5" t="str">
        <x:v>€/unit</x:v>
      </x:c>
      <x:c r="E29" s="30" t="n">
        <x:f>K29*L29</x:f>
        <x:v>0</x:v>
      </x:c>
      <x:c r="F29" s="19" t="str">
        <x:v>unit</x:v>
      </x:c>
      <x:c r="G29" s="19" t="n">
        <x:v>30</x:v>
      </x:c>
      <x:c r="H29" s="19" t="n">
        <x:v>1</x:v>
      </x:c>
      <x:c r="I29" s="19" t="n">
        <x:v>0</x:v>
      </x:c>
      <x:c r="J29" s="5" t="str">
        <x:v>ENERGY MODEL-DSS!Y523; ENERGY MODEL-DSS!Y524</x:v>
      </x:c>
      <x:c r="K29" s="19" t="n">
        <x:v>0</x:v>
      </x:c>
      <x:c r="L29" s="19" t="n">
        <x:v>1</x:v>
      </x:c>
      <x:c r="M29" s="29" t="str">
        <x:v>installed water tanks</x:v>
      </x:c>
    </x:row>
    <x:row r="30">
      <x:c r="A30" s="5" t="str">
        <x:v>A87</x:v>
      </x:c>
      <x:c r="B30" s="5" t="str">
        <x:v>BACS (Building Automation and Control Systems)</x:v>
      </x:c>
      <x:c r="C30" s="19" t="n">
        <x:v>5000</x:v>
      </x:c>
      <x:c r="D30" s="5" t="str">
        <x:v>€/unit</x:v>
      </x:c>
      <x:c r="E30" s="30" t="n">
        <x:f>K30*L30</x:f>
        <x:v>3</x:v>
      </x:c>
      <x:c r="F30" s="19" t="str">
        <x:v>unit</x:v>
      </x:c>
      <x:c r="G30" s="19" t="n">
        <x:v>30</x:v>
      </x:c>
      <x:c r="H30" s="19" t="n">
        <x:v>1</x:v>
      </x:c>
      <x:c r="I30" s="19" t="n">
        <x:v>0</x:v>
      </x:c>
      <x:c r="J30" s="5" t="str">
        <x:v>ENERGY MODEL-DSS!Z523; ENERGY MODEL-DSS!Z524</x:v>
      </x:c>
      <x:c r="K30" s="19" t="n">
        <x:v>3</x:v>
      </x:c>
      <x:c r="L30" s="19" t="n">
        <x:v>1</x:v>
      </x:c>
      <x:c r="M30" s="29" t="str">
        <x:v>BACS installation quantity</x:v>
      </x:c>
    </x:row>
    <x:row r="31">
      <x:c r="A31" s="5" t="str">
        <x:v>A88</x:v>
      </x:c>
      <x:c r="B31" s="5" t="str">
        <x:v>Fan coils HVAC</x:v>
      </x:c>
      <x:c r="C31" s="19" t="n">
        <x:v>1000</x:v>
      </x:c>
      <x:c r="D31" s="5" t="str">
        <x:v>€/unit</x:v>
      </x:c>
      <x:c r="E31" s="30" t="n">
        <x:f>K31*L31</x:f>
        <x:v>20</x:v>
      </x:c>
      <x:c r="F31" s="19" t="str">
        <x:v>unit</x:v>
      </x:c>
      <x:c r="G31" s="19" t="n">
        <x:v>12</x:v>
      </x:c>
      <x:c r="H31" s="19" t="n">
        <x:v>1</x:v>
      </x:c>
      <x:c r="I31" s="19" t="n">
        <x:v>0</x:v>
      </x:c>
      <x:c r="J31" s="5" t="str">
        <x:v>ENERGY MODEL-DSS!AA523; ENERGY MODEL-DSS!AA524</x:v>
      </x:c>
      <x:c r="K31" s="19" t="n">
        <x:v>20</x:v>
      </x:c>
      <x:c r="L31" s="19" t="n">
        <x:v>1</x:v>
      </x:c>
      <x:c r="M31" s="29" t="str">
        <x:v>installed HVAC fan-coil terminals</x:v>
      </x:c>
    </x:row>
    <x:row r="32">
      <x:c r="A32" s="5" t="str">
        <x:v>A88.1</x:v>
      </x:c>
      <x:c r="B32" s="5" t="str">
        <x:v>DHW heat pump</x:v>
      </x:c>
      <x:c r="C32" s="19" t="n">
        <x:v>1000</x:v>
      </x:c>
      <x:c r="D32" s="5" t="str">
        <x:v>€/unit</x:v>
      </x:c>
      <x:c r="E32" s="30" t="n">
        <x:f>K32*L32</x:f>
        <x:v>26</x:v>
      </x:c>
      <x:c r="F32" s="19" t="str">
        <x:v>unit</x:v>
      </x:c>
      <x:c r="G32" s="19" t="n">
        <x:v>12</x:v>
      </x:c>
      <x:c r="H32" s="19" t="n">
        <x:v>1</x:v>
      </x:c>
      <x:c r="I32" s="19" t="n">
        <x:v>0</x:v>
      </x:c>
      <x:c r="J32" s="5" t="str">
        <x:v>ENERGY MODEL-DSS!AB523; ENERGY MODEL-DSS!AB524</x:v>
      </x:c>
      <x:c r="K32" s="19" t="n">
        <x:v>26</x:v>
      </x:c>
      <x:c r="L32" s="19" t="n">
        <x:v>1</x:v>
      </x:c>
      <x:c r="M32" s="29" t="str">
        <x:v>dedicated DHW heat pumps; source quantity</x:v>
      </x:c>
    </x:row>
    <x:row r="33">
      <x:c r="A33" s="5" t="str">
        <x:v>A89</x:v>
      </x:c>
      <x:c r="B33" s="5" t="str">
        <x:v>Batteries</x:v>
      </x:c>
      <x:c r="C33" s="19" t="n">
        <x:v>571.4285714285714</x:v>
      </x:c>
      <x:c r="D33" s="5" t="str">
        <x:v>€/unit</x:v>
      </x:c>
      <x:c r="E33" s="30" t="n">
        <x:f>K33*L33</x:f>
        <x:v>0</x:v>
      </x:c>
      <x:c r="F33" s="19" t="str">
        <x:v>unit</x:v>
      </x:c>
      <x:c r="G33" s="19" t="n">
        <x:v>8</x:v>
      </x:c>
      <x:c r="H33" s="19" t="n">
        <x:v>1</x:v>
      </x:c>
      <x:c r="I33" s="19" t="n">
        <x:v>0</x:v>
      </x:c>
      <x:c r="J33" s="5" t="str">
        <x:v>ENERGY MODEL-DSS!AC523; ENERGY MODEL-DSS!AC524</x:v>
      </x:c>
      <x:c r="K33" s="19" t="n">
        <x:v>0</x:v>
      </x:c>
      <x:c r="L33" s="19" t="n">
        <x:v>1</x:v>
      </x:c>
      <x:c r="M33" s="29" t="str">
        <x:v>installed battery quantity</x:v>
      </x:c>
    </x:row>
    <x:row r="34">
      <x:c r="A34" s="5" t="str">
        <x:v>A90</x:v>
      </x:c>
      <x:c r="B34" s="5" t="str">
        <x:v>PV system</x:v>
      </x:c>
      <x:c r="C34" s="19" t="n">
        <x:v>1000</x:v>
      </x:c>
      <x:c r="D34" s="5" t="str">
        <x:v>€/kW</x:v>
      </x:c>
      <x:c r="E34" s="30" t="n">
        <x:f>K34*L34</x:f>
        <x:v>0</x:v>
      </x:c>
      <x:c r="F34" s="19" t="str">
        <x:v>kW</x:v>
      </x:c>
      <x:c r="G34" s="19" t="n">
        <x:v>25</x:v>
      </x:c>
      <x:c r="H34" s="19" t="n">
        <x:v>1</x:v>
      </x:c>
      <x:c r="I34" s="19" t="n">
        <x:v>0</x:v>
      </x:c>
      <x:c r="J34" s="5" t="str">
        <x:v>ENERGY MODEL-DSS!AD523; ENERGY MODEL-DSS!AD524</x:v>
      </x:c>
      <x:c r="K34" s="19" t="n">
        <x:v>0</x:v>
      </x:c>
      <x:c r="L34" s="19" t="n">
        <x:v>1</x:v>
      </x:c>
      <x:c r="M34" s="29" t="str">
        <x:v>total installed PV capacity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0" customHeight="1">
      <x:c r="A1" s="3" t="str">
        <x:v>LCC | Formula build and outputs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3">
      <x:c r="A3" s="27" t="str">
        <x:v>Output / intermediate</x:v>
      </x:c>
      <x:c r="B3" s="27" t="str">
        <x:v>Value</x:v>
      </x:c>
    </x:row>
    <x:row r="4" ht="30" customHeight="1">
      <x:c r="A4" s="5" t="str">
        <x:v>Real discount rate</x:v>
      </x:c>
      <x:c r="B4" s="20" t="n">
        <x:f>(Inputs!B5-Inputs!B6)/(1+Inputs!B6)</x:f>
        <x:v>0.029411764705882356</x:v>
      </x:c>
    </x:row>
    <x:row r="5" ht="30" customHeight="1">
      <x:c r="A5" s="5" t="str">
        <x:v>Product escalation / discount factor</x:v>
      </x:c>
      <x:c r="B5" s="20" t="n">
        <x:f>(1+Inputs!B7)/(1+B4)</x:f>
        <x:v>0.990857142857143</x:v>
      </x:c>
    </x:row>
    <x:row r="6" ht="30" customHeight="1">
      <x:c r="A6" s="5" t="str">
        <x:v>Other installation cost (EUR)</x:v>
      </x:c>
      <x:c r="B6" s="20" t="n">
        <x:f>Inputs!B14*Inputs!B15</x:f>
        <x:v>0</x:v>
      </x:c>
    </x:row>
    <x:row r="7" ht="30" customHeight="1">
      <x:c r="A7" s="5" t="str">
        <x:v>Initial investment (EUR)</x:v>
      </x:c>
      <x:c r="B7" s="20" t="n">
        <x:f>SUM(H31:H41)+B6</x:f>
        <x:v>317122.676</x:v>
      </x:c>
    </x:row>
    <x:row r="8" ht="30" customHeight="1">
      <x:c r="A8" s="5" t="str">
        <x:v>Investment incl. replacements, residual and demolition (EUR)</x:v>
      </x:c>
      <x:c r="B8" s="20" t="n">
        <x:f>B7+SUM(M31:M41)-SUM(N31:N41)+SUM(O31:O41)</x:f>
        <x:v>406814.3080522049</x:v>
      </x:c>
    </x:row>
    <x:row r="9" ht="30" customHeight="1">
      <x:c r="A9" s="5" t="str">
        <x:v>Annual maintenance (EUR/year)</x:v>
      </x:c>
      <x:c r="B9" s="20" t="n">
        <x:f>SUM(P31:P41)</x:f>
        <x:v>0</x:v>
      </x:c>
    </x:row>
    <x:row r="10" ht="30" customHeight="1">
      <x:c r="A10" s="5" t="str">
        <x:v>Export credit (EUR/year)</x:v>
      </x:c>
      <x:c r="B10" s="20" t="n">
        <x:f>Inputs!B17*Inputs!B11</x:f>
        <x:v>0</x:v>
      </x:c>
    </x:row>
    <x:row r="11" ht="30" customHeight="1">
      <x:c r="A11" s="5" t="str">
        <x:v>Import cost (EUR/year)</x:v>
      </x:c>
      <x:c r="B11" s="20" t="n">
        <x:f>Inputs!B18*Inputs!B12</x:f>
        <x:v>7764.4483695355075</x:v>
      </x:c>
    </x:row>
    <x:row r="12" ht="30" customHeight="1">
      <x:c r="A12" s="5" t="str">
        <x:v>Net energy cost (EUR/year)</x:v>
      </x:c>
      <x:c r="B12" s="20" t="n">
        <x:f>B11-B10</x:f>
        <x:v>7764.4483695355075</x:v>
      </x:c>
    </x:row>
    <x:row r="13" ht="30" customHeight="1">
      <x:c r="A13" s="5" t="str">
        <x:v>Electricity annuity factor (first year)</x:v>
      </x:c>
      <x:c r="B13" s="20" t="n">
        <x:f>IF(B4=Inputs!B8,Inputs!B4,((1+Inputs!B8)/(B4-Inputs!B8))*(1-((1+Inputs!B8)^Inputs!B4/(1+B4)^Inputs!B4)))</x:f>
        <x:v>41.37944078927145</x:v>
      </x:c>
    </x:row>
    <x:row r="14" ht="30" customHeight="1">
      <x:c r="A14" s="5" t="str">
        <x:v>Electricity annuity factor (second year)</x:v>
      </x:c>
      <x:c r="B14" s="20" t="n">
        <x:f>IF(B4=Inputs!B8,Inputs!B4/(1+B4),(1/(B4-Inputs!B8))*(1-((1+Inputs!B8)^Inputs!B4/(1+B4)^Inputs!B4)))</x:f>
        <x:v>39.408991227877564</x:v>
      </x:c>
    </x:row>
    <x:row r="15" ht="30" customHeight="1">
      <x:c r="A15" s="5" t="str">
        <x:v>Maintenance annuity factor (first year)</x:v>
      </x:c>
      <x:c r="B15" s="20" t="n">
        <x:f>IF(B4=Inputs!B9,Inputs!B4,((1+Inputs!B9)/(B4-Inputs!B9))*(1-((1+Inputs!B9)^Inputs!B4/(1+B4)^Inputs!B4)))</x:f>
        <x:v>35.294639340104354</x:v>
      </x:c>
    </x:row>
    <x:row r="16" ht="30" customHeight="1">
      <x:c r="A16" s="5" t="str">
        <x:v>Maintenance annuity factor (second year)</x:v>
      </x:c>
      <x:c r="B16" s="20" t="n">
        <x:f>IF(B4=Inputs!B9,Inputs!B4/(1+B4),(1/(B4-Inputs!B9))*(1-((1+Inputs!B9)^Inputs!B4/(1+B4)^Inputs!B4)))</x:f>
        <x:v>33.9371532116388</x:v>
      </x:c>
    </x:row>
    <x:row r="17" ht="30" customHeight="1">
      <x:c r="A17" s="5" t="str">
        <x:v>Energy cost with escalation (EUR)</x:v>
      </x:c>
      <x:c r="B17" s="20" t="n">
        <x:f>B12*B13</x:f>
        <x:v>321288.53156854975</x:v>
      </x:c>
    </x:row>
    <x:row r="18" ht="30" customHeight="1">
      <x:c r="A18" s="5" t="str">
        <x:v>Maintenance cost with escalation (EUR)</x:v>
      </x:c>
      <x:c r="B18" s="20" t="n">
        <x:f>B9*B15</x:f>
        <x:v>0</x:v>
      </x:c>
    </x:row>
    <x:row r="19" ht="30" customHeight="1">
      <x:c r="A19" s="5" t="str">
        <x:v>Annual energy operating savings (EUR/year)</x:v>
      </x:c>
      <x:c r="B19" s="20" t="n">
        <x:f>Inputs!B19+Inputs!B20-B12</x:f>
        <x:v>18942.751630464492</x:v>
      </x:c>
    </x:row>
    <x:row r="20" ht="30" customHeight="1">
      <x:c r="A20" s="5" t="str">
        <x:v>Investment and replacement cost (EUR)</x:v>
      </x:c>
      <x:c r="B20" s="20" t="n">
        <x:f>B8</x:f>
        <x:v>406814.3080522049</x:v>
      </x:c>
    </x:row>
    <x:row r="21" ht="30" customHeight="1">
      <x:c r="A21" s="5" t="str">
        <x:v>Annualized operation cost (EUR)</x:v>
      </x:c>
      <x:c r="B21" s="20" t="n">
        <x:f>B17+B18</x:f>
        <x:v>321288.53156854975</x:v>
      </x:c>
    </x:row>
    <x:row r="22" ht="30" customHeight="1">
      <x:c r="A22" s="5" t="str">
        <x:v>Global cost (EUR)</x:v>
      </x:c>
      <x:c r="B22" s="20" t="n">
        <x:f>B8+B21</x:f>
        <x:v>728102.8396207546</x:v>
      </x:c>
    </x:row>
    <x:row r="23" ht="30" customHeight="1">
      <x:c r="A23" s="5" t="str">
        <x:v>Initial investment (EUR/m²)</x:v>
      </x:c>
      <x:c r="B23" s="20" t="n">
        <x:f>B7/Inputs!B16</x:f>
        <x:v>284.9772429906542</x:v>
      </x:c>
    </x:row>
    <x:row r="24" ht="30" customHeight="1">
      <x:c r="A24" s="5" t="str">
        <x:v>Investment and replacement (EUR/m²)</x:v>
      </x:c>
      <x:c r="B24" s="20" t="n">
        <x:f>B8/Inputs!B16</x:f>
        <x:v>365.57719990313166</x:v>
      </x:c>
    </x:row>
    <x:row r="25" ht="30" customHeight="1">
      <x:c r="A25" s="5" t="str">
        <x:v>Annualized operation (EUR/m²)</x:v>
      </x:c>
      <x:c r="B25" s="20" t="n">
        <x:f>B21/Inputs!B16</x:f>
        <x:v>288.7208227610979</x:v>
      </x:c>
    </x:row>
    <x:row r="26" ht="30" customHeight="1">
      <x:c r="A26" s="5" t="str">
        <x:v>Global cost (EUR/m²)</x:v>
      </x:c>
      <x:c r="B26" s="20" t="n">
        <x:f>B22/Inputs!B16</x:f>
        <x:v>654.2980226642295</x:v>
      </x:c>
    </x:row>
    <x:row r="28">
      <x:c r="A28" s="27" t="str">
        <x:v>Code</x:v>
      </x:c>
      <x:c r="B28" s="27" t="str">
        <x:v>Technology</x:v>
      </x:c>
      <x:c r="C28" s="27" t="str">
        <x:v>Cost/unit</x:v>
      </x:c>
      <x:c r="D28" s="27" t="str">
        <x:v>Assessed size</x:v>
      </x:c>
      <x:c r="E28" s="27" t="str">
        <x:v>Life</x:v>
      </x:c>
      <x:c r="F28" s="27" t="str">
        <x:v>Repl. fraction</x:v>
      </x:c>
      <x:c r="G28" s="27" t="str">
        <x:v>Maint. rate</x:v>
      </x:c>
      <x:c r="H28" s="27" t="str">
        <x:v>Initial cost</x:v>
      </x:c>
      <x:c r="I28" s="27" t="str">
        <x:v>Replacement count</x:v>
      </x:c>
      <x:c r="J28" s="27" t="str">
        <x:v>Replacement year</x:v>
      </x:c>
      <x:c r="K28" s="27" t="str">
        <x:v>Remaining life</x:v>
      </x:c>
      <x:c r="L28" s="27" t="str">
        <x:v>Replacement cost</x:v>
      </x:c>
      <x:c r="M28" s="27" t="str">
        <x:v>Replacement PV</x:v>
      </x:c>
      <x:c r="N28" s="27" t="str">
        <x:v>Residual value</x:v>
      </x:c>
      <x:c r="O28" s="27" t="str">
        <x:v>Demolition cost</x:v>
      </x:c>
      <x:c r="P28" s="27" t="str">
        <x:v>Annual maintenance</x:v>
      </x:c>
    </x:row>
    <x:row r="31">
      <x:c r="A31" s="23" t="str">
        <x:f>Inputs!A24</x:f>
        <x:v>A81</x:v>
      </x:c>
      <x:c r="B31" s="23" t="str">
        <x:f>Inputs!B24</x:f>
        <x:v>Façade insulation</x:v>
      </x:c>
      <x:c r="C31" s="24" t="n">
        <x:f>Inputs!C24</x:f>
        <x:v>95.25</x:v>
      </x:c>
      <x:c r="D31" s="24" t="n">
        <x:f>Inputs!E24</x:f>
        <x:v>1027.42</x:v>
      </x:c>
      <x:c r="E31" s="24" t="n">
        <x:f>Inputs!G24</x:f>
        <x:v>40</x:v>
      </x:c>
      <x:c r="F31" s="24" t="n">
        <x:f>Inputs!H24</x:f>
        <x:v>1</x:v>
      </x:c>
      <x:c r="G31" s="24" t="n">
        <x:f>Inputs!I24</x:f>
        <x:v>0</x:v>
      </x:c>
      <x:c r="H31" s="25" t="n">
        <x:f>C31*D31</x:f>
        <x:v>97861.755</x:v>
      </x:c>
      <x:c r="I31" s="25" t="n">
        <x:f>ROUNDUP(Inputs!$B$4/E31,0)-1</x:f>
        <x:v>0</x:v>
      </x:c>
      <x:c r="J31" s="25" t="n">
        <x:f>I31*E31</x:f>
        <x:v>0</x:v>
      </x:c>
      <x:c r="K31" s="25" t="n">
        <x:f>J31+E31-Inputs!$B$4</x:f>
        <x:v>10</x:v>
      </x:c>
      <x:c r="L31" s="25" t="n">
        <x:f>H31*F31</x:f>
        <x:v>97861.755</x:v>
      </x:c>
      <x:c r="M31" s="25" t="n">
        <x:f>L31*(B$5^E31)*((B$5^(E31*I31)-1)/(B$5^E31-1))</x:f>
        <x:v>0</x:v>
      </x:c>
      <x:c r="N31" s="25" t="n">
        <x:f>H31*(1+Inputs!$B$7)^J31*(K31/E31)/(1+B$4)^Inputs!$B$4</x:f>
        <x:v>10253.66653308025</x:v>
      </x:c>
      <x:c r="O31" s="25" t="n">
        <x:f>H31*Inputs!$B$13</x:f>
        <x:v>5871.7053</x:v>
      </x:c>
      <x:c r="P31" s="25" t="n">
        <x:f>H31*G31</x:f>
        <x:v>0</x:v>
      </x:c>
    </x:row>
    <x:row r="32">
      <x:c r="A32" s="23" t="str">
        <x:f>Inputs!A25</x:f>
        <x:v>A82</x:v>
      </x:c>
      <x:c r="B32" s="23" t="str">
        <x:f>Inputs!B25</x:f>
        <x:v>Roof insulation</x:v>
      </x:c>
      <x:c r="C32" s="24" t="n">
        <x:f>Inputs!C25</x:f>
        <x:v>23.83</x:v>
      </x:c>
      <x:c r="D32" s="24" t="n">
        <x:f>Inputs!E25</x:f>
        <x:v>616</x:v>
      </x:c>
      <x:c r="E32" s="24" t="n">
        <x:f>Inputs!G25</x:f>
        <x:v>40</x:v>
      </x:c>
      <x:c r="F32" s="24" t="n">
        <x:f>Inputs!H25</x:f>
        <x:v>1</x:v>
      </x:c>
      <x:c r="G32" s="24" t="n">
        <x:f>Inputs!I25</x:f>
        <x:v>0</x:v>
      </x:c>
      <x:c r="H32" s="25" t="n">
        <x:f>C32*D32</x:f>
        <x:v>14679.279999999999</x:v>
      </x:c>
      <x:c r="I32" s="25" t="n">
        <x:f>ROUNDUP(Inputs!$B$4/E32,0)-1</x:f>
        <x:v>0</x:v>
      </x:c>
      <x:c r="J32" s="25" t="n">
        <x:f>I32*E32</x:f>
        <x:v>0</x:v>
      </x:c>
      <x:c r="K32" s="25" t="n">
        <x:f>J32+E32-Inputs!$B$4</x:f>
        <x:v>10</x:v>
      </x:c>
      <x:c r="L32" s="25" t="n">
        <x:f>H32*F32</x:f>
        <x:v>14679.279999999999</x:v>
      </x:c>
      <x:c r="M32" s="25" t="n">
        <x:f>L32*(B$5^E32)*((B$5^(E32*I32)-1)/(B$5^E32-1))</x:f>
        <x:v>0</x:v>
      </x:c>
      <x:c r="N32" s="25" t="n">
        <x:f>H32*(1+Inputs!$B$7)^J32*(K32/E32)/(1+B$4)^Inputs!$B$4</x:f>
        <x:v>1538.0517349777167</x:v>
      </x:c>
      <x:c r="O32" s="25" t="n">
        <x:f>H32*Inputs!$B$13</x:f>
        <x:v>880.7567999999999</x:v>
      </x:c>
      <x:c r="P32" s="25" t="n">
        <x:f>H32*G32</x:f>
        <x:v>0</x:v>
      </x:c>
    </x:row>
    <x:row r="33">
      <x:c r="A33" s="23" t="str">
        <x:f>Inputs!A26</x:f>
        <x:v>A83</x:v>
      </x:c>
      <x:c r="B33" s="23" t="str">
        <x:f>Inputs!B26</x:f>
        <x:v>Basement insulation</x:v>
      </x:c>
      <x:c r="C33" s="24" t="n">
        <x:f>Inputs!C26</x:f>
        <x:v>95.25</x:v>
      </x:c>
      <x:c r="D33" s="24" t="n">
        <x:f>Inputs!E26</x:f>
        <x:v>629</x:v>
      </x:c>
      <x:c r="E33" s="24" t="n">
        <x:f>Inputs!G26</x:f>
        <x:v>40</x:v>
      </x:c>
      <x:c r="F33" s="24" t="n">
        <x:f>Inputs!H26</x:f>
        <x:v>1</x:v>
      </x:c>
      <x:c r="G33" s="24" t="n">
        <x:f>Inputs!I26</x:f>
        <x:v>0</x:v>
      </x:c>
      <x:c r="H33" s="25" t="n">
        <x:f>C33*D33</x:f>
        <x:v>59912.25</x:v>
      </x:c>
      <x:c r="I33" s="25" t="n">
        <x:f>ROUNDUP(Inputs!$B$4/E33,0)-1</x:f>
        <x:v>0</x:v>
      </x:c>
      <x:c r="J33" s="25" t="n">
        <x:f>I33*E33</x:f>
        <x:v>0</x:v>
      </x:c>
      <x:c r="K33" s="25" t="n">
        <x:f>J33+E33-Inputs!$B$4</x:f>
        <x:v>10</x:v>
      </x:c>
      <x:c r="L33" s="25" t="n">
        <x:f>H33*F33</x:f>
        <x:v>59912.25</x:v>
      </x:c>
      <x:c r="M33" s="25" t="n">
        <x:f>L33*(B$5^E33)*((B$5^(E33*I33)-1)/(B$5^E33-1))</x:f>
        <x:v>0</x:v>
      </x:c>
      <x:c r="N33" s="25" t="n">
        <x:f>H33*(1+Inputs!$B$7)^J33*(K33/E33)/(1+B$4)^Inputs!$B$4</x:f>
        <x:v>6277.4291422275965</x:v>
      </x:c>
      <x:c r="O33" s="25" t="n">
        <x:f>H33*Inputs!$B$13</x:f>
        <x:v>3594.7349999999997</x:v>
      </x:c>
      <x:c r="P33" s="25" t="n">
        <x:f>H33*G33</x:f>
        <x:v>0</x:v>
      </x:c>
    </x:row>
    <x:row r="34">
      <x:c r="A34" s="23" t="str">
        <x:f>Inputs!A27</x:f>
        <x:v>A84</x:v>
      </x:c>
      <x:c r="B34" s="23" t="str">
        <x:f>Inputs!B27</x:f>
        <x:v>Glazing system</x:v>
      </x:c>
      <x:c r="C34" s="24" t="n">
        <x:f>Inputs!C27</x:f>
        <x:v>293.95</x:v>
      </x:c>
      <x:c r="D34" s="24" t="n">
        <x:f>Inputs!E27</x:f>
        <x:v>182.57999999999998</x:v>
      </x:c>
      <x:c r="E34" s="24" t="n">
        <x:f>Inputs!G27</x:f>
        <x:v>30</x:v>
      </x:c>
      <x:c r="F34" s="24" t="n">
        <x:f>Inputs!H27</x:f>
        <x:v>1</x:v>
      </x:c>
      <x:c r="G34" s="24" t="n">
        <x:f>Inputs!I27</x:f>
        <x:v>0</x:v>
      </x:c>
      <x:c r="H34" s="25" t="n">
        <x:f>C34*D34</x:f>
        <x:v>53669.390999999996</x:v>
      </x:c>
      <x:c r="I34" s="25" t="n">
        <x:f>ROUNDUP(Inputs!$B$4/E34,0)-1</x:f>
        <x:v>0</x:v>
      </x:c>
      <x:c r="J34" s="25" t="n">
        <x:f>I34*E34</x:f>
        <x:v>0</x:v>
      </x:c>
      <x:c r="K34" s="25" t="n">
        <x:f>J34+E34-Inputs!$B$4</x:f>
        <x:v>0</x:v>
      </x:c>
      <x:c r="L34" s="25" t="n">
        <x:f>H34*F34</x:f>
        <x:v>53669.390999999996</x:v>
      </x:c>
      <x:c r="M34" s="25" t="n">
        <x:f>L34*(B$5^E34)*((B$5^(E34*I34)-1)/(B$5^E34-1))</x:f>
        <x:v>0</x:v>
      </x:c>
      <x:c r="N34" s="25" t="n">
        <x:f>H34*(1+Inputs!$B$7)^J34*(K34/E34)/(1+B$4)^Inputs!$B$4</x:f>
        <x:v>0</x:v>
      </x:c>
      <x:c r="O34" s="25" t="n">
        <x:f>H34*Inputs!$B$13</x:f>
        <x:v>3220.1634599999998</x:v>
      </x:c>
      <x:c r="P34" s="25" t="n">
        <x:f>H34*G34</x:f>
        <x:v>0</x:v>
      </x:c>
    </x:row>
    <x:row r="35">
      <x:c r="A35" s="23" t="str">
        <x:f>Inputs!A28</x:f>
        <x:v>A85</x:v>
      </x:c>
      <x:c r="B35" s="23" t="str">
        <x:f>Inputs!B28</x:f>
        <x:v>Heat pump system</x:v>
      </x:c>
      <x:c r="C35" s="24" t="n">
        <x:f>Inputs!C28</x:f>
        <x:v>10000</x:v>
      </x:c>
      <x:c r="D35" s="24" t="n">
        <x:f>Inputs!E28</x:f>
        <x:v>3</x:v>
      </x:c>
      <x:c r="E35" s="24" t="n">
        <x:f>Inputs!G28</x:f>
        <x:v>15</x:v>
      </x:c>
      <x:c r="F35" s="24" t="n">
        <x:f>Inputs!H28</x:f>
        <x:v>1</x:v>
      </x:c>
      <x:c r="G35" s="24" t="n">
        <x:f>Inputs!I28</x:f>
        <x:v>0</x:v>
      </x:c>
      <x:c r="H35" s="25" t="n">
        <x:f>C35*D35</x:f>
        <x:v>30000</x:v>
      </x:c>
      <x:c r="I35" s="25" t="n">
        <x:f>ROUNDUP(Inputs!$B$4/E35,0)-1</x:f>
        <x:v>1</x:v>
      </x:c>
      <x:c r="J35" s="25" t="n">
        <x:f>I35*E35</x:f>
        <x:v>15</x:v>
      </x:c>
      <x:c r="K35" s="25" t="n">
        <x:f>J35+E35-Inputs!$B$4</x:f>
        <x:v>0</x:v>
      </x:c>
      <x:c r="L35" s="25" t="n">
        <x:f>H35*F35</x:f>
        <x:v>30000</x:v>
      </x:c>
      <x:c r="M35" s="25" t="n">
        <x:f>L35*(B$5^E35)*((B$5^(E35*I35)-1)/(B$5^E35-1))</x:f>
        <x:v>26138.876783365802</x:v>
      </x:c>
      <x:c r="N35" s="25" t="n">
        <x:f>H35*(1+Inputs!$B$7)^J35*(K35/E35)/(1+B$4)^Inputs!$B$4</x:f>
        <x:v>0</x:v>
      </x:c>
      <x:c r="O35" s="25" t="n">
        <x:f>H35*Inputs!$B$13</x:f>
        <x:v>1800</x:v>
      </x:c>
      <x:c r="P35" s="25" t="n">
        <x:f>H35*G35</x:f>
        <x:v>0</x:v>
      </x:c>
    </x:row>
    <x:row r="36">
      <x:c r="A36" s="23" t="str">
        <x:f>Inputs!A29</x:f>
        <x:v>A86</x:v>
      </x:c>
      <x:c r="B36" s="23" t="str">
        <x:f>Inputs!B29</x:f>
        <x:v>Water tank</x:v>
      </x:c>
      <x:c r="C36" s="24" t="n">
        <x:f>Inputs!C29</x:f>
        <x:v>1300</x:v>
      </x:c>
      <x:c r="D36" s="24" t="n">
        <x:f>Inputs!E29</x:f>
        <x:v>0</x:v>
      </x:c>
      <x:c r="E36" s="24" t="n">
        <x:f>Inputs!G29</x:f>
        <x:v>30</x:v>
      </x:c>
      <x:c r="F36" s="24" t="n">
        <x:f>Inputs!H29</x:f>
        <x:v>1</x:v>
      </x:c>
      <x:c r="G36" s="24" t="n">
        <x:f>Inputs!I29</x:f>
        <x:v>0</x:v>
      </x:c>
      <x:c r="H36" s="25" t="n">
        <x:f>C36*D36</x:f>
        <x:v>0</x:v>
      </x:c>
      <x:c r="I36" s="25" t="n">
        <x:f>ROUNDUP(Inputs!$B$4/E36,0)-1</x:f>
        <x:v>0</x:v>
      </x:c>
      <x:c r="J36" s="25" t="n">
        <x:f>I36*E36</x:f>
        <x:v>0</x:v>
      </x:c>
      <x:c r="K36" s="25" t="n">
        <x:f>J36+E36-Inputs!$B$4</x:f>
        <x:v>0</x:v>
      </x:c>
      <x:c r="L36" s="25" t="n">
        <x:f>H36*F36</x:f>
        <x:v>0</x:v>
      </x:c>
      <x:c r="M36" s="25" t="n">
        <x:f>L36*(B$5^E36)*((B$5^(E36*I36)-1)/(B$5^E36-1))</x:f>
        <x:v>0</x:v>
      </x:c>
      <x:c r="N36" s="25" t="n">
        <x:f>H36*(1+Inputs!$B$7)^J36*(K36/E36)/(1+B$4)^Inputs!$B$4</x:f>
        <x:v>0</x:v>
      </x:c>
      <x:c r="O36" s="25" t="n">
        <x:f>H36*Inputs!$B$13</x:f>
        <x:v>0</x:v>
      </x:c>
      <x:c r="P36" s="25" t="n">
        <x:f>H36*G36</x:f>
        <x:v>0</x:v>
      </x:c>
    </x:row>
    <x:row r="37">
      <x:c r="A37" s="23" t="str">
        <x:f>Inputs!A30</x:f>
        <x:v>A87</x:v>
      </x:c>
      <x:c r="B37" s="23" t="str">
        <x:f>Inputs!B30</x:f>
        <x:v>BACS (Building Automation and Control Systems)</x:v>
      </x:c>
      <x:c r="C37" s="24" t="n">
        <x:f>Inputs!C30</x:f>
        <x:v>5000</x:v>
      </x:c>
      <x:c r="D37" s="24" t="n">
        <x:f>Inputs!E30</x:f>
        <x:v>3</x:v>
      </x:c>
      <x:c r="E37" s="24" t="n">
        <x:f>Inputs!G30</x:f>
        <x:v>30</x:v>
      </x:c>
      <x:c r="F37" s="24" t="n">
        <x:f>Inputs!H30</x:f>
        <x:v>1</x:v>
      </x:c>
      <x:c r="G37" s="24" t="n">
        <x:f>Inputs!I30</x:f>
        <x:v>0</x:v>
      </x:c>
      <x:c r="H37" s="25" t="n">
        <x:f>C37*D37</x:f>
        <x:v>15000</x:v>
      </x:c>
      <x:c r="I37" s="25" t="n">
        <x:f>ROUNDUP(Inputs!$B$4/E37,0)-1</x:f>
        <x:v>0</x:v>
      </x:c>
      <x:c r="J37" s="25" t="n">
        <x:f>I37*E37</x:f>
        <x:v>0</x:v>
      </x:c>
      <x:c r="K37" s="25" t="n">
        <x:f>J37+E37-Inputs!$B$4</x:f>
        <x:v>0</x:v>
      </x:c>
      <x:c r="L37" s="25" t="n">
        <x:f>H37*F37</x:f>
        <x:v>15000</x:v>
      </x:c>
      <x:c r="M37" s="25" t="n">
        <x:f>L37*(B$5^E37)*((B$5^(E37*I37)-1)/(B$5^E37-1))</x:f>
        <x:v>0</x:v>
      </x:c>
      <x:c r="N37" s="25" t="n">
        <x:f>H37*(1+Inputs!$B$7)^J37*(K37/E37)/(1+B$4)^Inputs!$B$4</x:f>
        <x:v>0</x:v>
      </x:c>
      <x:c r="O37" s="25" t="n">
        <x:f>H37*Inputs!$B$13</x:f>
        <x:v>900</x:v>
      </x:c>
      <x:c r="P37" s="25" t="n">
        <x:f>H37*G37</x:f>
        <x:v>0</x:v>
      </x:c>
    </x:row>
    <x:row r="38">
      <x:c r="A38" s="23" t="str">
        <x:f>Inputs!A31</x:f>
        <x:v>A88</x:v>
      </x:c>
      <x:c r="B38" s="23" t="str">
        <x:f>Inputs!B31</x:f>
        <x:v>Fan coils HVAC</x:v>
      </x:c>
      <x:c r="C38" s="24" t="n">
        <x:f>Inputs!C31</x:f>
        <x:v>1000</x:v>
      </x:c>
      <x:c r="D38" s="24" t="n">
        <x:f>Inputs!E31</x:f>
        <x:v>20</x:v>
      </x:c>
      <x:c r="E38" s="24" t="n">
        <x:f>Inputs!G31</x:f>
        <x:v>12</x:v>
      </x:c>
      <x:c r="F38" s="24" t="n">
        <x:f>Inputs!H31</x:f>
        <x:v>1</x:v>
      </x:c>
      <x:c r="G38" s="24" t="n">
        <x:f>Inputs!I31</x:f>
        <x:v>0</x:v>
      </x:c>
      <x:c r="H38" s="25" t="n">
        <x:f>C38*D38</x:f>
        <x:v>20000</x:v>
      </x:c>
      <x:c r="I38" s="25" t="n">
        <x:f>ROUNDUP(Inputs!$B$4/E38,0)-1</x:f>
        <x:v>2</x:v>
      </x:c>
      <x:c r="J38" s="25" t="n">
        <x:f>I38*E38</x:f>
        <x:v>24</x:v>
      </x:c>
      <x:c r="K38" s="25" t="n">
        <x:f>J38+E38-Inputs!$B$4</x:f>
        <x:v>6</x:v>
      </x:c>
      <x:c r="L38" s="25" t="n">
        <x:f>H38*F38</x:f>
        <x:v>20000</x:v>
      </x:c>
      <x:c r="M38" s="25" t="n">
        <x:f>L38*(B$5^E38)*((B$5^(E38*I38)-1)/(B$5^E38-1))</x:f>
        <x:v>33956.11106968684</x:v>
      </x:c>
      <x:c r="N38" s="25" t="n">
        <x:f>H38*(1+Inputs!$B$7)^J38*(K38/E38)/(1+B$4)^Inputs!$B$4</x:f>
        <x:v>6741.092757023937</x:v>
      </x:c>
      <x:c r="O38" s="25" t="n">
        <x:f>H38*Inputs!$B$13</x:f>
        <x:v>1200</x:v>
      </x:c>
      <x:c r="P38" s="25" t="n">
        <x:f>H38*G38</x:f>
        <x:v>0</x:v>
      </x:c>
    </x:row>
    <x:row r="39">
      <x:c r="A39" s="23" t="str">
        <x:f>Inputs!A32</x:f>
        <x:v>A88.1</x:v>
      </x:c>
      <x:c r="B39" s="23" t="str">
        <x:f>Inputs!B32</x:f>
        <x:v>DHW heat pump</x:v>
      </x:c>
      <x:c r="C39" s="24" t="n">
        <x:f>Inputs!C32</x:f>
        <x:v>1000</x:v>
      </x:c>
      <x:c r="D39" s="24" t="n">
        <x:f>Inputs!E32</x:f>
        <x:v>26</x:v>
      </x:c>
      <x:c r="E39" s="24" t="n">
        <x:f>Inputs!G32</x:f>
        <x:v>12</x:v>
      </x:c>
      <x:c r="F39" s="24" t="n">
        <x:f>Inputs!H32</x:f>
        <x:v>1</x:v>
      </x:c>
      <x:c r="G39" s="24" t="n">
        <x:f>Inputs!I32</x:f>
        <x:v>0</x:v>
      </x:c>
      <x:c r="H39" s="25" t="n">
        <x:f>C39*D39</x:f>
        <x:v>26000</x:v>
      </x:c>
      <x:c r="I39" s="25" t="n">
        <x:f>ROUNDUP(Inputs!$B$4/E39,0)-1</x:f>
        <x:v>2</x:v>
      </x:c>
      <x:c r="J39" s="25" t="n">
        <x:f>I39*E39</x:f>
        <x:v>24</x:v>
      </x:c>
      <x:c r="K39" s="25" t="n">
        <x:f>J39+E39-Inputs!$B$4</x:f>
        <x:v>6</x:v>
      </x:c>
      <x:c r="L39" s="25" t="n">
        <x:f>H39*F39</x:f>
        <x:v>26000</x:v>
      </x:c>
      <x:c r="M39" s="25" t="n">
        <x:f>L39*(B$5^E39)*((B$5^(E39*I39)-1)/(B$5^E39-1))</x:f>
        <x:v>44142.944390592886</x:v>
      </x:c>
      <x:c r="N39" s="25" t="n">
        <x:f>H39*(1+Inputs!$B$7)^J39*(K39/E39)/(1+B$4)^Inputs!$B$4</x:f>
        <x:v>8763.420584131118</x:v>
      </x:c>
      <x:c r="O39" s="25" t="n">
        <x:f>H39*Inputs!$B$13</x:f>
        <x:v>1560</x:v>
      </x:c>
      <x:c r="P39" s="25" t="n">
        <x:f>H39*G39</x:f>
        <x:v>0</x:v>
      </x:c>
    </x:row>
    <x:row r="40">
      <x:c r="A40" s="23" t="str">
        <x:f>Inputs!A33</x:f>
        <x:v>A89</x:v>
      </x:c>
      <x:c r="B40" s="23" t="str">
        <x:f>Inputs!B33</x:f>
        <x:v>Batteries</x:v>
      </x:c>
      <x:c r="C40" s="24" t="n">
        <x:f>Inputs!C33</x:f>
        <x:v>571.4285714285714</x:v>
      </x:c>
      <x:c r="D40" s="24" t="n">
        <x:f>Inputs!E33</x:f>
        <x:v>0</x:v>
      </x:c>
      <x:c r="E40" s="24" t="n">
        <x:f>Inputs!G33</x:f>
        <x:v>8</x:v>
      </x:c>
      <x:c r="F40" s="24" t="n">
        <x:f>Inputs!H33</x:f>
        <x:v>1</x:v>
      </x:c>
      <x:c r="G40" s="24" t="n">
        <x:f>Inputs!I33</x:f>
        <x:v>0</x:v>
      </x:c>
      <x:c r="H40" s="25" t="n">
        <x:f>C40*D40</x:f>
        <x:v>0</x:v>
      </x:c>
      <x:c r="I40" s="25" t="n">
        <x:f>ROUNDUP(Inputs!$B$4/E40,0)-1</x:f>
        <x:v>3</x:v>
      </x:c>
      <x:c r="J40" s="25" t="n">
        <x:f>I40*E40</x:f>
        <x:v>24</x:v>
      </x:c>
      <x:c r="K40" s="25" t="n">
        <x:f>J40+E40-Inputs!$B$4</x:f>
        <x:v>2</x:v>
      </x:c>
      <x:c r="L40" s="25" t="n">
        <x:f>H40*F40</x:f>
        <x:v>0</x:v>
      </x:c>
      <x:c r="M40" s="25" t="n">
        <x:f>L40*(B$5^E40)*((B$5^(E40*I40)-1)/(B$5^E40-1))</x:f>
        <x:v>0</x:v>
      </x:c>
      <x:c r="N40" s="25" t="n">
        <x:f>H40*(1+Inputs!$B$7)^J40*(K40/E40)/(1+B$4)^Inputs!$B$4</x:f>
        <x:v>0</x:v>
      </x:c>
      <x:c r="O40" s="25" t="n">
        <x:f>H40*Inputs!$B$13</x:f>
        <x:v>0</x:v>
      </x:c>
      <x:c r="P40" s="25" t="n">
        <x:f>H40*G40</x:f>
        <x:v>0</x:v>
      </x:c>
    </x:row>
    <x:row r="41">
      <x:c r="A41" s="23" t="str">
        <x:f>Inputs!A34</x:f>
        <x:v>A90</x:v>
      </x:c>
      <x:c r="B41" s="23" t="str">
        <x:f>Inputs!B34</x:f>
        <x:v>PV system</x:v>
      </x:c>
      <x:c r="C41" s="24" t="n">
        <x:f>Inputs!C34</x:f>
        <x:v>1000</x:v>
      </x:c>
      <x:c r="D41" s="24" t="n">
        <x:f>Inputs!E34</x:f>
        <x:v>0</x:v>
      </x:c>
      <x:c r="E41" s="24" t="n">
        <x:f>Inputs!G34</x:f>
        <x:v>25</x:v>
      </x:c>
      <x:c r="F41" s="24" t="n">
        <x:f>Inputs!H34</x:f>
        <x:v>1</x:v>
      </x:c>
      <x:c r="G41" s="24" t="n">
        <x:f>Inputs!I34</x:f>
        <x:v>0</x:v>
      </x:c>
      <x:c r="H41" s="25" t="n">
        <x:f>C41*D41</x:f>
        <x:v>0</x:v>
      </x:c>
      <x:c r="I41" s="25" t="n">
        <x:f>ROUNDUP(Inputs!$B$4/E41,0)-1</x:f>
        <x:v>1</x:v>
      </x:c>
      <x:c r="J41" s="25" t="n">
        <x:f>I41*E41</x:f>
        <x:v>25</x:v>
      </x:c>
      <x:c r="K41" s="25" t="n">
        <x:f>J41+E41-Inputs!$B$4</x:f>
        <x:v>20</x:v>
      </x:c>
      <x:c r="L41" s="25" t="n">
        <x:f>H41*F41</x:f>
        <x:v>0</x:v>
      </x:c>
      <x:c r="M41" s="25" t="n">
        <x:f>L41*(B$5^E41)*((B$5^(E41*I41)-1)/(B$5^E41-1))</x:f>
        <x:v>0</x:v>
      </x:c>
      <x:c r="N41" s="25" t="n">
        <x:f>H41*(1+Inputs!$B$7)^J41*(K41/E41)/(1+B$4)^Inputs!$B$4</x:f>
        <x:v>0</x:v>
      </x:c>
      <x:c r="O41" s="25" t="n">
        <x:f>H41*Inputs!$B$13</x:f>
        <x:v>0</x:v>
      </x:c>
      <x:c r="P41" s="25" t="n">
        <x:f>H41*G41</x:f>
        <x:v>0</x:v>
      </x:c>
    </x:row>
  </x:sheetData>
  <x:mergeCells>
    <x:mergeCell ref="A1:P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5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0" customHeight="1">
      <x:c r="A1" s="3" t="str">
        <x:v>LCC | Frozen source benchmark checks</x:v>
      </x:c>
      <x:c r="B1" s="3"/>
      <x:c r="C1" s="3"/>
      <x:c r="D1" s="3"/>
      <x:c r="E1" s="3"/>
    </x:row>
    <x:row r="3">
      <x:c r="A3" s="14" t="str">
        <x:v>Source cell</x:v>
      </x:c>
      <x:c r="B3" s="14" t="str">
        <x:v>Metric</x:v>
      </x:c>
      <x:c r="C3" s="14" t="str">
        <x:v>Workbook result</x:v>
      </x:c>
      <x:c r="D3" s="14" t="str">
        <x:v>Source cached value</x:v>
      </x:c>
      <x:c r="E3" s="14" t="str">
        <x:v>Within tolerance?</x:v>
      </x:c>
    </x:row>
    <x:row r="4">
      <x:c r="A4" t="str">
        <x:v>T540</x:v>
      </x:c>
      <x:c r="B4" t="str">
        <x:v>Initial investment (EUR)</x:v>
      </x:c>
      <x:c r="C4" s="20" t="n">
        <x:f>Calculation!B7</x:f>
        <x:v>317122.676</x:v>
      </x:c>
      <x:c r="D4" s="20" t="n">
        <x:v>317122.676</x:v>
      </x:c>
      <x:c r="E4" t="b">
        <x:f>ABS(C4-D4)&lt;=0.000001+0.000000001*ABS(D4)</x:f>
        <x:v>1</x:v>
      </x:c>
    </x:row>
    <x:row r="5">
      <x:c r="A5" t="str">
        <x:v>T541</x:v>
      </x:c>
      <x:c r="B5" t="str">
        <x:v>Investment plus replacements (EUR)</x:v>
      </x:c>
      <x:c r="C5" s="20" t="n">
        <x:f>Calculation!B8</x:f>
        <x:v>406814.3080522049</x:v>
      </x:c>
      <x:c r="D5" s="20" t="n">
        <x:v>406814.3080522049</x:v>
      </x:c>
      <x:c r="E5" t="b">
        <x:f>ABS(C5-D5)&lt;=0.000001+0.000000001*ABS(D5)</x:f>
        <x:v>1</x:v>
      </x:c>
    </x:row>
    <x:row r="6">
      <x:c r="A6" t="str">
        <x:v>T542</x:v>
      </x:c>
      <x:c r="B6" t="str">
        <x:v>Annual maintenance (EUR/year)</x:v>
      </x:c>
      <x:c r="C6" s="20" t="n">
        <x:f>Calculation!B9</x:f>
        <x:v>0</x:v>
      </x:c>
      <x:c r="D6" s="20" t="n">
        <x:v>0</x:v>
      </x:c>
      <x:c r="E6" t="b">
        <x:f>ABS(C6-D6)&lt;=0.000001+0.000000001*ABS(D6)</x:f>
        <x:v>1</x:v>
      </x:c>
    </x:row>
    <x:row r="7">
      <x:c r="A7" t="str">
        <x:v>T547</x:v>
      </x:c>
      <x:c r="B7" t="str">
        <x:v>Net annual energy cost (EUR)</x:v>
      </x:c>
      <x:c r="C7" s="20" t="n">
        <x:f>Calculation!B12</x:f>
        <x:v>7764.4483695355075</x:v>
      </x:c>
      <x:c r="D7" s="20" t="n">
        <x:v>7764.4483695355075</x:v>
      </x:c>
      <x:c r="E7" t="b">
        <x:f>ABS(C7-D7)&lt;=0.000001+0.000000001*ABS(D7)</x:f>
        <x:v>1</x:v>
      </x:c>
    </x:row>
    <x:row r="8">
      <x:c r="A8" t="str">
        <x:v>T557</x:v>
      </x:c>
      <x:c r="B8" t="str">
        <x:v>Annual energy cost savings (EUR)</x:v>
      </x:c>
      <x:c r="C8" s="20" t="n">
        <x:f>Calculation!B19</x:f>
        <x:v>18942.751630464492</x:v>
      </x:c>
      <x:c r="D8" s="20" t="n">
        <x:v>18942.751630464492</x:v>
      </x:c>
      <x:c r="E8" t="b">
        <x:f>ABS(C8-D8)&lt;=0.000001+0.000000001*ABS(D8)</x:f>
        <x:v>1</x:v>
      </x:c>
    </x:row>
    <x:row r="9">
      <x:c r="A9" t="str">
        <x:v>T558</x:v>
      </x:c>
      <x:c r="B9" t="str">
        <x:v>Investment and replacement cost (EUR)</x:v>
      </x:c>
      <x:c r="C9" s="20" t="n">
        <x:f>Calculation!B20</x:f>
        <x:v>406814.3080522049</x:v>
      </x:c>
      <x:c r="D9" s="20" t="n">
        <x:v>406814.3080522049</x:v>
      </x:c>
      <x:c r="E9" t="b">
        <x:f>ABS(C9-D9)&lt;=0.000001+0.000000001*ABS(D9)</x:f>
        <x:v>1</x:v>
      </x:c>
    </x:row>
    <x:row r="10">
      <x:c r="A10" t="str">
        <x:v>T559</x:v>
      </x:c>
      <x:c r="B10" t="str">
        <x:v>Annualized operation cost (EUR)</x:v>
      </x:c>
      <x:c r="C10" s="20" t="n">
        <x:f>Calculation!B21</x:f>
        <x:v>321288.53156854975</x:v>
      </x:c>
      <x:c r="D10" s="20" t="n">
        <x:v>321288.5315685489</x:v>
      </x:c>
      <x:c r="E10" t="b">
        <x:f>ABS(C10-D10)&lt;=0.000001+0.000000001*ABS(D10)</x:f>
        <x:v>1</x:v>
      </x:c>
    </x:row>
    <x:row r="11">
      <x:c r="A11" t="str">
        <x:v>T560</x:v>
      </x:c>
      <x:c r="B11" t="str">
        <x:v>Global cost (EUR)</x:v>
      </x:c>
      <x:c r="C11" s="20" t="n">
        <x:f>Calculation!B22</x:f>
        <x:v>728102.8396207546</x:v>
      </x:c>
      <x:c r="D11" s="20" t="n">
        <x:v>728102.8396207538</x:v>
      </x:c>
      <x:c r="E11" t="b">
        <x:f>ABS(C11-D11)&lt;=0.000001+0.000000001*ABS(D11)</x:f>
        <x:v>1</x:v>
      </x:c>
    </x:row>
    <x:row r="12">
      <x:c r="A12" t="str">
        <x:v>T561</x:v>
      </x:c>
      <x:c r="B12" t="str">
        <x:v>Initial investment (EUR/m²)</x:v>
      </x:c>
      <x:c r="C12" s="20" t="n">
        <x:f>Calculation!B23</x:f>
        <x:v>284.9772429906542</x:v>
      </x:c>
      <x:c r="D12" s="20" t="n">
        <x:v>284.9772429906542</x:v>
      </x:c>
      <x:c r="E12" t="b">
        <x:f>ABS(C12-D12)&lt;=0.000001+0.000000001*ABS(D12)</x:f>
        <x:v>1</x:v>
      </x:c>
    </x:row>
    <x:row r="13">
      <x:c r="A13" t="str">
        <x:v>T562</x:v>
      </x:c>
      <x:c r="B13" t="str">
        <x:v>Investment/replacement (EUR/m²)</x:v>
      </x:c>
      <x:c r="C13" s="20" t="n">
        <x:f>Calculation!B24</x:f>
        <x:v>365.57719990313166</x:v>
      </x:c>
      <x:c r="D13" s="20" t="n">
        <x:v>365.57719990313166</x:v>
      </x:c>
      <x:c r="E13" t="b">
        <x:f>ABS(C13-D13)&lt;=0.000001+0.000000001*ABS(D13)</x:f>
        <x:v>1</x:v>
      </x:c>
    </x:row>
    <x:row r="14">
      <x:c r="A14" t="str">
        <x:v>T563</x:v>
      </x:c>
      <x:c r="B14" t="str">
        <x:v>Operation cost (EUR/m²)</x:v>
      </x:c>
      <x:c r="C14" s="20" t="n">
        <x:f>Calculation!B25</x:f>
        <x:v>288.7208227610979</x:v>
      </x:c>
      <x:c r="D14" s="20" t="n">
        <x:v>288.7208227610971</x:v>
      </x:c>
      <x:c r="E14" t="b">
        <x:f>ABS(C14-D14)&lt;=0.000001+0.000000001*ABS(D14)</x:f>
        <x:v>1</x:v>
      </x:c>
    </x:row>
    <x:row r="15">
      <x:c r="A15" t="str">
        <x:v>T564</x:v>
      </x:c>
      <x:c r="B15" t="str">
        <x:v>Global cost (EUR/m²)</x:v>
      </x:c>
      <x:c r="C15" s="20" t="n">
        <x:f>Calculation!B26</x:f>
        <x:v>654.2980226642295</x:v>
      </x:c>
      <x:c r="D15" s="20" t="n">
        <x:v>654.2980226642287</x:v>
      </x:c>
      <x:c r="E15" t="b">
        <x:f>ABS(C15-D15)&lt;=0.000001+0.000000001*ABS(D15)</x:f>
        <x:v>1</x:v>
      </x:c>
    </x:row>
  </x:sheetData>
  <x:mergeCells>
    <x:mergeCell ref="A1:E1"/>
  </x:mergeCells>
  <x:pageMargins left="0.7" right="0.7" top="0.75" bottom="0.75" header="0.3" footer="0.3"/>
</x:worksheet>
</file>